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  <font>
      <name val="Meiryo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spbox.wordpress.com/2016/10/25/les-lisps-de-patrick-copyright-c-patrick_35/" TargetMode="External" Id="rId1" /><Relationship Type="http://schemas.openxmlformats.org/officeDocument/2006/relationships/hyperlink" Target="https://github.com/Fraiddd/ACCORE" TargetMode="External" Id="rId2" /><Relationship Type="http://schemas.openxmlformats.org/officeDocument/2006/relationships/hyperlink" Target="https://github.com/Fraiddd/ODBX_LIB" TargetMode="External" Id="rId3" /><Relationship Type="http://schemas.openxmlformats.org/officeDocument/2006/relationships/hyperlink" Target="https://gilecad.azurewebsites.net/Lisp.aspx" TargetMode="External" Id="rId4" /><Relationship Type="http://schemas.openxmlformats.org/officeDocument/2006/relationships/hyperlink" Target="https://github.com/Fraiddd/ODBX_LIB" TargetMode="External" Id="rId5" /><Relationship Type="http://schemas.openxmlformats.org/officeDocument/2006/relationships/hyperlink" Target="https://github.com/Fraiddd/ODBX_LIB" TargetMode="External" Id="rId6" /><Relationship Type="http://schemas.openxmlformats.org/officeDocument/2006/relationships/hyperlink" Target="https://gilecad.azurewebsites.net/Lisp.aspx" TargetMode="External" Id="rId7" /><Relationship Type="http://schemas.openxmlformats.org/officeDocument/2006/relationships/hyperlink" Target="https://lispbox.wordpress.com/2016/10/25/les-lisps-de-patrick-copyright-c-patrick_35/" TargetMode="External" Id="rId8" /><Relationship Type="http://schemas.openxmlformats.org/officeDocument/2006/relationships/hyperlink" Target="https://gilecad.azurewebsites.net/Lisp.aspx" TargetMode="External" Id="rId9" /><Relationship Type="http://schemas.openxmlformats.org/officeDocument/2006/relationships/hyperlink" Target="https://lispbox.wordpress.com/2016/10/25/les-lisps-de-patrick-copyright-c-patrick_35/" TargetMode="External" Id="rId10" /><Relationship Type="http://schemas.openxmlformats.org/officeDocument/2006/relationships/hyperlink" Target="https://lispbox.wordpress.com/2016/10/25/les-lisps-de-patrick-copyright-c-patrick_35/" TargetMode="External" Id="rId11" /><Relationship Type="http://schemas.openxmlformats.org/officeDocument/2006/relationships/hyperlink" Target="https://lispbox.wordpress.com/2016/10/25/les-lisps-de-patrick-copyright-c-patrick_35/" TargetMode="External" Id="rId12" /><Relationship Type="http://schemas.openxmlformats.org/officeDocument/2006/relationships/hyperlink" Target="https://kojacek.wordpress.com/2021/05/08/dimstyle-reactor/" TargetMode="External" Id="rId13" /><Relationship Type="http://schemas.openxmlformats.org/officeDocument/2006/relationships/hyperlink" Target="https://gilecad.azurewebsites.net/Lisp.aspx" TargetMode="External" Id="rId14" /><Relationship Type="http://schemas.openxmlformats.org/officeDocument/2006/relationships/hyperlink" Target="https://lispbox.wordpress.com/2016/10/25/les-lisps-de-patrick-copyright-c-patrick_35/" TargetMode="External" Id="rId15" /><Relationship Type="http://schemas.openxmlformats.org/officeDocument/2006/relationships/hyperlink" Target="https://lispbox.wordpress.com/2016/10/25/les-lisps-de-patrick-copyright-c-patrick_35/" TargetMode="External" Id="rId16" /><Relationship Type="http://schemas.openxmlformats.org/officeDocument/2006/relationships/hyperlink" Target="https://kojacek.wordpress.com/2026/03/15/pajak/" TargetMode="External" Id="rId17" /><Relationship Type="http://schemas.openxmlformats.org/officeDocument/2006/relationships/hyperlink" Target="https://cadtheque.com/routines-autolisp-autocad/" TargetMode="External" Id="rId18" /><Relationship Type="http://schemas.openxmlformats.org/officeDocument/2006/relationships/hyperlink" Target="https://cadsite.be/lisp/lispdown.php" TargetMode="External" Id="rId19" /><Relationship Type="http://schemas.openxmlformats.org/officeDocument/2006/relationships/hyperlink" Target="https://www.emicad.it/utility-lisp/" TargetMode="External" Id="rId20" /><Relationship Type="http://schemas.openxmlformats.org/officeDocument/2006/relationships/hyperlink" Target="https://lispbox.wordpress.com/2016/10/25/les-lisps-de-patrick-copyright-c-patrick_35/" TargetMode="External" Id="rId21" /><Relationship Type="http://schemas.openxmlformats.org/officeDocument/2006/relationships/hyperlink" Target="https://github.com/Fraiddd/ODBX_LIB" TargetMode="External" Id="rId22" /><Relationship Type="http://schemas.openxmlformats.org/officeDocument/2006/relationships/hyperlink" Target="https://github.com/Fraiddd/ODBX_LIB" TargetMode="External" Id="rId23" /><Relationship Type="http://schemas.openxmlformats.org/officeDocument/2006/relationships/hyperlink" Target="https://lispbox.wordpress.com/2016/10/25/les-lisps-de-patrick-copyright-c-patrick_35/" TargetMode="External" Id="rId24" /><Relationship Type="http://schemas.openxmlformats.org/officeDocument/2006/relationships/hyperlink" Target="https://www.cadwiesel.de/index.php?hp=downloads" TargetMode="External" Id="rId25" /><Relationship Type="http://schemas.openxmlformats.org/officeDocument/2006/relationships/hyperlink" Target="https://lispbox.wordpress.com/2016/10/25/les-lisps-de-patrick-copyright-c-patrick_35/" TargetMode="External" Id="rId26" /><Relationship Type="http://schemas.openxmlformats.org/officeDocument/2006/relationships/hyperlink" Target="https://kojacek.wordpress.com/2022/02/07/bal-block-attrib-layout/" TargetMode="External" Id="rId27" /><Relationship Type="http://schemas.openxmlformats.org/officeDocument/2006/relationships/hyperlink" Target="https://www.emicad.it/emilisp-free/" TargetMode="External" Id="rId28" /><Relationship Type="http://schemas.openxmlformats.org/officeDocument/2006/relationships/hyperlink" Target="https://cadtheque.com/routines-autolisp-autocad/" TargetMode="External" Id="rId29" /><Relationship Type="http://schemas.openxmlformats.org/officeDocument/2006/relationships/hyperlink" Target="https://lispbox.wordpress.com/2016/10/25/les-lisps-de-patrick-copyright-c-patrick_35/" TargetMode="External" Id="rId30" /><Relationship Type="http://schemas.openxmlformats.org/officeDocument/2006/relationships/hyperlink" Target="https://gilecad.azurewebsites.net/Lisp.aspx" TargetMode="External" Id="rId31" /><Relationship Type="http://schemas.openxmlformats.org/officeDocument/2006/relationships/hyperlink" Target="https://www.cadwiesel.de/index.php?hp=downloads" TargetMode="External" Id="rId32" /><Relationship Type="http://schemas.openxmlformats.org/officeDocument/2006/relationships/hyperlink" Target="https://www.emicad.it/emilisp-free/" TargetMode="External" Id="rId33" /><Relationship Type="http://schemas.openxmlformats.org/officeDocument/2006/relationships/hyperlink" Target="https://kojacek.wordpress.com/2025/05/25/overlapping-texts/" TargetMode="External" Id="rId34" /><Relationship Type="http://schemas.openxmlformats.org/officeDocument/2006/relationships/hyperlink" Target="https://bosse-engineering.com/LISP-Tools/freeware.html" TargetMode="External" Id="rId35" /><Relationship Type="http://schemas.openxmlformats.org/officeDocument/2006/relationships/hyperlink" Target="https://lispbox.wordpress.com/2016/10/25/les-lisps-de-patrick-copyright-c-patrick_35/" TargetMode="External" Id="rId36" /><Relationship Type="http://schemas.openxmlformats.org/officeDocument/2006/relationships/hyperlink" Target="https://lispbox.wordpress.com/2016/10/25/les-lisps-de-patrick-copyright-c-patrick_35/" TargetMode="External" Id="rId37" /><Relationship Type="http://schemas.openxmlformats.org/officeDocument/2006/relationships/hyperlink" Target="https://lispbox.wordpress.com/2016/10/25/les-lisps-de-patrick-copyright-c-patrick_35/" TargetMode="External" Id="rId38" /><Relationship Type="http://schemas.openxmlformats.org/officeDocument/2006/relationships/hyperlink" Target="https://gilecad.azurewebsites.net/Lisp.aspx" TargetMode="External" Id="rId39" /><Relationship Type="http://schemas.openxmlformats.org/officeDocument/2006/relationships/hyperlink" Target="https://cadtheque.com/routines-autolisp-autocad/" TargetMode="External" Id="rId40" /><Relationship Type="http://schemas.openxmlformats.org/officeDocument/2006/relationships/hyperlink" Target="https://github.com/Fraiddd/ODBX_LIB" TargetMode="External" Id="rId41" /><Relationship Type="http://schemas.openxmlformats.org/officeDocument/2006/relationships/hyperlink" Target="https://lispbox.wordpress.com/2016/10/25/les-lisps-de-patrick-copyright-c-patrick_35/" TargetMode="External" Id="rId42" /><Relationship Type="http://schemas.openxmlformats.org/officeDocument/2006/relationships/hyperlink" Target="https://gilecad.azurewebsites.net/Lisp.aspx" TargetMode="External" Id="rId43" /><Relationship Type="http://schemas.openxmlformats.org/officeDocument/2006/relationships/hyperlink" Target="https://lispbox.wordpress.com/2016/10/25/les-lisps-de-patrick-copyright-c-patrick_35/" TargetMode="External" Id="rId44" /><Relationship Type="http://schemas.openxmlformats.org/officeDocument/2006/relationships/hyperlink" Target="https://lispbox.wordpress.com/2016/10/25/les-lisps-de-patrick-copyright-c-patrick_35/" TargetMode="External" Id="rId45" /><Relationship Type="http://schemas.openxmlformats.org/officeDocument/2006/relationships/hyperlink" Target="https://lispbox.wordpress.com/2016/10/25/les-lisps-de-patrick-copyright-c-patrick_35/" TargetMode="External" Id="rId46" /><Relationship Type="http://schemas.openxmlformats.org/officeDocument/2006/relationships/hyperlink" Target="https://kojacek.wordpress.com/2025/01/05/numerator-2025/" TargetMode="External" Id="rId47" /><Relationship Type="http://schemas.openxmlformats.org/officeDocument/2006/relationships/hyperlink" Target="https://kojacek.wordpress.com/2017/12/07/ponownie-przecinanie-krzyzujacych-sie-linii/" TargetMode="External" Id="rId48" /><Relationship Type="http://schemas.openxmlformats.org/officeDocument/2006/relationships/hyperlink" Target="https://www.zwcad.pl/nakladki-na-zwcad/darmowe-nakladki-i-skrypty.html" TargetMode="External" Id="rId49" /><Relationship Type="http://schemas.openxmlformats.org/officeDocument/2006/relationships/hyperlink" Target="https://github.com/chenhaibin/Utilitaires_AutoLisp" TargetMode="External" Id="rId50" /><Relationship Type="http://schemas.openxmlformats.org/officeDocument/2006/relationships/hyperlink" Target="http://m.cizimokulu.com/list.php?c=autolisp_kod" TargetMode="External" Id="rId51" /><Relationship Type="http://schemas.openxmlformats.org/officeDocument/2006/relationships/hyperlink" Target="https://kojacek.wordpress.com/2025/11/11/mleader-jak-dimension/" TargetMode="External" Id="rId52" /><Relationship Type="http://schemas.openxmlformats.org/officeDocument/2006/relationships/hyperlink" Target="https://github.com/Fraiddd/ODBX_LIB" TargetMode="External" Id="rId53" /><Relationship Type="http://schemas.openxmlformats.org/officeDocument/2006/relationships/hyperlink" Target="https://lispbox.wordpress.com/2016/10/25/les-lisps-de-patrick-copyright-c-patrick_35/" TargetMode="External" Id="rId54" /><Relationship Type="http://schemas.openxmlformats.org/officeDocument/2006/relationships/hyperlink" Target="https://kojacek.wordpress.com/2026/02/08/bloki-w-tabeli-raz-jeszcze/" TargetMode="External" Id="rId55" /><Relationship Type="http://schemas.openxmlformats.org/officeDocument/2006/relationships/hyperlink" Target="https://www.cadwiesel.de/index.php?hp=downloads" TargetMode="External" Id="rId56" /><Relationship Type="http://schemas.openxmlformats.org/officeDocument/2006/relationships/hyperlink" Target="https://lispbox.wordpress.com/2016/10/25/les-lisps-de-patrick-copyright-c-patrick_35/" TargetMode="External" Id="rId57" /><Relationship Type="http://schemas.openxmlformats.org/officeDocument/2006/relationships/hyperlink" Target="https://lispbox.wordpress.com/2016/10/25/les-lisps-de-patrick-copyright-c-patrick_35/" TargetMode="External" Id="rId58" /><Relationship Type="http://schemas.openxmlformats.org/officeDocument/2006/relationships/hyperlink" Target="https://gilecad.azurewebsites.net/Lisp.aspx" TargetMode="External" Id="rId59" /><Relationship Type="http://schemas.openxmlformats.org/officeDocument/2006/relationships/hyperlink" Target="https://www.cadwiesel.de/index.php?hp=downloads" TargetMode="External" Id="rId60" /><Relationship Type="http://schemas.openxmlformats.org/officeDocument/2006/relationships/hyperlink" Target="https://github.com/kruuger/CADPL-Pack-v1" TargetMode="External" Id="rId61" /><Relationship Type="http://schemas.openxmlformats.org/officeDocument/2006/relationships/hyperlink" Target="https://www.cadwiesel.de/index.php?hp=downloads" TargetMode="External" Id="rId62" /><Relationship Type="http://schemas.openxmlformats.org/officeDocument/2006/relationships/hyperlink" Target="http://m.cizimokulu.com/list.php?c=autolisp_kod" TargetMode="External" Id="rId63" /><Relationship Type="http://schemas.openxmlformats.org/officeDocument/2006/relationships/hyperlink" Target="https://cadsite.be/lisp/lispdown.php" TargetMode="External" Id="rId64" /><Relationship Type="http://schemas.openxmlformats.org/officeDocument/2006/relationships/hyperlink" Target="https://kojacek.wordpress.com/2017/11/02/dbcount-zliczanie-blokow-dynamicznych/" TargetMode="External" Id="rId65" /><Relationship Type="http://schemas.openxmlformats.org/officeDocument/2006/relationships/hyperlink" Target="https://gilecad.azurewebsites.net/Lisp.aspx" TargetMode="External" Id="rId66" /><Relationship Type="http://schemas.openxmlformats.org/officeDocument/2006/relationships/hyperlink" Target="https://kojacek.wordpress.com/2020/04/16/dim-mo/" TargetMode="External" Id="rId67" /><Relationship Type="http://schemas.openxmlformats.org/officeDocument/2006/relationships/hyperlink" Target="https://cadtheque.com/routines-autolisp-autocad/" TargetMode="External" Id="rId68" /><Relationship Type="http://schemas.openxmlformats.org/officeDocument/2006/relationships/hyperlink" Target="https://cadsite.be/lisp/lispdown.php" TargetMode="External" Id="rId69" /><Relationship Type="http://schemas.openxmlformats.org/officeDocument/2006/relationships/hyperlink" Target="https://kojacek.wordpress.com/2016/08/21/field-pochylenie-dynamiczne-lisp-em/" TargetMode="External" Id="rId70" /><Relationship Type="http://schemas.openxmlformats.org/officeDocument/2006/relationships/hyperlink" Target="https://lispbox.wordpress.com/2016/10/25/les-lisps-de-patrick-copyright-c-patrick_35/" TargetMode="External" Id="rId71" /><Relationship Type="http://schemas.openxmlformats.org/officeDocument/2006/relationships/hyperlink" Target="https://gilecad.azurewebsites.net/Lisp.aspx" TargetMode="External" Id="rId72" /><Relationship Type="http://schemas.openxmlformats.org/officeDocument/2006/relationships/hyperlink" Target="https://kojacek.wordpress.com/2016/12/15/textout-textin/" TargetMode="External" Id="rId73" /><Relationship Type="http://schemas.openxmlformats.org/officeDocument/2006/relationships/hyperlink" Target="https://kojacek.wordpress.com/2025/11/02/blok-zliczanie-wedlug-wartosci-atrybutu/" TargetMode="External" Id="rId74" /><Relationship Type="http://schemas.openxmlformats.org/officeDocument/2006/relationships/hyperlink" Target="https://www.emicad.it/emilisp-free/" TargetMode="External" Id="rId75" /><Relationship Type="http://schemas.openxmlformats.org/officeDocument/2006/relationships/hyperlink" Target="https://www.cadwiesel.de/index.php?hp=downloads" TargetMode="External" Id="rId76" /><Relationship Type="http://schemas.openxmlformats.org/officeDocument/2006/relationships/hyperlink" Target="https://bosse-engineering.com/LISP-Tools/autocad-magazin.html" TargetMode="External" Id="rId77" /><Relationship Type="http://schemas.openxmlformats.org/officeDocument/2006/relationships/hyperlink" Target="https://gilecad.azurewebsites.net/Lisp.aspx" TargetMode="External" Id="rId78" /><Relationship Type="http://schemas.openxmlformats.org/officeDocument/2006/relationships/hyperlink" Target="https://lispbox.wordpress.com/2016/10/25/les-lisps-de-patrick-copyright-c-patrick_35/" TargetMode="External" Id="rId79" /><Relationship Type="http://schemas.openxmlformats.org/officeDocument/2006/relationships/hyperlink" Target="https://cadtheque.com/routines-autolisp-autocad/" TargetMode="External" Id="rId80" /><Relationship Type="http://schemas.openxmlformats.org/officeDocument/2006/relationships/hyperlink" Target="https://lispbox.wordpress.com/2016/10/25/les-lisps-de-patrick-copyright-c-patrick_35/" TargetMode="External" Id="rId81" /><Relationship Type="http://schemas.openxmlformats.org/officeDocument/2006/relationships/hyperlink" Target="https://www.andresdeltoro.es/categoria-producto/programas/" TargetMode="External" Id="rId82" /><Relationship Type="http://schemas.openxmlformats.org/officeDocument/2006/relationships/hyperlink" Target="https://gilecad.azurewebsites.net/Lisp.aspx" TargetMode="External" Id="rId83" /><Relationship Type="http://schemas.openxmlformats.org/officeDocument/2006/relationships/hyperlink" Target="https://github.com/kruuger/CADPL-Pack-v1" TargetMode="External" Id="rId84" /><Relationship Type="http://schemas.openxmlformats.org/officeDocument/2006/relationships/hyperlink" Target="https://lispbox.wordpress.com/2016/10/25/les-lisps-de-patrick-copyright-c-patrick_35/" TargetMode="External" Id="rId85" /><Relationship Type="http://schemas.openxmlformats.org/officeDocument/2006/relationships/hyperlink" Target="https://kojacek.wordpress.com/2018/03/14/obrys-polilinii/" TargetMode="External" Id="rId86" /><Relationship Type="http://schemas.openxmlformats.org/officeDocument/2006/relationships/hyperlink" Target="https://www.emicad.it/emilisp-free/" TargetMode="External" Id="rId87" /><Relationship Type="http://schemas.openxmlformats.org/officeDocument/2006/relationships/hyperlink" Target="http://m.cizimokulu.com/list.php?c=autolisp_kod" TargetMode="External" Id="rId88" /><Relationship Type="http://schemas.openxmlformats.org/officeDocument/2006/relationships/hyperlink" Target="https://www.cadwiesel.de/index.php?hp=downloads" TargetMode="External" Id="rId89" /><Relationship Type="http://schemas.openxmlformats.org/officeDocument/2006/relationships/hyperlink" Target="https://kojacek.wordpress.com/2015/09/22/powierzchnie/" TargetMode="External" Id="rId90" /><Relationship Type="http://schemas.openxmlformats.org/officeDocument/2006/relationships/hyperlink" Target="https://github.com/chenhaibin/Utilitaires_AutoLisp" TargetMode="External" Id="rId91" /><Relationship Type="http://schemas.openxmlformats.org/officeDocument/2006/relationships/hyperlink" Target="http://m.cizimokulu.com/list.php?c=autolisp_kod" TargetMode="External" Id="rId92" /><Relationship Type="http://schemas.openxmlformats.org/officeDocument/2006/relationships/hyperlink" Target="https://bosse-engineering.com/LISP-Tools/autocad-magazin.html" TargetMode="External" Id="rId93" /><Relationship Type="http://schemas.openxmlformats.org/officeDocument/2006/relationships/hyperlink" Target="https://www.cadwiesel.de/index.php?hp=downloads" TargetMode="External" Id="rId94" /><Relationship Type="http://schemas.openxmlformats.org/officeDocument/2006/relationships/hyperlink" Target="https://cadtheque.com/routines-autolisp-autocad/" TargetMode="External" Id="rId95" /><Relationship Type="http://schemas.openxmlformats.org/officeDocument/2006/relationships/hyperlink" Target="https://github.com/chapulincatastral/generador-gml" TargetMode="External" Id="rId96" /><Relationship Type="http://schemas.openxmlformats.org/officeDocument/2006/relationships/hyperlink" Target="https://kojacek.wordpress.com/2026/07/16/goto/" TargetMode="External" Id="rId97" /><Relationship Type="http://schemas.openxmlformats.org/officeDocument/2006/relationships/hyperlink" Target="https://www.emicad.it/emilisp-free/" TargetMode="External" Id="rId98" /><Relationship Type="http://schemas.openxmlformats.org/officeDocument/2006/relationships/hyperlink" Target="https://www.cadwiesel.de/index.php?hp=downloads" TargetMode="External" Id="rId99" /><Relationship Type="http://schemas.openxmlformats.org/officeDocument/2006/relationships/hyperlink" Target="https://lispbox.wordpress.com/2016/10/25/les-lisps-de-patrick-copyright-c-patrick_35/" TargetMode="External" Id="rId100" /><Relationship Type="http://schemas.openxmlformats.org/officeDocument/2006/relationships/hyperlink" Target="https://github.com/kruuger/CADPL-Pack-v1" TargetMode="External" Id="rId101" /><Relationship Type="http://schemas.openxmlformats.org/officeDocument/2006/relationships/hyperlink" Target="https://kojacek.wordpress.com/2020/03/26/stal-bloki-bryly/" TargetMode="External" Id="rId102" /><Relationship Type="http://schemas.openxmlformats.org/officeDocument/2006/relationships/hyperlink" Target="https://kojacek.wordpress.com/2016/01/16/standardy-style-tekstu/" TargetMode="External" Id="rId103" /><Relationship Type="http://schemas.openxmlformats.org/officeDocument/2006/relationships/hyperlink" Target="https://bosse-engineering.com/LISP-Tools/freeware.html" TargetMode="External" Id="rId104" /><Relationship Type="http://schemas.openxmlformats.org/officeDocument/2006/relationships/hyperlink" Target="https://kojacek.wordpress.com/2022/12/28/warstwy-masowa-zmiana-cech/" TargetMode="External" Id="rId105" /><Relationship Type="http://schemas.openxmlformats.org/officeDocument/2006/relationships/hyperlink" Target="https://github.com/chenhaibin/Utilitaires_AutoLisp" TargetMode="External" Id="rId106" /><Relationship Type="http://schemas.openxmlformats.org/officeDocument/2006/relationships/hyperlink" Target="https://www.emicad.it/emilisp-free/" TargetMode="External" Id="rId107" /><Relationship Type="http://schemas.openxmlformats.org/officeDocument/2006/relationships/hyperlink" Target="https://www.cadwiesel.de/index.php?hp=downloads" TargetMode="External" Id="rId108" /><Relationship Type="http://schemas.openxmlformats.org/officeDocument/2006/relationships/hyperlink" Target="https://kojacek.wordpress.com/2018/01/23/etykietowanie-polilinii/" TargetMode="External" Id="rId109" /><Relationship Type="http://schemas.openxmlformats.org/officeDocument/2006/relationships/hyperlink" Target="https://gilecad.azurewebsites.net/Lisp.aspx" TargetMode="External" Id="rId110" /><Relationship Type="http://schemas.openxmlformats.org/officeDocument/2006/relationships/hyperlink" Target="https://lispbox.wordpress.com/2016/10/25/les-lisps-de-patrick-copyright-c-patrick_35/" TargetMode="External" Id="rId111" /><Relationship Type="http://schemas.openxmlformats.org/officeDocument/2006/relationships/hyperlink" Target="https://www.alanmuhendislik.com/category/insaat/lispler/" TargetMode="External" Id="rId112" /><Relationship Type="http://schemas.openxmlformats.org/officeDocument/2006/relationships/hyperlink" Target="https://www.cadwiesel.de/index.php?hp=downloads" TargetMode="External" Id="rId113" /><Relationship Type="http://schemas.openxmlformats.org/officeDocument/2006/relationships/hyperlink" Target="https://www.cadwiesel.de/index.php?hp=downloads" TargetMode="External" Id="rId114" /><Relationship Type="http://schemas.openxmlformats.org/officeDocument/2006/relationships/hyperlink" Target="http://www.cad-huebner.de/lisp.htm" TargetMode="External" Id="rId115" /><Relationship Type="http://schemas.openxmlformats.org/officeDocument/2006/relationships/hyperlink" Target="https://lispbox.wordpress.com/2016/10/25/les-lisps-de-patrick-copyright-c-patrick_35/" TargetMode="External" Id="rId116" /><Relationship Type="http://schemas.openxmlformats.org/officeDocument/2006/relationships/hyperlink" Target="https://kojacek.wordpress.com/2017/09/24/prefix-sufix-tekstu/" TargetMode="External" Id="rId117" /><Relationship Type="http://schemas.openxmlformats.org/officeDocument/2006/relationships/hyperlink" Target="https://kojacek.wordpress.com/2024/06/02/revision-editor-bloki-atrybuty/" TargetMode="External" Id="rId118" /><Relationship Type="http://schemas.openxmlformats.org/officeDocument/2006/relationships/hyperlink" Target="https://www.emicad.it/emilisp-free/" TargetMode="External" Id="rId119" /><Relationship Type="http://schemas.openxmlformats.org/officeDocument/2006/relationships/hyperlink" Target="https://www.cadwiesel.de/index.php?hp=downloads" TargetMode="External" Id="rId120" /><Relationship Type="http://schemas.openxmlformats.org/officeDocument/2006/relationships/hyperlink" Target="https://www.andresdeltoro.es/categoria-producto/programas/" TargetMode="External" Id="rId121" /><Relationship Type="http://schemas.openxmlformats.org/officeDocument/2006/relationships/hyperlink" Target="http://www.cad-huebner.de/lisp.htm" TargetMode="External" Id="rId122" /><Relationship Type="http://schemas.openxmlformats.org/officeDocument/2006/relationships/hyperlink" Target="https://kojacek.wordpress.com/2018/05/02/warstwy-bloki-purge/" TargetMode="External" Id="rId123" /><Relationship Type="http://schemas.openxmlformats.org/officeDocument/2006/relationships/hyperlink" Target="https://kojacek.wordpress.com/2017/10/08/wielkosc-obszaru-mtext-u/" TargetMode="External" Id="rId124" /><Relationship Type="http://schemas.openxmlformats.org/officeDocument/2006/relationships/hyperlink" Target="https://bosse-engineering.com/LISP-Tools/autocad-magazin.html" TargetMode="External" Id="rId125" /><Relationship Type="http://schemas.openxmlformats.org/officeDocument/2006/relationships/hyperlink" Target="https://kojacek.wordpress.com/2022/01/29/zestawienie-stali-zbrojeniowej/" TargetMode="External" Id="rId126" /><Relationship Type="http://schemas.openxmlformats.org/officeDocument/2006/relationships/hyperlink" Target="https://kojacek.wordpress.com/2019/08/17/zliczanie-3dsolid/" TargetMode="External" Id="rId127" /><Relationship Type="http://schemas.openxmlformats.org/officeDocument/2006/relationships/hyperlink" Target="https://gilecad.azurewebsites.net/Lisp.aspx" TargetMode="External" Id="rId128" /><Relationship Type="http://schemas.openxmlformats.org/officeDocument/2006/relationships/hyperlink" Target="https://bosse-engineering.com/LISP-Tools/autocad-magazin.html" TargetMode="External" Id="rId129" /><Relationship Type="http://schemas.openxmlformats.org/officeDocument/2006/relationships/hyperlink" Target="https://www.emicad.it/emilisp-free/" TargetMode="External" Id="rId130" /><Relationship Type="http://schemas.openxmlformats.org/officeDocument/2006/relationships/hyperlink" Target="https://cadtheque.com/routines-autolisp-autocad/" TargetMode="External" Id="rId131" /><Relationship Type="http://schemas.openxmlformats.org/officeDocument/2006/relationships/hyperlink" Target="https://gilecad.azurewebsites.net/Lisp.aspx" TargetMode="External" Id="rId132" /><Relationship Type="http://schemas.openxmlformats.org/officeDocument/2006/relationships/hyperlink" Target="https://www.cadwiesel.de/index.php?hp=downloads" TargetMode="External" Id="rId133" /><Relationship Type="http://schemas.openxmlformats.org/officeDocument/2006/relationships/hyperlink" Target="https://github.com/kruuger/CADPL-Pack-v1" TargetMode="External" Id="rId134" /><Relationship Type="http://schemas.openxmlformats.org/officeDocument/2006/relationships/hyperlink" Target="https://www.andresdeltoro.es/categoria-producto/programas/" TargetMode="External" Id="rId135" /><Relationship Type="http://schemas.openxmlformats.org/officeDocument/2006/relationships/hyperlink" Target="https://lispbox.wordpress.com/2016/10/25/les-lisps-de-patrick-copyright-c-patrick_35/" TargetMode="External" Id="rId136" /><Relationship Type="http://schemas.openxmlformats.org/officeDocument/2006/relationships/hyperlink" Target="http://m.cizimokulu.com/list.php?c=autolisp_kod" TargetMode="External" Id="rId137" /><Relationship Type="http://schemas.openxmlformats.org/officeDocument/2006/relationships/hyperlink" Target="https://jamgpa.com/lisp/lisp.html" TargetMode="External" Id="rId138" /><Relationship Type="http://schemas.openxmlformats.org/officeDocument/2006/relationships/hyperlink" Target="http://www.cad-huebner.de/lisp.htm" TargetMode="External" Id="rId139" /><Relationship Type="http://schemas.openxmlformats.org/officeDocument/2006/relationships/hyperlink" Target="https://www.cadwiesel.de/index.php?hp=downloads" TargetMode="External" Id="rId140" /><Relationship Type="http://schemas.openxmlformats.org/officeDocument/2006/relationships/hyperlink" Target="https://bosse-engineering.com/LISP-Tools/autocad-magazin.html" TargetMode="External" Id="rId141" /><Relationship Type="http://schemas.openxmlformats.org/officeDocument/2006/relationships/hyperlink" Target="https://bosse-engineering.com/LISP-Tools/freeware.html" TargetMode="External" Id="rId142" /><Relationship Type="http://schemas.openxmlformats.org/officeDocument/2006/relationships/hyperlink" Target="http://www.cad-huebner.de/lisp.htm" TargetMode="External" Id="rId143" /><Relationship Type="http://schemas.openxmlformats.org/officeDocument/2006/relationships/hyperlink" Target="https://www.cadwiesel.de/index.php?hp=downloads" TargetMode="External" Id="rId144" /><Relationship Type="http://schemas.openxmlformats.org/officeDocument/2006/relationships/hyperlink" Target="https://lispbox.wordpress.com/2016/10/25/les-lisps-de-patrick-copyright-c-patrick_35/" TargetMode="External" Id="rId145" /><Relationship Type="http://schemas.openxmlformats.org/officeDocument/2006/relationships/hyperlink" Target="https://www.emicad.it/emilisp-free/" TargetMode="External" Id="rId146" /><Relationship Type="http://schemas.openxmlformats.org/officeDocument/2006/relationships/hyperlink" Target="https://www.emicad.it/emilisp-free/" TargetMode="External" Id="rId147" /><Relationship Type="http://schemas.openxmlformats.org/officeDocument/2006/relationships/hyperlink" Target="https://www.emicad.it/emilisp-free/" TargetMode="External" Id="rId148" /><Relationship Type="http://schemas.openxmlformats.org/officeDocument/2006/relationships/hyperlink" Target="https://kojacek.wordpress.com/2015/11/24/setvar-z-pliku/" TargetMode="External" Id="rId149" /><Relationship Type="http://schemas.openxmlformats.org/officeDocument/2006/relationships/hyperlink" Target="https://lispbox.wordpress.com/2016/10/25/les-lisps-de-patrick-copyright-c-patrick_35/" TargetMode="External" Id="rId150" /><Relationship Type="http://schemas.openxmlformats.org/officeDocument/2006/relationships/hyperlink" Target="http://m.cizimokulu.com/list.php?c=autolisp_kod" TargetMode="External" Id="rId151" /><Relationship Type="http://schemas.openxmlformats.org/officeDocument/2006/relationships/hyperlink" Target="https://bosse-engineering.com/LISP-Tools/freeware.html" TargetMode="External" Id="rId152" /><Relationship Type="http://schemas.openxmlformats.org/officeDocument/2006/relationships/hyperlink" Target="http://m.cizimokulu.com/list.php?c=autolisp_kod" TargetMode="External" Id="rId153" /><Relationship Type="http://schemas.openxmlformats.org/officeDocument/2006/relationships/hyperlink" Target="https://www.cadwiesel.de/index.php?hp=downloads" TargetMode="External" Id="rId154" /><Relationship Type="http://schemas.openxmlformats.org/officeDocument/2006/relationships/hyperlink" Target="https://bosse-engineering.com/LISP-Tools/freeware.html" TargetMode="External" Id="rId155" /><Relationship Type="http://schemas.openxmlformats.org/officeDocument/2006/relationships/hyperlink" Target="http://m.cizimokulu.com/list.php?c=autolisp_kod" TargetMode="External" Id="rId156" /><Relationship Type="http://schemas.openxmlformats.org/officeDocument/2006/relationships/hyperlink" Target="https://www.andresdeltoro.es/categoria-producto/programas/" TargetMode="External" Id="rId157" /><Relationship Type="http://schemas.openxmlformats.org/officeDocument/2006/relationships/hyperlink" Target="http://m.cizimokulu.com/list.php?c=autolisp_kod" TargetMode="External" Id="rId158" /><Relationship Type="http://schemas.openxmlformats.org/officeDocument/2006/relationships/hyperlink" Target="https://www.andresdeltoro.es/categoria-producto/programas/" TargetMode="External" Id="rId159" /><Relationship Type="http://schemas.openxmlformats.org/officeDocument/2006/relationships/hyperlink" Target="https://bosse-engineering.com/LISP-Tools/freeware.html" TargetMode="External" Id="rId160" /><Relationship Type="http://schemas.openxmlformats.org/officeDocument/2006/relationships/hyperlink" Target="https://www.cadwiesel.de/index.php?hp=downloads" TargetMode="External" Id="rId161" /><Relationship Type="http://schemas.openxmlformats.org/officeDocument/2006/relationships/hyperlink" Target="https://cad-spiegel.jimdofree.com/download-1/autolisp/" TargetMode="External" Id="rId162" /><Relationship Type="http://schemas.openxmlformats.org/officeDocument/2006/relationships/hyperlink" Target="https://lispbox.wordpress.com/2016/10/25/les-lisps-de-patrick-copyright-c-patrick_35/" TargetMode="External" Id="rId163" /><Relationship Type="http://schemas.openxmlformats.org/officeDocument/2006/relationships/hyperlink" Target="https://cadsite.be/lisp/lispdown.php" TargetMode="External" Id="rId164" /><Relationship Type="http://schemas.openxmlformats.org/officeDocument/2006/relationships/hyperlink" Target="https://www.cadwiesel.de/index.php?hp=downloads" TargetMode="External" Id="rId165" /><Relationship Type="http://schemas.openxmlformats.org/officeDocument/2006/relationships/hyperlink" Target="http://m.cizimokulu.com/list.php?c=autolisp_kod" TargetMode="External" Id="rId166" /><Relationship Type="http://schemas.openxmlformats.org/officeDocument/2006/relationships/hyperlink" Target="http://m.cizimokulu.com/list.php?c=autolisp_kod" TargetMode="External" Id="rId167" /><Relationship Type="http://schemas.openxmlformats.org/officeDocument/2006/relationships/hyperlink" Target="https://kojacek.wordpress.com/2018/03/27/siatka-konstrukcji/" TargetMode="External" Id="rId168" /><Relationship Type="http://schemas.openxmlformats.org/officeDocument/2006/relationships/hyperlink" Target="https://kojacek.wordpress.com/2022/08/15/smart-eraser/" TargetMode="External" Id="rId169" /><Relationship Type="http://schemas.openxmlformats.org/officeDocument/2006/relationships/hyperlink" Target="https://kojacek.wordpress.com/2018/01/08/suma-wymiarow/" TargetMode="External" Id="rId170" /><Relationship Type="http://schemas.openxmlformats.org/officeDocument/2006/relationships/hyperlink" Target="https://github.com/chenhaibin/Utilitaires_AutoLisp" TargetMode="External" Id="rId171" /><Relationship Type="http://schemas.openxmlformats.org/officeDocument/2006/relationships/hyperlink" Target="http://www.cad-huebner.de/lisp.htm" TargetMode="External" Id="rId172" /><Relationship Type="http://schemas.openxmlformats.org/officeDocument/2006/relationships/hyperlink" Target="https://kojacek.wordpress.com/2018/02/04/trim-okregiem/" TargetMode="External" Id="rId173" /><Relationship Type="http://schemas.openxmlformats.org/officeDocument/2006/relationships/hyperlink" Target="http://www.cad-huebner.de/lisp.htm" TargetMode="External" Id="rId174" /><Relationship Type="http://schemas.openxmlformats.org/officeDocument/2006/relationships/hyperlink" Target="https://bosse-engineering.com/LISP-Tools/freeware.html" TargetMode="External" Id="rId175" /><Relationship Type="http://schemas.openxmlformats.org/officeDocument/2006/relationships/hyperlink" Target="https://github.com/kruuger/CADPL-Pack-v1" TargetMode="External" Id="rId176" /><Relationship Type="http://schemas.openxmlformats.org/officeDocument/2006/relationships/hyperlink" Target="https://kojacek.wordpress.com/2018/09/23/atta-edycja-atrybutu-dla-wielu-blokow/" TargetMode="External" Id="rId177" /><Relationship Type="http://schemas.openxmlformats.org/officeDocument/2006/relationships/hyperlink" Target="http://www.cad-huebner.de/lisp.htm" TargetMode="External" Id="rId178" /><Relationship Type="http://schemas.openxmlformats.org/officeDocument/2006/relationships/hyperlink" Target="https://cad-spiegel.jimdofree.com/download-1/autolisp/" TargetMode="External" Id="rId179" /><Relationship Type="http://schemas.openxmlformats.org/officeDocument/2006/relationships/hyperlink" Target="https://lispbox.wordpress.com/2016/10/25/les-lisps-de-patrick-copyright-c-patrick_35/" TargetMode="External" Id="rId180" /><Relationship Type="http://schemas.openxmlformats.org/officeDocument/2006/relationships/hyperlink" Target="https://www.cadwiesel.de/index.php?hp=downloads" TargetMode="External" Id="rId181" /><Relationship Type="http://schemas.openxmlformats.org/officeDocument/2006/relationships/hyperlink" Target="http://m.cizimokulu.com/list.php?c=autolisp_kod" TargetMode="External" Id="rId182" /><Relationship Type="http://schemas.openxmlformats.org/officeDocument/2006/relationships/hyperlink" Target="https://bosse-engineering.com/LISP-Tools/freeware.html" TargetMode="External" Id="rId183" /><Relationship Type="http://schemas.openxmlformats.org/officeDocument/2006/relationships/hyperlink" Target="https://kojacek.wordpress.com/2025/10/27/linie-lamane/" TargetMode="External" Id="rId184" /><Relationship Type="http://schemas.openxmlformats.org/officeDocument/2006/relationships/hyperlink" Target="https://www.andresdeltoro.es/categoria-producto/programas/" TargetMode="External" Id="rId185" /><Relationship Type="http://schemas.openxmlformats.org/officeDocument/2006/relationships/hyperlink" Target="https://www.cadwiesel.de/index.php?hp=downloads" TargetMode="External" Id="rId186" /><Relationship Type="http://schemas.openxmlformats.org/officeDocument/2006/relationships/hyperlink" Target="https://gilecad.azurewebsites.net/Lisp.aspx" TargetMode="External" Id="rId187" /><Relationship Type="http://schemas.openxmlformats.org/officeDocument/2006/relationships/hyperlink" Target="https://www.emicad.it/emilisp-free/" TargetMode="External" Id="rId188" /><Relationship Type="http://schemas.openxmlformats.org/officeDocument/2006/relationships/hyperlink" Target="https://www.emicad.it/emilisp-free/" TargetMode="External" Id="rId189" /><Relationship Type="http://schemas.openxmlformats.org/officeDocument/2006/relationships/hyperlink" Target="http://www.cad-huebner.de/lisp.htm" TargetMode="External" Id="rId190" /><Relationship Type="http://schemas.openxmlformats.org/officeDocument/2006/relationships/hyperlink" Target="https://www.emicad.it/emilisp-free/" TargetMode="External" Id="rId191" /><Relationship Type="http://schemas.openxmlformats.org/officeDocument/2006/relationships/hyperlink" Target="https://kojacek.wordpress.com/2018/11/20/vplayer-samopowtarzalny/" TargetMode="External" Id="rId192" /><Relationship Type="http://schemas.openxmlformats.org/officeDocument/2006/relationships/hyperlink" Target="https://kojacek.wordpress.com/2016/11/03/wymiar-polprzekroj/" TargetMode="External" Id="rId193" /><Relationship Type="http://schemas.openxmlformats.org/officeDocument/2006/relationships/hyperlink" Target="https://www.cadwiesel.de/index.php?hp=downloads" TargetMode="External" Id="rId194" /><Relationship Type="http://schemas.openxmlformats.org/officeDocument/2006/relationships/hyperlink" Target="https://www.emicad.it/emilisp-free/" TargetMode="External" Id="rId195" /><Relationship Type="http://schemas.openxmlformats.org/officeDocument/2006/relationships/hyperlink" Target="http://m.cizimokulu.com/list.php?c=autolisp_kod" TargetMode="External" Id="rId196" /><Relationship Type="http://schemas.openxmlformats.org/officeDocument/2006/relationships/hyperlink" Target="https://www.cadwiesel.de/index.php?hp=downloads" TargetMode="External" Id="rId197" /><Relationship Type="http://schemas.openxmlformats.org/officeDocument/2006/relationships/hyperlink" Target="https://gilecad.azurewebsites.net/Lisp.aspx" TargetMode="External" Id="rId198" /><Relationship Type="http://schemas.openxmlformats.org/officeDocument/2006/relationships/hyperlink" Target="https://lispbox.wordpress.com/2016/10/25/les-lisps-de-patrick-copyright-c-patrick_35/" TargetMode="External" Id="rId199" /><Relationship Type="http://schemas.openxmlformats.org/officeDocument/2006/relationships/hyperlink" Target="http://www.cad-huebner.de/lisp.htm" TargetMode="External" Id="rId200" /><Relationship Type="http://schemas.openxmlformats.org/officeDocument/2006/relationships/hyperlink" Target="https://cadtheque.com/routines-autolisp-autocad/" TargetMode="External" Id="rId201" /><Relationship Type="http://schemas.openxmlformats.org/officeDocument/2006/relationships/hyperlink" Target="https://www.cadwiesel.de/index.php?hp=downloads" TargetMode="External" Id="rId202" /><Relationship Type="http://schemas.openxmlformats.org/officeDocument/2006/relationships/hyperlink" Target="https://jamgpa.com/lisp/lisp.html" TargetMode="External" Id="rId203" /><Relationship Type="http://schemas.openxmlformats.org/officeDocument/2006/relationships/hyperlink" Target="https://www.andresdeltoro.es/categoria-producto/programas/" TargetMode="External" Id="rId204" /><Relationship Type="http://schemas.openxmlformats.org/officeDocument/2006/relationships/hyperlink" Target="https://www.cadwiesel.de/index.php?hp=downloads" TargetMode="External" Id="rId205" /><Relationship Type="http://schemas.openxmlformats.org/officeDocument/2006/relationships/hyperlink" Target="https://cadtheque.com/routines-autolisp-autocad/" TargetMode="External" Id="rId206" /><Relationship Type="http://schemas.openxmlformats.org/officeDocument/2006/relationships/hyperlink" Target="https://www.cadwiesel.de/index.php?hp=downloads" TargetMode="External" Id="rId207" /><Relationship Type="http://schemas.openxmlformats.org/officeDocument/2006/relationships/hyperlink" Target="https://kojacek.wordpress.com/2019/01/12/match-dimension-text/" TargetMode="External" Id="rId208" /><Relationship Type="http://schemas.openxmlformats.org/officeDocument/2006/relationships/hyperlink" Target="https://lispbox.wordpress.com/2016/10/25/les-lisps-de-patrick-copyright-c-patrick_35/" TargetMode="External" Id="rId209" /><Relationship Type="http://schemas.openxmlformats.org/officeDocument/2006/relationships/hyperlink" Target="https://kojacek.wordpress.com/2025/10/14/naroznik-wymiarow/" TargetMode="External" Id="rId210" /><Relationship Type="http://schemas.openxmlformats.org/officeDocument/2006/relationships/hyperlink" Target="https://kojacek.wordpress.com/2018/05/13/opis-bloku-2/" TargetMode="External" Id="rId211" /><Relationship Type="http://schemas.openxmlformats.org/officeDocument/2006/relationships/hyperlink" Target="https://github.com/chenhaibin/Utilitaires_AutoLisp" TargetMode="External" Id="rId212" /><Relationship Type="http://schemas.openxmlformats.org/officeDocument/2006/relationships/hyperlink" Target="https://kojacek.wordpress.com/2017/03/14/podzial-zamknietej-polilinii/" TargetMode="External" Id="rId213" /><Relationship Type="http://schemas.openxmlformats.org/officeDocument/2006/relationships/hyperlink" Target="https://www.emicad.it/emilisp-free/" TargetMode="External" Id="rId214" /><Relationship Type="http://schemas.openxmlformats.org/officeDocument/2006/relationships/hyperlink" Target="http://www.cad-huebner.de/lisp.htm" TargetMode="External" Id="rId215" /><Relationship Type="http://schemas.openxmlformats.org/officeDocument/2006/relationships/hyperlink" Target="https://kojacek.wordpress.com/2026/05/11/redefinicja-bloku-inaczej/" TargetMode="External" Id="rId216" /><Relationship Type="http://schemas.openxmlformats.org/officeDocument/2006/relationships/hyperlink" Target="https://www.emicad.it/emilisp-free/" TargetMode="External" Id="rId217" /><Relationship Type="http://schemas.openxmlformats.org/officeDocument/2006/relationships/hyperlink" Target="https://kojacek.wordpress.com/2022/04/19/text-to-attrib/" TargetMode="External" Id="rId218" /><Relationship Type="http://schemas.openxmlformats.org/officeDocument/2006/relationships/hyperlink" Target="https://lispbox.wordpress.com/2016/10/25/les-lisps-de-patrick-copyright-c-patrick_35/" TargetMode="External" Id="rId219" /><Relationship Type="http://schemas.openxmlformats.org/officeDocument/2006/relationships/hyperlink" Target="https://kojacek.wordpress.com/2026/01/04/zaokraglanie-wartosci-wymiaru/" TargetMode="External" Id="rId220" /><Relationship Type="http://schemas.openxmlformats.org/officeDocument/2006/relationships/hyperlink" Target="https://www.emicad.it/emilisp-free/" TargetMode="External" Id="rId221" /><Relationship Type="http://schemas.openxmlformats.org/officeDocument/2006/relationships/hyperlink" Target="https://www.cadwiesel.de/index.php?hp=downloads" TargetMode="External" Id="rId222" /><Relationship Type="http://schemas.openxmlformats.org/officeDocument/2006/relationships/hyperlink" Target="https://www.cadwiesel.de/index.php?hp=downloads" TargetMode="External" Id="rId223" /><Relationship Type="http://schemas.openxmlformats.org/officeDocument/2006/relationships/hyperlink" Target="https://github.com/kruuger/CADPL-Pack-v1" TargetMode="External" Id="rId224" /><Relationship Type="http://schemas.openxmlformats.org/officeDocument/2006/relationships/hyperlink" Target="https://www.cadwiesel.de/index.php?hp=downloads" TargetMode="External" Id="rId225" /><Relationship Type="http://schemas.openxmlformats.org/officeDocument/2006/relationships/hyperlink" Target="https://www.cadwiesel.de/index.php?hp=downloads" TargetMode="External" Id="rId226" /><Relationship Type="http://schemas.openxmlformats.org/officeDocument/2006/relationships/hyperlink" Target="https://www.cadwiesel.de/index.php?hp=downloads" TargetMode="External" Id="rId227" /><Relationship Type="http://schemas.openxmlformats.org/officeDocument/2006/relationships/hyperlink" Target="https://gilecad.azurewebsites.net/Lisp.aspx" TargetMode="External" Id="rId228" /><Relationship Type="http://schemas.openxmlformats.org/officeDocument/2006/relationships/hyperlink" Target="https://www.emicad.it/emilisp-free/" TargetMode="External" Id="rId229" /><Relationship Type="http://schemas.openxmlformats.org/officeDocument/2006/relationships/hyperlink" Target="https://www.cadwiesel.de/index.php?hp=downloads" TargetMode="External" Id="rId230" /><Relationship Type="http://schemas.openxmlformats.org/officeDocument/2006/relationships/hyperlink" Target="https://www.cadwiesel.de/index.php?hp=downloads" TargetMode="External" Id="rId231" /><Relationship Type="http://schemas.openxmlformats.org/officeDocument/2006/relationships/hyperlink" Target="https://bosse-engineering.com/LISP-Tools/freeware.html" TargetMode="External" Id="rId232" /><Relationship Type="http://schemas.openxmlformats.org/officeDocument/2006/relationships/hyperlink" Target="https://www.cadwiesel.de/index.php?hp=downloads" TargetMode="External" Id="rId233" /><Relationship Type="http://schemas.openxmlformats.org/officeDocument/2006/relationships/hyperlink" Target="https://www.alanmuhendislik.com/category/insaat/lispler/" TargetMode="External" Id="rId234" /><Relationship Type="http://schemas.openxmlformats.org/officeDocument/2006/relationships/hyperlink" Target="https://www.andresdeltoro.es/categoria-producto/programas/" TargetMode="External" Id="rId235" /><Relationship Type="http://schemas.openxmlformats.org/officeDocument/2006/relationships/hyperlink" Target="https://www.cadwiesel.de/index.php?hp=downloads" TargetMode="External" Id="rId236" /><Relationship Type="http://schemas.openxmlformats.org/officeDocument/2006/relationships/hyperlink" Target="https://www.alanmuhendislik.com/category/insaat/lispler/" TargetMode="External" Id="rId237" /><Relationship Type="http://schemas.openxmlformats.org/officeDocument/2006/relationships/hyperlink" Target="https://www.cadwiesel.de/index.php?hp=downloads" TargetMode="External" Id="rId238" /><Relationship Type="http://schemas.openxmlformats.org/officeDocument/2006/relationships/hyperlink" Target="https://www.cadwiesel.de/index.php?hp=downloads" TargetMode="External" Id="rId239" /><Relationship Type="http://schemas.openxmlformats.org/officeDocument/2006/relationships/hyperlink" Target="https://cad-spiegel.jimdofree.com/download-1/autolisp/" TargetMode="External" Id="rId240" /><Relationship Type="http://schemas.openxmlformats.org/officeDocument/2006/relationships/hyperlink" Target="https://kojacek.wordpress.com/2021/12/18/pomiar-dlugosci-krzywej-praktycznie/" TargetMode="External" Id="rId241" /><Relationship Type="http://schemas.openxmlformats.org/officeDocument/2006/relationships/hyperlink" Target="https://www.emicad.it/emilisp-free/" TargetMode="External" Id="rId242" /><Relationship Type="http://schemas.openxmlformats.org/officeDocument/2006/relationships/hyperlink" Target="https://kojacek.wordpress.com/2019/05/04/remove-fields/" TargetMode="External" Id="rId243" /><Relationship Type="http://schemas.openxmlformats.org/officeDocument/2006/relationships/hyperlink" Target="https://www.emicad.it/emilisp-free/" TargetMode="External" Id="rId244" /><Relationship Type="http://schemas.openxmlformats.org/officeDocument/2006/relationships/hyperlink" Target="https://kojacek.wordpress.com/2026/08/02/wiersz-kolumna-tabela/" TargetMode="External" Id="rId245" /><Relationship Type="http://schemas.openxmlformats.org/officeDocument/2006/relationships/hyperlink" Target="https://kojacek.wordpress.com/2024/09/08/zbior-wskazan-okreslony-krzywa/" TargetMode="External" Id="rId246" /><Relationship Type="http://schemas.openxmlformats.org/officeDocument/2006/relationships/hyperlink" Target="https://www.emicad.it/emilisp-free/" TargetMode="External" Id="rId247" /><Relationship Type="http://schemas.openxmlformats.org/officeDocument/2006/relationships/hyperlink" Target="http://m.cizimokulu.com/list.php?c=autolisp_kod" TargetMode="External" Id="rId248" /><Relationship Type="http://schemas.openxmlformats.org/officeDocument/2006/relationships/hyperlink" Target="https://kojacek.wordpress.com/2016/01/09/atrwyc-wyciag-danych-z-atrybutow-bloku/" TargetMode="External" Id="rId249" /><Relationship Type="http://schemas.openxmlformats.org/officeDocument/2006/relationships/hyperlink" Target="https://www.cadwiesel.de/index.php?hp=downloads" TargetMode="External" Id="rId250" /><Relationship Type="http://schemas.openxmlformats.org/officeDocument/2006/relationships/hyperlink" Target="https://www.cadwiesel.de/index.php?hp=downloads" TargetMode="External" Id="rId251" /><Relationship Type="http://schemas.openxmlformats.org/officeDocument/2006/relationships/hyperlink" Target="https://cadsite.be/lisp/lispdown.php" TargetMode="External" Id="rId252" /><Relationship Type="http://schemas.openxmlformats.org/officeDocument/2006/relationships/hyperlink" Target="https://www.andresdeltoro.es/categoria-producto/programas/" TargetMode="External" Id="rId253" /><Relationship Type="http://schemas.openxmlformats.org/officeDocument/2006/relationships/hyperlink" Target="https://www.andresdeltoro.es/categoria-producto/programas/" TargetMode="External" Id="rId254" /><Relationship Type="http://schemas.openxmlformats.org/officeDocument/2006/relationships/hyperlink" Target="https://kojacek.wordpress.com/2021/10/24/flatten-inaczej-3-poprawiona-wersja/" TargetMode="External" Id="rId255" /><Relationship Type="http://schemas.openxmlformats.org/officeDocument/2006/relationships/hyperlink" Target="https://kojacek.wordpress.com/2018/10/19/historia-bryl/" TargetMode="External" Id="rId256" /><Relationship Type="http://schemas.openxmlformats.org/officeDocument/2006/relationships/hyperlink" Target="https://cad-spiegel.jimdofree.com/download-1/autolisp/" TargetMode="External" Id="rId257" /><Relationship Type="http://schemas.openxmlformats.org/officeDocument/2006/relationships/hyperlink" Target="https://www.cadwiesel.de/index.php?hp=downloads" TargetMode="External" Id="rId258" /><Relationship Type="http://schemas.openxmlformats.org/officeDocument/2006/relationships/hyperlink" Target="https://www.cadwiesel.de/index.php?hp=downloads" TargetMode="External" Id="rId259" /><Relationship Type="http://schemas.openxmlformats.org/officeDocument/2006/relationships/hyperlink" Target="https://github.com/KubaMiszcz/MadziCAD-0.8-Lisp" TargetMode="External" Id="rId260" /><Relationship Type="http://schemas.openxmlformats.org/officeDocument/2006/relationships/hyperlink" Target="https://github.com/kruuger/CADPL-Pack-v1" TargetMode="External" Id="rId261" /><Relationship Type="http://schemas.openxmlformats.org/officeDocument/2006/relationships/hyperlink" Target="https://www.andresdeltoro.es/categoria-producto/programas/" TargetMode="External" Id="rId262" /><Relationship Type="http://schemas.openxmlformats.org/officeDocument/2006/relationships/hyperlink" Target="https://www.cadwiesel.de/index.php?hp=downloads" TargetMode="External" Id="rId263" /><Relationship Type="http://schemas.openxmlformats.org/officeDocument/2006/relationships/hyperlink" Target="http://m.cizimokulu.com/list.php?c=autolisp_kod" TargetMode="External" Id="rId264" /><Relationship Type="http://schemas.openxmlformats.org/officeDocument/2006/relationships/hyperlink" Target="https://www.emicad.it/emilisp-free/" TargetMode="External" Id="rId265" /><Relationship Type="http://schemas.openxmlformats.org/officeDocument/2006/relationships/hyperlink" Target="https://bosse-engineering.com/LISP-Tools/freeware.html" TargetMode="External" Id="rId266" /><Relationship Type="http://schemas.openxmlformats.org/officeDocument/2006/relationships/hyperlink" Target="https://kojacek.wordpress.com/2017/11/20/przerywanie-i-urywanie/" TargetMode="External" Id="rId267" /><Relationship Type="http://schemas.openxmlformats.org/officeDocument/2006/relationships/hyperlink" Target="https://gilecad.azurewebsites.net/Lisp.aspx" TargetMode="External" Id="rId268" /><Relationship Type="http://schemas.openxmlformats.org/officeDocument/2006/relationships/hyperlink" Target="https://www.emicad.it/emilisp-free/" TargetMode="External" Id="rId269" /><Relationship Type="http://schemas.openxmlformats.org/officeDocument/2006/relationships/hyperlink" Target="https://bosse-engineering.com/LISP-Tools/freeware.html" TargetMode="External" Id="rId270" /><Relationship Type="http://schemas.openxmlformats.org/officeDocument/2006/relationships/hyperlink" Target="https://www.emicad.it/emilisp-free/" TargetMode="External" Id="rId271" /><Relationship Type="http://schemas.openxmlformats.org/officeDocument/2006/relationships/hyperlink" Target="https://kojacek.wordpress.com/2017/10/30/uzgodnij-punkt-wstawienia-tekstu/" TargetMode="External" Id="rId272" /><Relationship Type="http://schemas.openxmlformats.org/officeDocument/2006/relationships/hyperlink" Target="https://lispbox.wordpress.com/2016/10/25/les-lisps-de-patrick-copyright-c-patrick_35/" TargetMode="External" Id="rId273" /><Relationship Type="http://schemas.openxmlformats.org/officeDocument/2006/relationships/hyperlink" Target="https://www.emicad.it/emilisp-free/" TargetMode="External" Id="rId274" /><Relationship Type="http://schemas.openxmlformats.org/officeDocument/2006/relationships/hyperlink" Target="https://www.cadwiesel.de/index.php?hp=downloads" TargetMode="External" Id="rId275" /><Relationship Type="http://schemas.openxmlformats.org/officeDocument/2006/relationships/hyperlink" Target="http://m.cizimokulu.com/list.php?c=autolisp_kod" TargetMode="External" Id="rId276" /><Relationship Type="http://schemas.openxmlformats.org/officeDocument/2006/relationships/hyperlink" Target="https://www.cadwiesel.de/index.php?hp=downloads" TargetMode="External" Id="rId277" /><Relationship Type="http://schemas.openxmlformats.org/officeDocument/2006/relationships/hyperlink" Target="https://www.emicad.it/emilisp-free/" TargetMode="External" Id="rId278" /><Relationship Type="http://schemas.openxmlformats.org/officeDocument/2006/relationships/hyperlink" Target="https://lispbox.wordpress.com/2016/10/25/les-lisps-de-patrick-copyright-c-patrick_35/" TargetMode="External" Id="rId279" /><Relationship Type="http://schemas.openxmlformats.org/officeDocument/2006/relationships/hyperlink" Target="https://www.cadwiesel.de/index.php?hp=downloads" TargetMode="External" Id="rId280" /><Relationship Type="http://schemas.openxmlformats.org/officeDocument/2006/relationships/hyperlink" Target="https://gilecad.azurewebsites.net/Lisp.aspx" TargetMode="External" Id="rId281" /><Relationship Type="http://schemas.openxmlformats.org/officeDocument/2006/relationships/hyperlink" Target="https://www.cadwiesel.de/index.php?hp=downloads" TargetMode="External" Id="rId282" /><Relationship Type="http://schemas.openxmlformats.org/officeDocument/2006/relationships/hyperlink" Target="https://github.com/Fabien034/Lisp" TargetMode="External" Id="rId283" /><Relationship Type="http://schemas.openxmlformats.org/officeDocument/2006/relationships/hyperlink" Target="https://www.emicad.it/utility-lisp/" TargetMode="External" Id="rId284" /><Relationship Type="http://schemas.openxmlformats.org/officeDocument/2006/relationships/hyperlink" Target="https://kojacek.wordpress.com/2018/01/12/nowy-plav/" TargetMode="External" Id="rId285" /><Relationship Type="http://schemas.openxmlformats.org/officeDocument/2006/relationships/hyperlink" Target="https://gilecad.azurewebsites.net/Lisp.aspx" TargetMode="External" Id="rId286" /><Relationship Type="http://schemas.openxmlformats.org/officeDocument/2006/relationships/hyperlink" Target="https://cadsite.be/lisp/lispdown.php" TargetMode="External" Id="rId287" /><Relationship Type="http://schemas.openxmlformats.org/officeDocument/2006/relationships/hyperlink" Target="https://www.emicad.it/emilisp-free/" TargetMode="External" Id="rId288" /><Relationship Type="http://schemas.openxmlformats.org/officeDocument/2006/relationships/hyperlink" Target="https://kojacek.wordpress.com/2017/10/26/usuwanie-blokow-zagniezdzonych/" TargetMode="External" Id="rId289" /><Relationship Type="http://schemas.openxmlformats.org/officeDocument/2006/relationships/hyperlink" Target="https://kojacek.wordpress.com/2021/02/13/wpolrzedne-geograficzne-lisp-em-wersja-2/" TargetMode="External" Id="rId290" /><Relationship Type="http://schemas.openxmlformats.org/officeDocument/2006/relationships/hyperlink" Target="https://kojacek.wordpress.com/2019/09/29/wybieranie-niewybieralnych/" TargetMode="External" Id="rId291" /><Relationship Type="http://schemas.openxmlformats.org/officeDocument/2006/relationships/hyperlink" Target="http://m.cizimokulu.com/list.php?c=autolisp_kod" TargetMode="External" Id="rId292" /><Relationship Type="http://schemas.openxmlformats.org/officeDocument/2006/relationships/hyperlink" Target="https://www.emicad.it/emilisp-free/" TargetMode="External" Id="rId293" /><Relationship Type="http://schemas.openxmlformats.org/officeDocument/2006/relationships/hyperlink" Target="https://gilecad.azurewebsites.net/Lisp.aspx" TargetMode="External" Id="rId294" /><Relationship Type="http://schemas.openxmlformats.org/officeDocument/2006/relationships/hyperlink" Target="https://www.cadwiesel.de/index.php?hp=downloads" TargetMode="External" Id="rId295" /><Relationship Type="http://schemas.openxmlformats.org/officeDocument/2006/relationships/hyperlink" Target="https://kojacek.wordpress.com/2018/02/26/bloki-przyciete-2/" TargetMode="External" Id="rId296" /><Relationship Type="http://schemas.openxmlformats.org/officeDocument/2006/relationships/hyperlink" Target="https://www.emicad.it/emilisp-free/" TargetMode="External" Id="rId297" /><Relationship Type="http://schemas.openxmlformats.org/officeDocument/2006/relationships/hyperlink" Target="https://github.com/kruuger/CADPL-Pack-v1" TargetMode="External" Id="rId298" /><Relationship Type="http://schemas.openxmlformats.org/officeDocument/2006/relationships/hyperlink" Target="https://github.com/kruuger/CADPL-Pack-v1" TargetMode="External" Id="rId299" /><Relationship Type="http://schemas.openxmlformats.org/officeDocument/2006/relationships/hyperlink" Target="https://kojacek.wordpress.com/2020/08/14/dgn-linetype/" TargetMode="External" Id="rId300" /><Relationship Type="http://schemas.openxmlformats.org/officeDocument/2006/relationships/hyperlink" Target="https://kojacek.wordpress.com/2024/05/26/dostep-do-elementow-szyku/" TargetMode="External" Id="rId301" /><Relationship Type="http://schemas.openxmlformats.org/officeDocument/2006/relationships/hyperlink" Target="https://kojacek.wordpress.com/2025/06/22/edycja-multilinii-powraca-1/" TargetMode="External" Id="rId302" /><Relationship Type="http://schemas.openxmlformats.org/officeDocument/2006/relationships/hyperlink" Target="https://lispbox.wordpress.com/2016/10/25/les-lisps-de-patrick-copyright-c-patrick_35/" TargetMode="External" Id="rId303" /><Relationship Type="http://schemas.openxmlformats.org/officeDocument/2006/relationships/hyperlink" Target="https://www.emicad.it/emilisp-free/" TargetMode="External" Id="rId304" /><Relationship Type="http://schemas.openxmlformats.org/officeDocument/2006/relationships/hyperlink" Target="https://gilecad.azurewebsites.net/Lisp.aspx" TargetMode="External" Id="rId305" /><Relationship Type="http://schemas.openxmlformats.org/officeDocument/2006/relationships/hyperlink" Target="https://www.cadwiesel.de/index.php?hp=downloads" TargetMode="External" Id="rId306" /><Relationship Type="http://schemas.openxmlformats.org/officeDocument/2006/relationships/hyperlink" Target="https://cad-spiegel.jimdofree.com/download-1/autolisp/" TargetMode="External" Id="rId307" /><Relationship Type="http://schemas.openxmlformats.org/officeDocument/2006/relationships/hyperlink" Target="https://bosse-engineering.com/LISP-Tools/freeware.html" TargetMode="External" Id="rId308" /><Relationship Type="http://schemas.openxmlformats.org/officeDocument/2006/relationships/hyperlink" Target="https://kojacek.wordpress.com/2017/11/13/zamiana-mline-na-lwpolyline/" TargetMode="External" Id="rId309" /><Relationship Type="http://schemas.openxmlformats.org/officeDocument/2006/relationships/hyperlink" Target="https://www.emicad.it/emilisp-free/" TargetMode="External" Id="rId310" /><Relationship Type="http://schemas.openxmlformats.org/officeDocument/2006/relationships/hyperlink" Target="https://www.cadwiesel.de/index.php?hp=downloads" TargetMode="External" Id="rId311" /><Relationship Type="http://schemas.openxmlformats.org/officeDocument/2006/relationships/hyperlink" Target="https://www.emicad.it/emilisp-free/" TargetMode="External" Id="rId312" /><Relationship Type="http://schemas.openxmlformats.org/officeDocument/2006/relationships/hyperlink" Target="https://www.cadwiesel.de/index.php?hp=downloads" TargetMode="External" Id="rId313" /><Relationship Type="http://schemas.openxmlformats.org/officeDocument/2006/relationships/hyperlink" Target="https://lispbox.wordpress.com/2016/10/25/les-lisps-de-patrick-copyright-c-patrick_35/" TargetMode="External" Id="rId314" /><Relationship Type="http://schemas.openxmlformats.org/officeDocument/2006/relationships/hyperlink" Target="https://kojacek.wordpress.com/2015/11/01/rozbijanie-polilinii/" TargetMode="External" Id="rId315" /><Relationship Type="http://schemas.openxmlformats.org/officeDocument/2006/relationships/hyperlink" Target="https://www.emicad.it/emilisp-free/" TargetMode="External" Id="rId316" /><Relationship Type="http://schemas.openxmlformats.org/officeDocument/2006/relationships/hyperlink" Target="https://www.andresdeltoro.es/categoria-producto/programas/" TargetMode="External" Id="rId317" /><Relationship Type="http://schemas.openxmlformats.org/officeDocument/2006/relationships/hyperlink" Target="https://www.cadwiesel.de/index.php?hp=downloads" TargetMode="External" Id="rId318" /><Relationship Type="http://schemas.openxmlformats.org/officeDocument/2006/relationships/hyperlink" Target="https://kojacek.wordpress.com/2016/11/10/wymiar-indeks-gorny/" TargetMode="External" Id="rId319" /><Relationship Type="http://schemas.openxmlformats.org/officeDocument/2006/relationships/hyperlink" Target="https://kojacek.wordpress.com/2016/09/17/zbior-wskazan-statystyka/" TargetMode="External" Id="rId320" /><Relationship Type="http://schemas.openxmlformats.org/officeDocument/2006/relationships/hyperlink" Target="https://bosse-engineering.com/LISP-Tools/freeware.html" TargetMode="External" Id="rId321" /><Relationship Type="http://schemas.openxmlformats.org/officeDocument/2006/relationships/hyperlink" Target="https://github.com/chenhaibin/Utilitaires_AutoLisp" TargetMode="External" Id="rId322" /><Relationship Type="http://schemas.openxmlformats.org/officeDocument/2006/relationships/hyperlink" Target="https://www.cadwiesel.de/index.php?hp=downloads" TargetMode="External" Id="rId323" /><Relationship Type="http://schemas.openxmlformats.org/officeDocument/2006/relationships/hyperlink" Target="https://cadtheque.com/routines-autolisp-autocad/" TargetMode="External" Id="rId324" /><Relationship Type="http://schemas.openxmlformats.org/officeDocument/2006/relationships/hyperlink" Target="https://www.emicad.it/emilisp-free/" TargetMode="External" Id="rId325" /><Relationship Type="http://schemas.openxmlformats.org/officeDocument/2006/relationships/hyperlink" Target="https://github.com/kruuger/CADPL-Pack-v1" TargetMode="External" Id="rId326" /><Relationship Type="http://schemas.openxmlformats.org/officeDocument/2006/relationships/hyperlink" Target="https://kojacek.wordpress.com/2025/10/12/zmiana-bloku-dynamicznego-na-statyczny/" TargetMode="External" Id="rId327" /><Relationship Type="http://schemas.openxmlformats.org/officeDocument/2006/relationships/hyperlink" Target="https://gilecad.azurewebsites.net/Lisp.aspx" TargetMode="External" Id="rId328" /><Relationship Type="http://schemas.openxmlformats.org/officeDocument/2006/relationships/hyperlink" Target="https://kojacek.wordpress.com/2019/01/24/kreskowanie-w-bloku/" TargetMode="External" Id="rId329" /><Relationship Type="http://schemas.openxmlformats.org/officeDocument/2006/relationships/hyperlink" Target="https://www.cadwiesel.de/index.php?hp=downloads" TargetMode="External" Id="rId330" /><Relationship Type="http://schemas.openxmlformats.org/officeDocument/2006/relationships/hyperlink" Target="https://kojacek.wordpress.com/2016/09/29/linie-z-grotem-czyli-strzalki-2/" TargetMode="External" Id="rId331" /><Relationship Type="http://schemas.openxmlformats.org/officeDocument/2006/relationships/hyperlink" Target="https://www.cadwiesel.de/index.php?hp=downloads" TargetMode="External" Id="rId332" /><Relationship Type="http://schemas.openxmlformats.org/officeDocument/2006/relationships/hyperlink" Target="https://gilecad.azurewebsites.net/Lisp.aspx" TargetMode="External" Id="rId333" /><Relationship Type="http://schemas.openxmlformats.org/officeDocument/2006/relationships/hyperlink" Target="https://www.andresdeltoro.es/categoria-producto/programas/" TargetMode="External" Id="rId334" /><Relationship Type="http://schemas.openxmlformats.org/officeDocument/2006/relationships/hyperlink" Target="https://jamgpa.com/lisp/lisp.html" TargetMode="External" Id="rId335" /><Relationship Type="http://schemas.openxmlformats.org/officeDocument/2006/relationships/hyperlink" Target="https://kojacek.wordpress.com/2025/10/21/wymiary-zablokowane/" TargetMode="External" Id="rId336" /><Relationship Type="http://schemas.openxmlformats.org/officeDocument/2006/relationships/hyperlink" Target="http://www.cad-huebner.de/lisp.htm" TargetMode="External" Id="rId337" /><Relationship Type="http://schemas.openxmlformats.org/officeDocument/2006/relationships/hyperlink" Target="https://www.cadwiesel.de/index.php?hp=downloads" TargetMode="External" Id="rId338" /><Relationship Type="http://schemas.openxmlformats.org/officeDocument/2006/relationships/hyperlink" Target="https://kojacek.wordpress.com/2016/12/12/closeall/" TargetMode="External" Id="rId339" /><Relationship Type="http://schemas.openxmlformats.org/officeDocument/2006/relationships/hyperlink" Target="https://www.emicad.it/emilisp-free/" TargetMode="External" Id="rId340" /><Relationship Type="http://schemas.openxmlformats.org/officeDocument/2006/relationships/hyperlink" Target="https://www.emicad.it/emilisp-free/" TargetMode="External" Id="rId341" /><Relationship Type="http://schemas.openxmlformats.org/officeDocument/2006/relationships/hyperlink" Target="https://www.cadwiesel.de/index.php?hp=downloads" TargetMode="External" Id="rId342" /><Relationship Type="http://schemas.openxmlformats.org/officeDocument/2006/relationships/hyperlink" Target="https://www.cadwiesel.de/index.php?hp=downloads" TargetMode="External" Id="rId343" /><Relationship Type="http://schemas.openxmlformats.org/officeDocument/2006/relationships/hyperlink" Target="https://cadtheque.com/routines-autolisp-autocad/" TargetMode="External" Id="rId344" /><Relationship Type="http://schemas.openxmlformats.org/officeDocument/2006/relationships/hyperlink" Target="https://cadsite.be/lisp/lispdown.php" TargetMode="External" Id="rId345" /><Relationship Type="http://schemas.openxmlformats.org/officeDocument/2006/relationships/hyperlink" Target="https://kojacek.wordpress.com/2020/08/26/minsert-to-insert/" TargetMode="External" Id="rId346" /><Relationship Type="http://schemas.openxmlformats.org/officeDocument/2006/relationships/hyperlink" Target="https://lispbox.wordpress.com/2016/10/25/les-lisps-de-patrick-copyright-c-patrick_35/" TargetMode="External" Id="rId347" /><Relationship Type="http://schemas.openxmlformats.org/officeDocument/2006/relationships/hyperlink" Target="https://bosse-engineering.com/LISP-Tools/freeware.html" TargetMode="External" Id="rId348" /><Relationship Type="http://schemas.openxmlformats.org/officeDocument/2006/relationships/hyperlink" Target="https://github.com/kruuger/CADPL-Pack-v1" TargetMode="External" Id="rId349" /><Relationship Type="http://schemas.openxmlformats.org/officeDocument/2006/relationships/hyperlink" Target="https://kojacek.wordpress.com/2016/12/07/tekst-izometryczny/" TargetMode="External" Id="rId350" /><Relationship Type="http://schemas.openxmlformats.org/officeDocument/2006/relationships/hyperlink" Target="https://jamgpa.com/lisp/lisp.html" TargetMode="External" Id="rId351" /><Relationship Type="http://schemas.openxmlformats.org/officeDocument/2006/relationships/hyperlink" Target="https://www.cadwiesel.de/index.php?hp=downloads" TargetMode="External" Id="rId352" /><Relationship Type="http://schemas.openxmlformats.org/officeDocument/2006/relationships/hyperlink" Target="https://github.com/kruuger/CADPL-Pack-v1" TargetMode="External" Id="rId353" /><Relationship Type="http://schemas.openxmlformats.org/officeDocument/2006/relationships/hyperlink" Target="https://www.emicad.it/emilisp-free/" TargetMode="External" Id="rId354" /><Relationship Type="http://schemas.openxmlformats.org/officeDocument/2006/relationships/hyperlink" Target="https://www.emicad.it/emilisp-free/" TargetMode="External" Id="rId355" /><Relationship Type="http://schemas.openxmlformats.org/officeDocument/2006/relationships/hyperlink" Target="https://gilecad.azurewebsites.net/Lisp.aspx" TargetMode="External" Id="rId356" /><Relationship Type="http://schemas.openxmlformats.org/officeDocument/2006/relationships/hyperlink" Target="https://www.emicad.it/emilisp-free/" TargetMode="External" Id="rId357" /><Relationship Type="http://schemas.openxmlformats.org/officeDocument/2006/relationships/hyperlink" Target="https://www.emicad.it/emilisp-free/" TargetMode="External" Id="rId358" /><Relationship Type="http://schemas.openxmlformats.org/officeDocument/2006/relationships/hyperlink" Target="https://gilecad.azurewebsites.net/Lisp.aspx" TargetMode="External" Id="rId359" /><Relationship Type="http://schemas.openxmlformats.org/officeDocument/2006/relationships/hyperlink" Target="https://cadsite.be/lisp/lispdown.php" TargetMode="External" Id="rId360" /><Relationship Type="http://schemas.openxmlformats.org/officeDocument/2006/relationships/hyperlink" Target="https://www.cadwiesel.de/index.php?hp=downloads" TargetMode="External" Id="rId361" /><Relationship Type="http://schemas.openxmlformats.org/officeDocument/2006/relationships/hyperlink" Target="https://www.emicad.it/emilisp-free/" TargetMode="External" Id="rId362" /><Relationship Type="http://schemas.openxmlformats.org/officeDocument/2006/relationships/hyperlink" Target="https://www.emicad.it/emilisp-free/" TargetMode="External" Id="rId363" /><Relationship Type="http://schemas.openxmlformats.org/officeDocument/2006/relationships/hyperlink" Target="https://cadsite.be/lisp/lispdown.php" TargetMode="External" Id="rId364" /><Relationship Type="http://schemas.openxmlformats.org/officeDocument/2006/relationships/hyperlink" Target="https://kojacek.wordpress.com/2016/11/07/konwersja-elipsy-do-polilinii/" TargetMode="External" Id="rId365" /><Relationship Type="http://schemas.openxmlformats.org/officeDocument/2006/relationships/hyperlink" Target="https://www.cadwiesel.de/index.php?hp=downloads" TargetMode="External" Id="rId366" /><Relationship Type="http://schemas.openxmlformats.org/officeDocument/2006/relationships/hyperlink" Target="https://bosse-engineering.com/LISP-Tools/freeware.html" TargetMode="External" Id="rId367" /><Relationship Type="http://schemas.openxmlformats.org/officeDocument/2006/relationships/hyperlink" Target="https://kojacek.wordpress.com/2019/04/05/mtext-usuwanie-maski-tla/" TargetMode="External" Id="rId368" /><Relationship Type="http://schemas.openxmlformats.org/officeDocument/2006/relationships/hyperlink" Target="https://www.zwcad.pl/nakladki-na-zwcad/darmowe-nakladki-i-skrypty.html" TargetMode="External" Id="rId369" /><Relationship Type="http://schemas.openxmlformats.org/officeDocument/2006/relationships/hyperlink" Target="https://www.cadwiesel.de/index.php?hp=downloads" TargetMode="External" Id="rId370" /><Relationship Type="http://schemas.openxmlformats.org/officeDocument/2006/relationships/hyperlink" Target="https://github.com/chenhaibin/Utilitaires_AutoLisp" TargetMode="External" Id="rId371" /><Relationship Type="http://schemas.openxmlformats.org/officeDocument/2006/relationships/hyperlink" Target="https://gilecad.azurewebsites.net/Lisp.aspx" TargetMode="External" Id="rId372" /><Relationship Type="http://schemas.openxmlformats.org/officeDocument/2006/relationships/hyperlink" Target="https://www.cadwiesel.de/index.php?hp=downloads" TargetMode="External" Id="rId373" /><Relationship Type="http://schemas.openxmlformats.org/officeDocument/2006/relationships/hyperlink" Target="https://www.zwcad.pl/nakladki-na-zwcad/darmowe-nakladki-i-skrypty.html" TargetMode="External" Id="rId374" /><Relationship Type="http://schemas.openxmlformats.org/officeDocument/2006/relationships/hyperlink" Target="https://kojacek.wordpress.com/2018/07/07/weldline/" TargetMode="External" Id="rId375" /><Relationship Type="http://schemas.openxmlformats.org/officeDocument/2006/relationships/hyperlink" Target="https://jamgpa.com/lisp/lisp.html" TargetMode="External" Id="rId376" /><Relationship Type="http://schemas.openxmlformats.org/officeDocument/2006/relationships/hyperlink" Target="https://bosse-engineering.com/LISP-Tools/freeware.html" TargetMode="External" Id="rId377" /><Relationship Type="http://schemas.openxmlformats.org/officeDocument/2006/relationships/hyperlink" Target="https://www.emicad.it/emilisp-free/" TargetMode="External" Id="rId378" /><Relationship Type="http://schemas.openxmlformats.org/officeDocument/2006/relationships/hyperlink" Target="https://lispbox.wordpress.com/2016/10/25/les-lisps-de-patrick-copyright-c-patrick_35/" TargetMode="External" Id="rId379" /><Relationship Type="http://schemas.openxmlformats.org/officeDocument/2006/relationships/hyperlink" Target="https://www.cadwiesel.de/index.php?hp=downloads" TargetMode="External" Id="rId380" /><Relationship Type="http://schemas.openxmlformats.org/officeDocument/2006/relationships/hyperlink" Target="https://www.cadwiesel.de/index.php?hp=downloads" TargetMode="External" Id="rId381" /><Relationship Type="http://schemas.openxmlformats.org/officeDocument/2006/relationships/hyperlink" Target="https://www.emicad.it/emilisp-free/" TargetMode="External" Id="rId382" /><Relationship Type="http://schemas.openxmlformats.org/officeDocument/2006/relationships/hyperlink" Target="https://bosse-engineering.com/LISP-Tools/freeware.html" TargetMode="External" Id="rId383" /><Relationship Type="http://schemas.openxmlformats.org/officeDocument/2006/relationships/hyperlink" Target="https://kojacek.wordpress.com/2025/12/04/hat-hatch-transperency/" TargetMode="External" Id="rId384" /><Relationship Type="http://schemas.openxmlformats.org/officeDocument/2006/relationships/hyperlink" Target="https://www.cadwiesel.de/index.php?hp=downloads" TargetMode="External" Id="rId385" /><Relationship Type="http://schemas.openxmlformats.org/officeDocument/2006/relationships/hyperlink" Target="https://www.cadwiesel.de/index.php?hp=downloads" TargetMode="External" Id="rId386" /><Relationship Type="http://schemas.openxmlformats.org/officeDocument/2006/relationships/hyperlink" Target="https://www.cadwiesel.de/index.php?hp=downloads" TargetMode="External" Id="rId387" /><Relationship Type="http://schemas.openxmlformats.org/officeDocument/2006/relationships/hyperlink" Target="https://www.emicad.it/emilisp-free/" TargetMode="External" Id="rId388" /><Relationship Type="http://schemas.openxmlformats.org/officeDocument/2006/relationships/hyperlink" Target="https://cad-spiegel.jimdofree.com/download-1/autolisp/" TargetMode="External" Id="rId389" /><Relationship Type="http://schemas.openxmlformats.org/officeDocument/2006/relationships/hyperlink" Target="https://www.cadwiesel.de/index.php?hp=downloads" TargetMode="External" Id="rId390" /><Relationship Type="http://schemas.openxmlformats.org/officeDocument/2006/relationships/hyperlink" Target="https://github.com/kruuger/CADPL-Pack-v1" TargetMode="External" Id="rId391" /><Relationship Type="http://schemas.openxmlformats.org/officeDocument/2006/relationships/hyperlink" Target="https://kojacek.wordpress.com/2022/08/31/text-2-3dsolid/" TargetMode="External" Id="rId392" /><Relationship Type="http://schemas.openxmlformats.org/officeDocument/2006/relationships/hyperlink" Target="https://bosse-engineering.com/LISP-Tools/freeware.html" TargetMode="External" Id="rId393" /><Relationship Type="http://schemas.openxmlformats.org/officeDocument/2006/relationships/hyperlink" Target="http://m.cizimokulu.com/list.php?c=autolisp_kod" TargetMode="External" Id="rId394" /><Relationship Type="http://schemas.openxmlformats.org/officeDocument/2006/relationships/hyperlink" Target="https://www.emicad.it/emilisp-free/" TargetMode="External" Id="rId395" /><Relationship Type="http://schemas.openxmlformats.org/officeDocument/2006/relationships/hyperlink" Target="https://www.cadwiesel.de/index.php?hp=downloads" TargetMode="External" Id="rId396" /><Relationship Type="http://schemas.openxmlformats.org/officeDocument/2006/relationships/hyperlink" Target="https://cadsite.be/lisp/lispdown.php" TargetMode="External" Id="rId397" /><Relationship Type="http://schemas.openxmlformats.org/officeDocument/2006/relationships/hyperlink" Target="https://www.cadwiesel.de/index.php?hp=downloads" TargetMode="External" Id="rId398" /><Relationship Type="http://schemas.openxmlformats.org/officeDocument/2006/relationships/hyperlink" Target="https://github.com/kruuger/CADPL-Pack-v1" TargetMode="External" Id="rId399" /><Relationship Type="http://schemas.openxmlformats.org/officeDocument/2006/relationships/hyperlink" Target="https://www.andresdeltoro.es/categoria-producto/programas/" TargetMode="External" Id="rId400" /><Relationship Type="http://schemas.openxmlformats.org/officeDocument/2006/relationships/hyperlink" Target="https://www.cadwiesel.de/index.php?hp=downloads" TargetMode="External" Id="rId401" /><Relationship Type="http://schemas.openxmlformats.org/officeDocument/2006/relationships/hyperlink" Target="https://www.emicad.it/emilisp-free/" TargetMode="External" Id="rId402" /><Relationship Type="http://schemas.openxmlformats.org/officeDocument/2006/relationships/hyperlink" Target="https://www.zwcad.pl/nakladki-na-zwcad/darmowe-nakladki-i-skrypty.html" TargetMode="External" Id="rId403" /><Relationship Type="http://schemas.openxmlformats.org/officeDocument/2006/relationships/hyperlink" Target="https://www.cadwiesel.de/index.php?hp=downloads" TargetMode="External" Id="rId404" /><Relationship Type="http://schemas.openxmlformats.org/officeDocument/2006/relationships/hyperlink" Target="https://www.cadwiesel.de/index.php?hp=downloads" TargetMode="External" Id="rId405" /><Relationship Type="http://schemas.openxmlformats.org/officeDocument/2006/relationships/hyperlink" Target="https://www.cadwiesel.de/index.php?hp=downloads" TargetMode="External" Id="rId406" /><Relationship Type="http://schemas.openxmlformats.org/officeDocument/2006/relationships/hyperlink" Target="https://www.emicad.it/emilisp-free/" TargetMode="External" Id="rId407" /><Relationship Type="http://schemas.openxmlformats.org/officeDocument/2006/relationships/hyperlink" Target="https://www.cadwiesel.de/index.php?hp=downloads" TargetMode="External" Id="rId408" /><Relationship Type="http://schemas.openxmlformats.org/officeDocument/2006/relationships/hyperlink" Target="https://kojacek.wordpress.com/2015/09/20/podzial-krzywych/" TargetMode="External" Id="rId409" /><Relationship Type="http://schemas.openxmlformats.org/officeDocument/2006/relationships/hyperlink" Target="https://kojacek.wordpress.com/2015/12/22/rysowanie-strzalki/" TargetMode="External" Id="rId410" /><Relationship Type="http://schemas.openxmlformats.org/officeDocument/2006/relationships/hyperlink" Target="https://www.cadwiesel.de/index.php?hp=downloads" TargetMode="External" Id="rId411" /><Relationship Type="http://schemas.openxmlformats.org/officeDocument/2006/relationships/hyperlink" Target="https://kojacek.wordpress.com/2019/04/28/sleader/" TargetMode="External" Id="rId412" /><Relationship Type="http://schemas.openxmlformats.org/officeDocument/2006/relationships/hyperlink" Target="https://gilecad.azurewebsites.net/Lisp.aspx" TargetMode="External" Id="rId413" /><Relationship Type="http://schemas.openxmlformats.org/officeDocument/2006/relationships/hyperlink" Target="https://bosse-engineering.com/LISP-Tools/freeware.html" TargetMode="External" Id="rId414" /><Relationship Type="http://schemas.openxmlformats.org/officeDocument/2006/relationships/hyperlink" Target="https://www.emicad.it/emilisp-free/" TargetMode="External" Id="rId415" /><Relationship Type="http://schemas.openxmlformats.org/officeDocument/2006/relationships/hyperlink" Target="http://m.cizimokulu.com/list.php?c=autolisp_kod" TargetMode="External" Id="rId416" /><Relationship Type="http://schemas.openxmlformats.org/officeDocument/2006/relationships/hyperlink" Target="https://www.cadwiesel.de/index.php?hp=downloads" TargetMode="External" Id="rId417" /><Relationship Type="http://schemas.openxmlformats.org/officeDocument/2006/relationships/hyperlink" Target="https://kojacek.wordpress.com/2017/01/10/dopelnienie-luku-plus/" TargetMode="External" Id="rId418" /><Relationship Type="http://schemas.openxmlformats.org/officeDocument/2006/relationships/hyperlink" Target="https://gilecad.azurewebsites.net/Lisp.aspx" TargetMode="External" Id="rId419" /><Relationship Type="http://schemas.openxmlformats.org/officeDocument/2006/relationships/hyperlink" Target="https://www.emicad.it/emilisp-free/" TargetMode="External" Id="rId420" /><Relationship Type="http://schemas.openxmlformats.org/officeDocument/2006/relationships/hyperlink" Target="https://gilecad.azurewebsites.net/Lisp.aspx" TargetMode="External" Id="rId421" /><Relationship Type="http://schemas.openxmlformats.org/officeDocument/2006/relationships/hyperlink" Target="https://www.cadwiesel.de/index.php?hp=downloads" TargetMode="External" Id="rId422" /><Relationship Type="http://schemas.openxmlformats.org/officeDocument/2006/relationships/hyperlink" Target="https://www.emicad.it/emilisp-free/" TargetMode="External" Id="rId423" /><Relationship Type="http://schemas.openxmlformats.org/officeDocument/2006/relationships/hyperlink" Target="https://lispbox.wordpress.com/2016/10/25/les-lisps-de-patrick-copyright-c-patrick_35/" TargetMode="External" Id="rId424" /><Relationship Type="http://schemas.openxmlformats.org/officeDocument/2006/relationships/hyperlink" Target="https://www.emicad.it/emilisp-free/" TargetMode="External" Id="rId425" /><Relationship Type="http://schemas.openxmlformats.org/officeDocument/2006/relationships/hyperlink" Target="https://www.emicad.it/emilisp-free/" TargetMode="External" Id="rId426" /><Relationship Type="http://schemas.openxmlformats.org/officeDocument/2006/relationships/hyperlink" Target="https://github.com/kruuger/CADPL-Pack-v1" TargetMode="External" Id="rId427" /><Relationship Type="http://schemas.openxmlformats.org/officeDocument/2006/relationships/hyperlink" Target="https://kojacek.wordpress.com/2016/11/14/konwersja-3d-polyline-na-lwpolyline/" TargetMode="External" Id="rId428" /><Relationship Type="http://schemas.openxmlformats.org/officeDocument/2006/relationships/hyperlink" Target="https://www.cadwiesel.de/index.php?hp=downloads" TargetMode="External" Id="rId429" /><Relationship Type="http://schemas.openxmlformats.org/officeDocument/2006/relationships/hyperlink" Target="https://www.cadwiesel.de/index.php?hp=downloads" TargetMode="External" Id="rId430" /><Relationship Type="http://schemas.openxmlformats.org/officeDocument/2006/relationships/hyperlink" Target="https://www.emicad.it/emilisp-free/" TargetMode="External" Id="rId431" /><Relationship Type="http://schemas.openxmlformats.org/officeDocument/2006/relationships/hyperlink" Target="https://www.cadwiesel.de/index.php?hp=downloads" TargetMode="External" Id="rId432" /><Relationship Type="http://schemas.openxmlformats.org/officeDocument/2006/relationships/hyperlink" Target="https://kojacek.wordpress.com/2015/09/17/kolor-tla-ekranu/" TargetMode="External" Id="rId433" /><Relationship Type="http://schemas.openxmlformats.org/officeDocument/2006/relationships/hyperlink" Target="https://cadtheque.com/routines-autolisp-autocad/" TargetMode="External" Id="rId434" /><Relationship Type="http://schemas.openxmlformats.org/officeDocument/2006/relationships/hyperlink" Target="https://kojacek.wordpress.com/2016/08/29/zarzadzanie-paskami-narzedzi/" TargetMode="External" Id="rId435" /><Relationship Type="http://schemas.openxmlformats.org/officeDocument/2006/relationships/hyperlink" Target="https://www.cadwiesel.de/index.php?hp=downloads" TargetMode="External" Id="rId436" /><Relationship Type="http://schemas.openxmlformats.org/officeDocument/2006/relationships/hyperlink" Target="https://www.emicad.it/emilisp-free/" TargetMode="External" Id="rId437" /><Relationship Type="http://schemas.openxmlformats.org/officeDocument/2006/relationships/hyperlink" Target="https://www.cadwiesel.de/index.php?hp=downloads" TargetMode="External" Id="rId438" /><Relationship Type="http://schemas.openxmlformats.org/officeDocument/2006/relationships/hyperlink" Target="https://kojacek.wordpress.com/2018/06/05/widocznosc-xref-ow/" TargetMode="External" Id="rId439" /><Relationship Type="http://schemas.openxmlformats.org/officeDocument/2006/relationships/hyperlink" Target="https://kojacek.wordpress.com/2017/03/07/zbior-wskazan-zaznaczony-polilinia/" TargetMode="External" Id="rId440" /><Relationship Type="http://schemas.openxmlformats.org/officeDocument/2006/relationships/hyperlink" Target="https://kojacek.wordpress.com/2021/06/20/zmiana-widocznosci-atrybutow-bloku/" TargetMode="External" Id="rId441" /><Relationship Type="http://schemas.openxmlformats.org/officeDocument/2006/relationships/hyperlink" Target="https://www.cadwiesel.de/index.php?hp=downloads" TargetMode="External" Id="rId442" /><Relationship Type="http://schemas.openxmlformats.org/officeDocument/2006/relationships/hyperlink" Target="https://www.emicad.it/emilisp-free/" TargetMode="External" Id="rId443" /><Relationship Type="http://schemas.openxmlformats.org/officeDocument/2006/relationships/hyperlink" Target="http://m.cizimokulu.com/list.php?c=autolisp_kod" TargetMode="External" Id="rId444" /><Relationship Type="http://schemas.openxmlformats.org/officeDocument/2006/relationships/hyperlink" Target="https://www.cadwiesel.de/index.php?hp=downloads" TargetMode="External" Id="rId445" /><Relationship Type="http://schemas.openxmlformats.org/officeDocument/2006/relationships/hyperlink" Target="https://www.cadwiesel.de/index.php?hp=downloads" TargetMode="External" Id="rId446" /><Relationship Type="http://schemas.openxmlformats.org/officeDocument/2006/relationships/hyperlink" Target="https://www.emicad.it/emilisp-free/" TargetMode="External" Id="rId447" /><Relationship Type="http://schemas.openxmlformats.org/officeDocument/2006/relationships/hyperlink" Target="https://gilecad.azurewebsites.net/Lisp.aspx" TargetMode="External" Id="rId448" /><Relationship Type="http://schemas.openxmlformats.org/officeDocument/2006/relationships/hyperlink" Target="https://kojacek.wordpress.com/2019/10/27/obrot-wymiaru/" TargetMode="External" Id="rId449" /><Relationship Type="http://schemas.openxmlformats.org/officeDocument/2006/relationships/hyperlink" Target="https://kojacek.wordpress.com/2020/01/31/ramka-tekstu-wymiarowego/" TargetMode="External" Id="rId450" /><Relationship Type="http://schemas.openxmlformats.org/officeDocument/2006/relationships/hyperlink" Target="https://jamgpa.com/lisp/lisp.html" TargetMode="External" Id="rId451" /><Relationship Type="http://schemas.openxmlformats.org/officeDocument/2006/relationships/hyperlink" Target="https://cad-spiegel.jimdofree.com/download-1/autolisp/" TargetMode="External" Id="rId452" /><Relationship Type="http://schemas.openxmlformats.org/officeDocument/2006/relationships/hyperlink" Target="https://github.com/kruuger/CADPL-Pack-v1" TargetMode="External" Id="rId453" /><Relationship Type="http://schemas.openxmlformats.org/officeDocument/2006/relationships/hyperlink" Target="https://jamgpa.com/lisp/lisp.html" TargetMode="External" Id="rId454" /><Relationship Type="http://schemas.openxmlformats.org/officeDocument/2006/relationships/hyperlink" Target="https://www.cadwiesel.de/index.php?hp=downloads" TargetMode="External" Id="rId455" /><Relationship Type="http://schemas.openxmlformats.org/officeDocument/2006/relationships/hyperlink" Target="https://jamgpa.com/lisp/lisp.html" TargetMode="External" Id="rId456" /><Relationship Type="http://schemas.openxmlformats.org/officeDocument/2006/relationships/hyperlink" Target="https://cad-spiegel.jimdofree.com/download-1/autolisp/" TargetMode="External" Id="rId457" /><Relationship Type="http://schemas.openxmlformats.org/officeDocument/2006/relationships/hyperlink" Target="https://cad-spiegel.jimdofree.com/download-1/autolisp/" TargetMode="External" Id="rId458" /><Relationship Type="http://schemas.openxmlformats.org/officeDocument/2006/relationships/hyperlink" Target="https://jamgpa.com/lisp/lisp.html" TargetMode="External" Id="rId459" /><Relationship Type="http://schemas.openxmlformats.org/officeDocument/2006/relationships/hyperlink" Target="https://github.com/kruuger/CADPL-Pack-v1" TargetMode="External" Id="rId460" /><Relationship Type="http://schemas.openxmlformats.org/officeDocument/2006/relationships/hyperlink" Target="https://jamgpa.com/lisp/lisp.html" TargetMode="External" Id="rId461" /><Relationship Type="http://schemas.openxmlformats.org/officeDocument/2006/relationships/hyperlink" Target="https://www.cadwiesel.de/index.php?hp=downloads" TargetMode="External" Id="rId462" /><Relationship Type="http://schemas.openxmlformats.org/officeDocument/2006/relationships/hyperlink" Target="https://jamgpa.com/lisp/lisp.html" TargetMode="External" Id="rId463" /><Relationship Type="http://schemas.openxmlformats.org/officeDocument/2006/relationships/hyperlink" Target="https://jamgpa.com/lisp/lisp.html" TargetMode="External" Id="rId464" /><Relationship Type="http://schemas.openxmlformats.org/officeDocument/2006/relationships/hyperlink" Target="https://www.emicad.it/emilisp-free/" TargetMode="External" Id="rId465" /><Relationship Type="http://schemas.openxmlformats.org/officeDocument/2006/relationships/hyperlink" Target="https://kojacek.wordpress.com/2016/11/16/izolacja-batting/" TargetMode="External" Id="rId466" /><Relationship Type="http://schemas.openxmlformats.org/officeDocument/2006/relationships/hyperlink" Target="https://bosse-engineering.com/LISP-Tools/freeware.html" TargetMode="External" Id="rId467" /><Relationship Type="http://schemas.openxmlformats.org/officeDocument/2006/relationships/hyperlink" Target="http://m.cizimokulu.com/list.php?c=autolisp_kod" TargetMode="External" Id="rId468" /><Relationship Type="http://schemas.openxmlformats.org/officeDocument/2006/relationships/hyperlink" Target="https://www.emicad.it/emilisp-free/" TargetMode="External" Id="rId469" /><Relationship Type="http://schemas.openxmlformats.org/officeDocument/2006/relationships/hyperlink" Target="https://www.emicad.it/emilisp-free/" TargetMode="External" Id="rId470" /><Relationship Type="http://schemas.openxmlformats.org/officeDocument/2006/relationships/hyperlink" Target="https://www.emicad.it/emilisp-free/" TargetMode="External" Id="rId471" /><Relationship Type="http://schemas.openxmlformats.org/officeDocument/2006/relationships/hyperlink" Target="https://jamgpa.com/lisp/lisp.html" TargetMode="External" Id="rId472" /><Relationship Type="http://schemas.openxmlformats.org/officeDocument/2006/relationships/hyperlink" Target="https://kojacek.wordpress.com/2024/02/18/obroty-3d-rotate3d/" TargetMode="External" Id="rId473" /><Relationship Type="http://schemas.openxmlformats.org/officeDocument/2006/relationships/hyperlink" Target="https://www.emicad.it/emilisp-free/" TargetMode="External" Id="rId474" /><Relationship Type="http://schemas.openxmlformats.org/officeDocument/2006/relationships/hyperlink" Target="https://kojacek.wordpress.com/2025/04/11/widoki-2d-3d/" TargetMode="External" Id="rId475" /><Relationship Type="http://schemas.openxmlformats.org/officeDocument/2006/relationships/hyperlink" Target="https://www.emicad.it/emilisp-free/" TargetMode="External" Id="rId476" /><Relationship Type="http://schemas.openxmlformats.org/officeDocument/2006/relationships/hyperlink" Target="https://www.emicad.it/emilisp-free/" TargetMode="External" Id="rId477" /><Relationship Type="http://schemas.openxmlformats.org/officeDocument/2006/relationships/hyperlink" Target="https://github.com/kruuger/CADPL-Pack-v1" TargetMode="External" Id="rId478" /><Relationship Type="http://schemas.openxmlformats.org/officeDocument/2006/relationships/hyperlink" Target="https://www.cadwiesel.de/index.php?hp=downloads" TargetMode="External" Id="rId479" /><Relationship Type="http://schemas.openxmlformats.org/officeDocument/2006/relationships/hyperlink" Target="https://github.com/kruuger/CADPL-Pack-v1" TargetMode="External" Id="rId480" /><Relationship Type="http://schemas.openxmlformats.org/officeDocument/2006/relationships/hyperlink" Target="https://gilecad.azurewebsites.net/Lisp.aspx" TargetMode="External" Id="rId481" /><Relationship Type="http://schemas.openxmlformats.org/officeDocument/2006/relationships/hyperlink" Target="https://www.cadwiesel.de/index.php?hp=downloads" TargetMode="External" Id="rId482" /><Relationship Type="http://schemas.openxmlformats.org/officeDocument/2006/relationships/hyperlink" Target="https://bosse-engineering.com/LISP-Tools/freeware.html" TargetMode="External" Id="rId483" /><Relationship Type="http://schemas.openxmlformats.org/officeDocument/2006/relationships/hyperlink" Target="http://m.cizimokulu.com/list.php?c=autolisp_kod" TargetMode="External" Id="rId484" /><Relationship Type="http://schemas.openxmlformats.org/officeDocument/2006/relationships/hyperlink" Target="https://www.cadwiesel.de/index.php?hp=downloads" TargetMode="External" Id="rId485" /><Relationship Type="http://schemas.openxmlformats.org/officeDocument/2006/relationships/hyperlink" Target="https://jamgpa.com/lisp/lisp.html" TargetMode="External" Id="rId486" /><Relationship Type="http://schemas.openxmlformats.org/officeDocument/2006/relationships/hyperlink" Target="http://m.cizimokulu.com/list.php?c=autolisp_kod" TargetMode="External" Id="rId487" /><Relationship Type="http://schemas.openxmlformats.org/officeDocument/2006/relationships/hyperlink" Target="https://github.com/kruuger/CADPL-Pack-v1" TargetMode="External" Id="rId4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RANK(J2,$J$2:$J$489)</f>
        <v/>
      </c>
      <c r="B2" s="3" t="inlineStr">
        <is>
          <t>ブロック・属性</t>
        </is>
      </c>
      <c r="C2" s="3" t="inlineStr">
        <is>
          <t>latt</t>
        </is>
      </c>
      <c r="D2" s="4" t="inlineStr">
        <is>
          <t>LATT</t>
        </is>
      </c>
      <c r="E2" s="4" t="inlineStr">
        <is>
          <t>属性同士をリアクタで連動（同値・連番・合計）自動更新</t>
        </is>
      </c>
      <c r="F2" s="2" t="n">
        <v>21</v>
      </c>
      <c r="G2" s="2" t="n">
        <v>21</v>
      </c>
      <c r="H2" s="2" t="n">
        <v>17</v>
      </c>
      <c r="I2" s="2" t="n">
        <v>14</v>
      </c>
      <c r="J2" s="5">
        <f>SUM(F2:I2)</f>
        <v/>
      </c>
      <c r="K2" s="4" t="inlineStr">
        <is>
          <t>属性をリアクタで連動採番</t>
        </is>
      </c>
      <c r="L2" s="3" t="inlineStr">
        <is>
          <t>Patrick_35</t>
        </is>
      </c>
      <c r="M2" s="3" t="inlineStr">
        <is>
          <t>CADxp (Patrick_35)</t>
        </is>
      </c>
      <c r="N2" s="6" t="inlineStr">
        <is>
          <t>開く</t>
        </is>
      </c>
    </row>
    <row r="3">
      <c r="A3" s="2">
        <f>RANK(J3,$J$2:$J$489)</f>
        <v/>
      </c>
      <c r="B3" s="3" t="inlineStr">
        <is>
          <t>外部参照・図面管理・一括処理</t>
        </is>
      </c>
      <c r="C3" s="3" t="inlineStr">
        <is>
          <t>-</t>
        </is>
      </c>
      <c r="D3" s="4" t="inlineStr">
        <is>
          <t>ACCORE</t>
        </is>
      </c>
      <c r="E3" s="4" t="inlineStr">
        <is>
          <t>accoreconsoleで数百図面にスクリプト/LISPを一括適用</t>
        </is>
      </c>
      <c r="F3" s="2" t="n">
        <v>19</v>
      </c>
      <c r="G3" s="2" t="n">
        <v>15</v>
      </c>
      <c r="H3" s="2" t="n">
        <v>19</v>
      </c>
      <c r="I3" s="2" t="n">
        <v>15</v>
      </c>
      <c r="J3" s="5">
        <f>SUM(F3:I3)</f>
        <v/>
      </c>
      <c r="K3" s="4" t="inlineStr">
        <is>
          <t>コアコンソールで高速一括</t>
        </is>
      </c>
      <c r="L3" s="3" t="inlineStr">
        <is>
          <t>Fraiddd</t>
        </is>
      </c>
      <c r="M3" s="3" t="inlineStr">
        <is>
          <t>GitHub: Fraiddd/ACCORE</t>
        </is>
      </c>
      <c r="N3" s="6" t="inlineStr">
        <is>
          <t>開く</t>
        </is>
      </c>
    </row>
    <row r="4">
      <c r="A4" s="2">
        <f>RANK(J4,$J$2:$J$489)</f>
        <v/>
      </c>
      <c r="B4" s="3" t="inlineStr">
        <is>
          <t>外部参照・図面管理・一括処理</t>
        </is>
      </c>
      <c r="C4" s="3" t="inlineStr">
        <is>
          <t>-</t>
        </is>
      </c>
      <c r="D4" s="4" t="inlineStr">
        <is>
          <t>odbx_get*</t>
        </is>
      </c>
      <c r="E4" s="4" t="inlineStr">
        <is>
          <t>未オープンの多数図面から画層一覧・ブロック数・ポリ長さ等を抽出</t>
        </is>
      </c>
      <c r="F4" s="2" t="n">
        <v>20</v>
      </c>
      <c r="G4" s="2" t="n">
        <v>15</v>
      </c>
      <c r="H4" s="2" t="n">
        <v>18</v>
      </c>
      <c r="I4" s="2" t="n">
        <v>15</v>
      </c>
      <c r="J4" s="5">
        <f>SUM(F4:I4)</f>
        <v/>
      </c>
      <c r="K4" s="4" t="inlineStr">
        <is>
          <t>図面を開かず情報抽出</t>
        </is>
      </c>
      <c r="L4" s="3" t="inlineStr">
        <is>
          <t>Fraiddd</t>
        </is>
      </c>
      <c r="M4" s="3" t="inlineStr">
        <is>
          <t>GitHub: Fraiddd/ODBX_LIB</t>
        </is>
      </c>
      <c r="N4" s="6" t="inlineStr">
        <is>
          <t>開く</t>
        </is>
      </c>
    </row>
    <row r="5">
      <c r="A5" s="2">
        <f>RANK(J5,$J$2:$J$489)</f>
        <v/>
      </c>
      <c r="B5" s="3" t="inlineStr">
        <is>
          <t>ハッチ・面積・長さ集計</t>
        </is>
      </c>
      <c r="C5" s="3" t="inlineStr">
        <is>
          <t>totalarea / areaupd / areaedit</t>
        </is>
      </c>
      <c r="D5" s="4" t="inlineStr">
        <is>
          <t>TotalArea</t>
        </is>
      </c>
      <c r="E5" s="4" t="inlineStr">
        <is>
          <t>リンクした図形群の合計面積を属性に動的表示</t>
        </is>
      </c>
      <c r="F5" s="2" t="n">
        <v>19</v>
      </c>
      <c r="G5" s="2" t="n">
        <v>20</v>
      </c>
      <c r="H5" s="2" t="n">
        <v>16</v>
      </c>
      <c r="I5" s="2" t="n">
        <v>13</v>
      </c>
      <c r="J5" s="5">
        <f>SUM(F5:I5)</f>
        <v/>
      </c>
      <c r="K5" s="4" t="inlineStr">
        <is>
          <t>面積をリアクタで自動更新</t>
        </is>
      </c>
      <c r="L5" s="3" t="inlineStr">
        <is>
          <t>(gile)</t>
        </is>
      </c>
      <c r="M5" s="3" t="inlineStr">
        <is>
          <t>gileCAD</t>
        </is>
      </c>
      <c r="N5" s="6" t="inlineStr">
        <is>
          <t>開く</t>
        </is>
      </c>
    </row>
    <row r="6">
      <c r="A6" s="2">
        <f>RANK(J6,$J$2:$J$489)</f>
        <v/>
      </c>
      <c r="B6" s="3" t="inlineStr">
        <is>
          <t>外部参照・図面管理・一括処理</t>
        </is>
      </c>
      <c r="C6" s="3" t="inlineStr">
        <is>
          <t>-</t>
        </is>
      </c>
      <c r="D6" s="4" t="inlineStr">
        <is>
          <t>odbx_send*</t>
        </is>
      </c>
      <c r="E6" s="4" t="inlineStr">
        <is>
          <t>画層・線種・寸法/文字スタイル・UCS・ビューを複数図面へ配布</t>
        </is>
      </c>
      <c r="F6" s="2" t="n">
        <v>20</v>
      </c>
      <c r="G6" s="2" t="n">
        <v>14</v>
      </c>
      <c r="H6" s="2" t="n">
        <v>17</v>
      </c>
      <c r="I6" s="2" t="n">
        <v>16</v>
      </c>
      <c r="J6" s="5">
        <f>SUM(F6:I6)</f>
        <v/>
      </c>
      <c r="K6" s="4" t="inlineStr">
        <is>
          <t>標準を複数図面へ配布</t>
        </is>
      </c>
      <c r="L6" s="3" t="inlineStr">
        <is>
          <t>Fraiddd</t>
        </is>
      </c>
      <c r="M6" s="3" t="inlineStr">
        <is>
          <t>GitHub: Fraiddd/ODBX_LIB</t>
        </is>
      </c>
      <c r="N6" s="6" t="inlineStr">
        <is>
          <t>開く</t>
        </is>
      </c>
    </row>
    <row r="7">
      <c r="A7" s="2">
        <f>RANK(J7,$J$2:$J$489)</f>
        <v/>
      </c>
      <c r="B7" s="3" t="inlineStr">
        <is>
          <t>外部参照・図面管理・一括処理</t>
        </is>
      </c>
      <c r="C7" s="3" t="inlineStr">
        <is>
          <t>-</t>
        </is>
      </c>
      <c r="D7" s="4" t="inlineStr">
        <is>
          <t>odbx_subst*</t>
        </is>
      </c>
      <c r="E7" s="4" t="inlineStr">
        <is>
          <t>複数図面の文字・MTEXT・属性・ブロック・引出線を一括置換</t>
        </is>
      </c>
      <c r="F7" s="2" t="n">
        <v>20</v>
      </c>
      <c r="G7" s="2" t="n">
        <v>14</v>
      </c>
      <c r="H7" s="2" t="n">
        <v>18</v>
      </c>
      <c r="I7" s="2" t="n">
        <v>15</v>
      </c>
      <c r="J7" s="5">
        <f>SUM(F7:I7)</f>
        <v/>
      </c>
      <c r="K7" s="4" t="inlineStr">
        <is>
          <t>複数図面の文字一括置換</t>
        </is>
      </c>
      <c r="L7" s="3" t="inlineStr">
        <is>
          <t>Fraiddd</t>
        </is>
      </c>
      <c r="M7" s="3" t="inlineStr">
        <is>
          <t>GitHub: Fraiddd/ODBX_LIB</t>
        </is>
      </c>
      <c r="N7" s="6" t="inlineStr">
        <is>
          <t>開く</t>
        </is>
      </c>
    </row>
    <row r="8">
      <c r="A8" s="2">
        <f>RANK(J8,$J$2:$J$489)</f>
        <v/>
      </c>
      <c r="B8" s="3" t="inlineStr">
        <is>
          <t>文字・テキスト</t>
        </is>
      </c>
      <c r="C8" s="3" t="inlineStr">
        <is>
          <t>incr / inctxt / incatt / incsuf / incsel / incadd</t>
        </is>
      </c>
      <c r="D8" s="4" t="inlineStr">
        <is>
          <t>Increment</t>
        </is>
      </c>
      <c r="E8" s="4" t="inlineStr">
        <is>
          <t>文字・属性の数値/英字を連番増分して配置・更新</t>
        </is>
      </c>
      <c r="F8" s="2" t="n">
        <v>13</v>
      </c>
      <c r="G8" s="2" t="n">
        <v>13</v>
      </c>
      <c r="H8" s="2" t="n">
        <v>19</v>
      </c>
      <c r="I8" s="2" t="n">
        <v>21</v>
      </c>
      <c r="J8" s="5">
        <f>SUM(F8:I8)</f>
        <v/>
      </c>
      <c r="K8" s="4" t="inlineStr">
        <is>
          <t>連番入力の定番</t>
        </is>
      </c>
      <c r="L8" s="3" t="inlineStr">
        <is>
          <t>(gile)</t>
        </is>
      </c>
      <c r="M8" s="3" t="inlineStr">
        <is>
          <t>gileCAD</t>
        </is>
      </c>
      <c r="N8" s="6" t="inlineStr">
        <is>
          <t>開く</t>
        </is>
      </c>
    </row>
    <row r="9">
      <c r="A9" s="2">
        <f>RANK(J9,$J$2:$J$489)</f>
        <v/>
      </c>
      <c r="B9" s="3" t="inlineStr">
        <is>
          <t>外部参照・図面管理・一括処理</t>
        </is>
      </c>
      <c r="C9" s="3" t="inlineStr">
        <is>
          <t>scriptor</t>
        </is>
      </c>
      <c r="D9" s="4" t="inlineStr">
        <is>
          <t>SCRIPTOR</t>
        </is>
      </c>
      <c r="E9" s="4" t="inlineStr">
        <is>
          <t>サブフォルダ含む全図面にスクリプト/LISPを一括実行</t>
        </is>
      </c>
      <c r="F9" s="2" t="n">
        <v>16</v>
      </c>
      <c r="G9" s="2" t="n">
        <v>12</v>
      </c>
      <c r="H9" s="2" t="n">
        <v>20</v>
      </c>
      <c r="I9" s="2" t="n">
        <v>18</v>
      </c>
      <c r="J9" s="5">
        <f>SUM(F9:I9)</f>
        <v/>
      </c>
      <c r="K9" s="4" t="inlineStr">
        <is>
          <t>フォルダ一括処理の定番</t>
        </is>
      </c>
      <c r="L9" s="3" t="inlineStr">
        <is>
          <t>Patrick_35</t>
        </is>
      </c>
      <c r="M9" s="3" t="inlineStr">
        <is>
          <t>CADxp (Patrick_35)</t>
        </is>
      </c>
      <c r="N9" s="6" t="inlineStr">
        <is>
          <t>開く</t>
        </is>
      </c>
    </row>
    <row r="10">
      <c r="A10" s="2">
        <f>RANK(J10,$J$2:$J$489)</f>
        <v/>
      </c>
      <c r="B10" s="3" t="inlineStr">
        <is>
          <t>ハッチ・面積・長さ集計</t>
        </is>
      </c>
      <c r="C10" s="3" t="inlineStr">
        <is>
          <t>totalperim / perimupd</t>
        </is>
      </c>
      <c r="D10" s="4" t="inlineStr">
        <is>
          <t>TotalPerim</t>
        </is>
      </c>
      <c r="E10" s="4" t="inlineStr">
        <is>
          <t>リンクした図形群の合計長さを属性に動的表示</t>
        </is>
      </c>
      <c r="F10" s="2" t="n">
        <v>19</v>
      </c>
      <c r="G10" s="2" t="n">
        <v>19</v>
      </c>
      <c r="H10" s="2" t="n">
        <v>15</v>
      </c>
      <c r="I10" s="2" t="n">
        <v>13</v>
      </c>
      <c r="J10" s="5">
        <f>SUM(F10:I10)</f>
        <v/>
      </c>
      <c r="K10" s="4" t="inlineStr">
        <is>
          <t>長さを属性に自動連動</t>
        </is>
      </c>
      <c r="L10" s="3" t="inlineStr">
        <is>
          <t>(gile)</t>
        </is>
      </c>
      <c r="M10" s="3" t="inlineStr">
        <is>
          <t>gileCAD</t>
        </is>
      </c>
      <c r="N10" s="6" t="inlineStr">
        <is>
          <t>開く</t>
        </is>
      </c>
    </row>
    <row r="11">
      <c r="A11" s="2">
        <f>RANK(J11,$J$2:$J$489)</f>
        <v/>
      </c>
      <c r="B11" s="3" t="inlineStr">
        <is>
          <t>表・Excel連携</t>
        </is>
      </c>
      <c r="C11" s="3" t="inlineStr">
        <is>
          <t>lxl / explxl / implxl</t>
        </is>
      </c>
      <c r="D11" s="4" t="inlineStr">
        <is>
          <t>LXL</t>
        </is>
      </c>
      <c r="E11" s="4" t="inlineStr">
        <is>
          <t>属性・文字をExcelセルと双方向リンク</t>
        </is>
      </c>
      <c r="F11" s="2" t="n">
        <v>18</v>
      </c>
      <c r="G11" s="2" t="n">
        <v>16</v>
      </c>
      <c r="H11" s="2" t="n">
        <v>17</v>
      </c>
      <c r="I11" s="2" t="n">
        <v>14</v>
      </c>
      <c r="J11" s="5">
        <f>SUM(F11:I11)</f>
        <v/>
      </c>
      <c r="K11" s="4" t="inlineStr">
        <is>
          <t>Excelと双方向リンク</t>
        </is>
      </c>
      <c r="L11" s="3" t="inlineStr">
        <is>
          <t>Patrick_35</t>
        </is>
      </c>
      <c r="M11" s="3" t="inlineStr">
        <is>
          <t>CADxp (Patrick_35)</t>
        </is>
      </c>
      <c r="N11" s="6" t="inlineStr">
        <is>
          <t>開く</t>
        </is>
      </c>
    </row>
    <row r="12">
      <c r="A12" s="2">
        <f>RANK(J12,$J$2:$J$489)</f>
        <v/>
      </c>
      <c r="B12" s="3" t="inlineStr">
        <is>
          <t>印刷・レイアウト・図枠</t>
        </is>
      </c>
      <c r="C12" s="3" t="inlineStr">
        <is>
          <t>exl</t>
        </is>
      </c>
      <c r="D12" s="4" t="inlineStr">
        <is>
          <t>EXL</t>
        </is>
      </c>
      <c r="E12" s="4" t="inlineStr">
        <is>
          <t>各レイアウトを表示内容のみの個別DWGに書き出し</t>
        </is>
      </c>
      <c r="F12" s="2" t="n">
        <v>19</v>
      </c>
      <c r="G12" s="2" t="n">
        <v>16</v>
      </c>
      <c r="H12" s="2" t="n">
        <v>14</v>
      </c>
      <c r="I12" s="2" t="n">
        <v>14</v>
      </c>
      <c r="J12" s="5">
        <f>SUM(F12:I12)</f>
        <v/>
      </c>
      <c r="K12" s="4" t="inlineStr">
        <is>
          <t>レイアウトを個別DWG化</t>
        </is>
      </c>
      <c r="L12" s="3" t="inlineStr">
        <is>
          <t>Patrick_35</t>
        </is>
      </c>
      <c r="M12" s="3" t="inlineStr">
        <is>
          <t>CADxp (Patrick_35)</t>
        </is>
      </c>
      <c r="N12" s="6" t="inlineStr">
        <is>
          <t>開く</t>
        </is>
      </c>
    </row>
    <row r="13">
      <c r="A13" s="2">
        <f>RANK(J13,$J$2:$J$489)</f>
        <v/>
      </c>
      <c r="B13" s="3" t="inlineStr">
        <is>
          <t>外部参照・図面管理・一括処理</t>
        </is>
      </c>
      <c r="C13" s="3" t="inlineStr">
        <is>
          <t>pat</t>
        </is>
      </c>
      <c r="D13" s="4" t="inlineStr">
        <is>
          <t>PAT</t>
        </is>
      </c>
      <c r="E13" s="4" t="inlineStr">
        <is>
          <t>複数図面の属性値を一括変更</t>
        </is>
      </c>
      <c r="F13" s="2" t="n">
        <v>20</v>
      </c>
      <c r="G13" s="2" t="n">
        <v>13</v>
      </c>
      <c r="H13" s="2" t="n">
        <v>17</v>
      </c>
      <c r="I13" s="2" t="n">
        <v>13</v>
      </c>
      <c r="J13" s="5">
        <f>SUM(F13:I13)</f>
        <v/>
      </c>
      <c r="K13" s="4" t="inlineStr">
        <is>
          <t>複数図面の属性一括変更</t>
        </is>
      </c>
      <c r="L13" s="3" t="inlineStr">
        <is>
          <t>Patrick_35</t>
        </is>
      </c>
      <c r="M13" s="3" t="inlineStr">
        <is>
          <t>CADxp (Patrick_35)</t>
        </is>
      </c>
      <c r="N13" s="6" t="inlineStr">
        <is>
          <t>開く</t>
        </is>
      </c>
    </row>
    <row r="14">
      <c r="A14" s="2">
        <f>RANK(J14,$J$2:$J$489)</f>
        <v/>
      </c>
      <c r="B14" s="3" t="inlineStr">
        <is>
          <t>設定・環境</t>
        </is>
      </c>
      <c r="C14" s="3" t="inlineStr">
        <is>
          <t>-</t>
        </is>
      </c>
      <c r="D14" s="4" t="inlineStr">
        <is>
          <t>DIMSTYLE reactor</t>
        </is>
      </c>
      <c r="E14" s="4" t="inlineStr">
        <is>
          <t>寸法スタイル切替で文字/表/引出線スタイルも自動切替</t>
        </is>
      </c>
      <c r="F14" s="2" t="n">
        <v>19</v>
      </c>
      <c r="G14" s="2" t="n">
        <v>20</v>
      </c>
      <c r="H14" s="2" t="n">
        <v>10</v>
      </c>
      <c r="I14" s="2" t="n">
        <v>13</v>
      </c>
      <c r="J14" s="5">
        <f>SUM(F14:I14)</f>
        <v/>
      </c>
      <c r="K14" s="4" t="inlineStr">
        <is>
          <t>寸法スタイル連動リアクタ</t>
        </is>
      </c>
      <c r="L14" s="3" t="inlineStr">
        <is>
          <t>kojacek</t>
        </is>
      </c>
      <c r="M14" s="3" t="inlineStr">
        <is>
          <t>kojacek.wordpress.com</t>
        </is>
      </c>
      <c r="N14" s="6" t="inlineStr">
        <is>
          <t>開く</t>
        </is>
      </c>
    </row>
    <row r="15">
      <c r="A15" s="2">
        <f>RANK(J15,$J$2:$J$489)</f>
        <v/>
      </c>
      <c r="B15" s="3" t="inlineStr">
        <is>
          <t>ブロック・属性</t>
        </is>
      </c>
      <c r="C15" s="3" t="inlineStr">
        <is>
          <t>edit_bloc / edit_bloc_rep</t>
        </is>
      </c>
      <c r="D15" s="4" t="inlineStr">
        <is>
          <t>Edit_Bloc</t>
        </is>
      </c>
      <c r="E15" s="4" t="inlineStr">
        <is>
          <t>ブロック内図形の属性を一括変更（フォルダ内全DWG対応）</t>
        </is>
      </c>
      <c r="F15" s="2" t="n">
        <v>17</v>
      </c>
      <c r="G15" s="2" t="n">
        <v>12</v>
      </c>
      <c r="H15" s="2" t="n">
        <v>16</v>
      </c>
      <c r="I15" s="2" t="n">
        <v>17</v>
      </c>
      <c r="J15" s="5">
        <f>SUM(F15:I15)</f>
        <v/>
      </c>
      <c r="K15" s="4" t="inlineStr">
        <is>
          <t>フォルダ一括でブロック修正</t>
        </is>
      </c>
      <c r="L15" s="3" t="inlineStr">
        <is>
          <t>(gile)</t>
        </is>
      </c>
      <c r="M15" s="3" t="inlineStr">
        <is>
          <t>gileCAD</t>
        </is>
      </c>
      <c r="N15" s="6" t="inlineStr">
        <is>
          <t>開く</t>
        </is>
      </c>
    </row>
    <row r="16">
      <c r="A16" s="2">
        <f>RANK(J16,$J$2:$J$489)</f>
        <v/>
      </c>
      <c r="B16" s="3" t="inlineStr">
        <is>
          <t>画層</t>
        </is>
      </c>
      <c r="C16" s="3" t="inlineStr">
        <is>
          <t>gef</t>
        </is>
      </c>
      <c r="D16" s="4" t="inlineStr">
        <is>
          <t>GEF</t>
        </is>
      </c>
      <c r="E16" s="4" t="inlineStr">
        <is>
          <t>各レイアウトのビューポート毎の画層凍結を一括管理</t>
        </is>
      </c>
      <c r="F16" s="2" t="n">
        <v>18</v>
      </c>
      <c r="G16" s="2" t="n">
        <v>15</v>
      </c>
      <c r="H16" s="2" t="n">
        <v>15</v>
      </c>
      <c r="I16" s="2" t="n">
        <v>14</v>
      </c>
      <c r="J16" s="5">
        <f>SUM(F16:I16)</f>
        <v/>
      </c>
      <c r="K16" s="4" t="inlineStr">
        <is>
          <t>VP画層凍結を一元管理</t>
        </is>
      </c>
      <c r="L16" s="3" t="inlineStr">
        <is>
          <t>Patrick_35</t>
        </is>
      </c>
      <c r="M16" s="3" t="inlineStr">
        <is>
          <t>CADxp (Patrick_35)</t>
        </is>
      </c>
      <c r="N16" s="6" t="inlineStr">
        <is>
          <t>開く</t>
        </is>
      </c>
    </row>
    <row r="17">
      <c r="A17" s="2">
        <f>RANK(J17,$J$2:$J$489)</f>
        <v/>
      </c>
      <c r="B17" s="3" t="inlineStr">
        <is>
          <t>文字・テキスト</t>
        </is>
      </c>
      <c r="C17" s="3" t="inlineStr">
        <is>
          <t>inc</t>
        </is>
      </c>
      <c r="D17" s="4" t="inlineStr">
        <is>
          <t>INC</t>
        </is>
      </c>
      <c r="E17" s="4" t="inlineStr">
        <is>
          <t>文字を座標順ソートして連番付け</t>
        </is>
      </c>
      <c r="F17" s="2" t="n">
        <v>13</v>
      </c>
      <c r="G17" s="2" t="n">
        <v>13</v>
      </c>
      <c r="H17" s="2" t="n">
        <v>17</v>
      </c>
      <c r="I17" s="2" t="n">
        <v>19</v>
      </c>
      <c r="J17" s="5">
        <f>SUM(F17:I17)</f>
        <v/>
      </c>
      <c r="K17" s="4" t="inlineStr">
        <is>
          <t>座標順に文字連番</t>
        </is>
      </c>
      <c r="L17" s="3" t="inlineStr">
        <is>
          <t>Patrick_35</t>
        </is>
      </c>
      <c r="M17" s="3" t="inlineStr">
        <is>
          <t>CADxp (Patrick_35)</t>
        </is>
      </c>
      <c r="N17" s="6" t="inlineStr">
        <is>
          <t>開く</t>
        </is>
      </c>
    </row>
    <row r="18">
      <c r="A18" s="2">
        <f>RANK(J18,$J$2:$J$489)</f>
        <v/>
      </c>
      <c r="B18" s="3" t="inlineStr">
        <is>
          <t>選択・絞り込み</t>
        </is>
      </c>
      <c r="C18" s="3" t="inlineStr">
        <is>
          <t>-</t>
        </is>
      </c>
      <c r="D18" s="4" t="inlineStr">
        <is>
          <t>Pająk</t>
        </is>
      </c>
      <c r="E18" s="4" t="inlineStr">
        <is>
          <t>条件検索した図形へ動的に放射線を表示し位置を示す</t>
        </is>
      </c>
      <c r="F18" s="2" t="n">
        <v>19</v>
      </c>
      <c r="G18" s="2" t="n">
        <v>20</v>
      </c>
      <c r="H18" s="2" t="n">
        <v>10</v>
      </c>
      <c r="I18" s="2" t="n">
        <v>13</v>
      </c>
      <c r="J18" s="5">
        <f>SUM(F18:I18)</f>
        <v/>
      </c>
      <c r="K18" s="4" t="inlineStr">
        <is>
          <t>検索結果を放射線で可視化</t>
        </is>
      </c>
      <c r="L18" s="3" t="inlineStr">
        <is>
          <t>kojacek</t>
        </is>
      </c>
      <c r="M18" s="3" t="inlineStr">
        <is>
          <t>kojacek.wordpress.com</t>
        </is>
      </c>
      <c r="N18" s="6" t="inlineStr">
        <is>
          <t>開く</t>
        </is>
      </c>
    </row>
    <row r="19">
      <c r="A19" s="2">
        <f>RANK(J19,$J$2:$J$489)</f>
        <v/>
      </c>
      <c r="B19" s="3" t="inlineStr">
        <is>
          <t>ハッチ・面積・長さ集計</t>
        </is>
      </c>
      <c r="C19" s="3" t="inlineStr">
        <is>
          <t>AREATBL</t>
        </is>
      </c>
      <c r="D19" s="4" t="inlineStr">
        <is>
          <t>AreaTable</t>
        </is>
      </c>
      <c r="E19" s="4" t="inlineStr">
        <is>
          <t>複数領域にラベルを付け面積表と合計を自動作成</t>
        </is>
      </c>
      <c r="F19" s="2" t="n">
        <v>17</v>
      </c>
      <c r="G19" s="2" t="n">
        <v>13</v>
      </c>
      <c r="H19" s="2" t="n">
        <v>17</v>
      </c>
      <c r="I19" s="2" t="n">
        <v>14</v>
      </c>
      <c r="J19" s="5">
        <f>SUM(F19:I19)</f>
        <v/>
      </c>
      <c r="K19" s="4" t="inlineStr">
        <is>
          <t>面積表を自動生成</t>
        </is>
      </c>
      <c r="L19" s="3" t="inlineStr"/>
      <c r="M19" s="3" t="inlineStr">
        <is>
          <t>CADthèque</t>
        </is>
      </c>
      <c r="N19" s="6" t="inlineStr">
        <is>
          <t>開く</t>
        </is>
      </c>
    </row>
    <row r="20">
      <c r="A20" s="2">
        <f>RANK(J20,$J$2:$J$489)</f>
        <v/>
      </c>
      <c r="B20" s="3" t="inlineStr">
        <is>
          <t>外部参照・図面管理・一括処理</t>
        </is>
      </c>
      <c r="C20" s="3" t="inlineStr">
        <is>
          <t>BaBe</t>
        </is>
      </c>
      <c r="D20" s="4" t="inlineStr">
        <is>
          <t>BaBe</t>
        </is>
      </c>
      <c r="E20" s="4" t="inlineStr">
        <is>
          <t>フォルダ内図面に自作LISPを一括実行するバッチ処理枠組み</t>
        </is>
      </c>
      <c r="F20" s="2" t="n">
        <v>15</v>
      </c>
      <c r="G20" s="2" t="n">
        <v>13</v>
      </c>
      <c r="H20" s="2" t="n">
        <v>17</v>
      </c>
      <c r="I20" s="2" t="n">
        <v>15</v>
      </c>
      <c r="J20" s="5">
        <f>SUM(F20:I20)</f>
        <v/>
      </c>
      <c r="K20" s="4" t="inlineStr">
        <is>
          <t>自作LISP一括実行枠</t>
        </is>
      </c>
      <c r="L20" s="3" t="inlineStr">
        <is>
          <t>cadsite.be (Julien e.a.)</t>
        </is>
      </c>
      <c r="M20" s="3" t="inlineStr">
        <is>
          <t>juliens cadsite (BE)</t>
        </is>
      </c>
      <c r="N20" s="6" t="inlineStr">
        <is>
          <t>開く</t>
        </is>
      </c>
    </row>
    <row r="21">
      <c r="A21" s="2">
        <f>RANK(J21,$J$2:$J$489)</f>
        <v/>
      </c>
      <c r="B21" s="3" t="inlineStr">
        <is>
          <t>ハッチ・面積・長さ集計</t>
        </is>
      </c>
      <c r="C21" s="3" t="inlineStr">
        <is>
          <t>-</t>
        </is>
      </c>
      <c r="D21" s="4" t="inlineStr">
        <is>
          <t>CREAPAT</t>
        </is>
      </c>
      <c r="E21" s="4" t="inlineStr">
        <is>
          <t>作図した図形からハッチパターン(.pat)を生成</t>
        </is>
      </c>
      <c r="F21" s="2" t="n">
        <v>21</v>
      </c>
      <c r="G21" s="2" t="n">
        <v>18</v>
      </c>
      <c r="H21" s="2" t="n">
        <v>9</v>
      </c>
      <c r="I21" s="2" t="n">
        <v>12</v>
      </c>
      <c r="J21" s="5">
        <f>SUM(F21:I21)</f>
        <v/>
      </c>
      <c r="K21" s="4" t="inlineStr">
        <is>
          <t>図形からPATを自動生成</t>
        </is>
      </c>
      <c r="L21" s="3" t="inlineStr">
        <is>
          <t>Carlo Palatezza</t>
        </is>
      </c>
      <c r="M21" s="3" t="inlineStr">
        <is>
          <t>emicad.it Utility LISP</t>
        </is>
      </c>
      <c r="N21" s="6" t="inlineStr">
        <is>
          <t>開く</t>
        </is>
      </c>
    </row>
    <row r="22">
      <c r="A22" s="2">
        <f>RANK(J22,$J$2:$J$489)</f>
        <v/>
      </c>
      <c r="B22" s="3" t="inlineStr">
        <is>
          <t>印刷・レイアウト・図枠</t>
        </is>
      </c>
      <c r="C22" s="3" t="inlineStr">
        <is>
          <t>mim</t>
        </is>
      </c>
      <c r="D22" s="4" t="inlineStr">
        <is>
          <t>MIM</t>
        </is>
      </c>
      <c r="E22" s="4" t="inlineStr">
        <is>
          <t>プリンタ変更時に全レイアウトの出力先を再割当</t>
        </is>
      </c>
      <c r="F22" s="2" t="n">
        <v>18</v>
      </c>
      <c r="G22" s="2" t="n">
        <v>13</v>
      </c>
      <c r="H22" s="2" t="n">
        <v>16</v>
      </c>
      <c r="I22" s="2" t="n">
        <v>13</v>
      </c>
      <c r="J22" s="5">
        <f>SUM(F22:I22)</f>
        <v/>
      </c>
      <c r="K22" s="4" t="inlineStr">
        <is>
          <t>全レイアウトのプリンタ変更</t>
        </is>
      </c>
      <c r="L22" s="3" t="inlineStr">
        <is>
          <t>Patrick_35</t>
        </is>
      </c>
      <c r="M22" s="3" t="inlineStr">
        <is>
          <t>CADxp (Patrick_35)</t>
        </is>
      </c>
      <c r="N22" s="6" t="inlineStr">
        <is>
          <t>開く</t>
        </is>
      </c>
    </row>
    <row r="23">
      <c r="A23" s="2">
        <f>RANK(J23,$J$2:$J$489)</f>
        <v/>
      </c>
      <c r="B23" s="3" t="inlineStr">
        <is>
          <t>外部参照・図面管理・一括処理</t>
        </is>
      </c>
      <c r="C23" s="3" t="inlineStr">
        <is>
          <t>-</t>
        </is>
      </c>
      <c r="D23" s="4" t="inlineStr">
        <is>
          <t>odbx_purge*</t>
        </is>
      </c>
      <c r="E23" s="4" t="inlineStr">
        <is>
          <t>図面を開かずにスタイル・画層・ブロック等を一括名前削除</t>
        </is>
      </c>
      <c r="F23" s="2" t="n">
        <v>18</v>
      </c>
      <c r="G23" s="2" t="n">
        <v>11</v>
      </c>
      <c r="H23" s="2" t="n">
        <v>16</v>
      </c>
      <c r="I23" s="2" t="n">
        <v>15</v>
      </c>
      <c r="J23" s="5">
        <f>SUM(F23:I23)</f>
        <v/>
      </c>
      <c r="K23" s="4" t="inlineStr">
        <is>
          <t>開かずに一括パージ</t>
        </is>
      </c>
      <c r="L23" s="3" t="inlineStr">
        <is>
          <t>Fraiddd</t>
        </is>
      </c>
      <c r="M23" s="3" t="inlineStr">
        <is>
          <t>GitHub: Fraiddd/ODBX_LIB</t>
        </is>
      </c>
      <c r="N23" s="6" t="inlineStr">
        <is>
          <t>開く</t>
        </is>
      </c>
    </row>
    <row r="24">
      <c r="A24" s="2">
        <f>RANK(J24,$J$2:$J$489)</f>
        <v/>
      </c>
      <c r="B24" s="3" t="inlineStr">
        <is>
          <t>外部参照・図面管理・一括処理</t>
        </is>
      </c>
      <c r="C24" s="3" t="inlineStr">
        <is>
          <t>-</t>
        </is>
      </c>
      <c r="D24" s="4" t="inlineStr">
        <is>
          <t>odbx_set*</t>
        </is>
      </c>
      <c r="E24" s="4" t="inlineStr">
        <is>
          <t>フォルダ内図面の画層凍結/ロック/表示を一括設定</t>
        </is>
      </c>
      <c r="F24" s="2" t="n">
        <v>19</v>
      </c>
      <c r="G24" s="2" t="n">
        <v>12</v>
      </c>
      <c r="H24" s="2" t="n">
        <v>16</v>
      </c>
      <c r="I24" s="2" t="n">
        <v>13</v>
      </c>
      <c r="J24" s="5">
        <f>SUM(F24:I24)</f>
        <v/>
      </c>
      <c r="K24" s="4" t="inlineStr">
        <is>
          <t>図面を開かず画層設定</t>
        </is>
      </c>
      <c r="L24" s="3" t="inlineStr">
        <is>
          <t>Fraiddd</t>
        </is>
      </c>
      <c r="M24" s="3" t="inlineStr">
        <is>
          <t>GitHub: Fraiddd/ODBX_LIB</t>
        </is>
      </c>
      <c r="N24" s="6" t="inlineStr">
        <is>
          <t>開く</t>
        </is>
      </c>
    </row>
    <row r="25">
      <c r="A25" s="2">
        <f>RANK(J25,$J$2:$J$489)</f>
        <v/>
      </c>
      <c r="B25" s="3" t="inlineStr">
        <is>
          <t>ブロック・属性</t>
        </is>
      </c>
      <c r="C25" s="3" t="inlineStr">
        <is>
          <t>lstatt</t>
        </is>
      </c>
      <c r="D25" s="4" t="inlineStr">
        <is>
          <t>LSTATT</t>
        </is>
      </c>
      <c r="E25" s="4" t="inlineStr">
        <is>
          <t>動的ブロック・属性値別にブロック数を集計し出力</t>
        </is>
      </c>
      <c r="F25" s="2" t="n">
        <v>14</v>
      </c>
      <c r="G25" s="2" t="n">
        <v>13</v>
      </c>
      <c r="H25" s="2" t="n">
        <v>17</v>
      </c>
      <c r="I25" s="2" t="n">
        <v>15</v>
      </c>
      <c r="J25" s="5">
        <f>SUM(F25:I25)</f>
        <v/>
      </c>
      <c r="K25" s="4" t="inlineStr">
        <is>
          <t>動的/属性値別集計</t>
        </is>
      </c>
      <c r="L25" s="3" t="inlineStr">
        <is>
          <t>Patrick_35</t>
        </is>
      </c>
      <c r="M25" s="3" t="inlineStr">
        <is>
          <t>CADxp (Patrick_35)</t>
        </is>
      </c>
      <c r="N25" s="6" t="inlineStr">
        <is>
          <t>開く</t>
        </is>
      </c>
    </row>
    <row r="26">
      <c r="A26" s="2">
        <f>RANK(J26,$J$2:$J$489)</f>
        <v/>
      </c>
      <c r="B26" s="3" t="inlineStr">
        <is>
          <t>寸法</t>
        </is>
      </c>
      <c r="C26" s="3" t="inlineStr">
        <is>
          <t>-</t>
        </is>
      </c>
      <c r="D26" s="4" t="inlineStr">
        <is>
          <t>Pcre (TIPPEX)</t>
        </is>
      </c>
      <c r="E26" s="4" t="inlineStr">
        <is>
          <t>正規表現で寸法文字の体裁を印刷前に一括補正</t>
        </is>
      </c>
      <c r="F26" s="2" t="n">
        <v>19</v>
      </c>
      <c r="G26" s="2" t="n">
        <v>17</v>
      </c>
      <c r="H26" s="2" t="n">
        <v>13</v>
      </c>
      <c r="I26" s="2" t="n">
        <v>10</v>
      </c>
      <c r="J26" s="5">
        <f>SUM(F26:I26)</f>
        <v/>
      </c>
      <c r="K26" s="4" t="inlineStr">
        <is>
          <t>正規表現で寸法体裁補正</t>
        </is>
      </c>
      <c r="L26" s="3" t="inlineStr">
        <is>
          <t>CADwiesel</t>
        </is>
      </c>
      <c r="M26" s="3" t="inlineStr">
        <is>
          <t>CADwiesel</t>
        </is>
      </c>
      <c r="N26" s="6" t="inlineStr">
        <is>
          <t>開く</t>
        </is>
      </c>
    </row>
    <row r="27">
      <c r="A27" s="2">
        <f>RANK(J27,$J$2:$J$489)</f>
        <v/>
      </c>
      <c r="B27" s="3" t="inlineStr">
        <is>
          <t>ブロック・属性</t>
        </is>
      </c>
      <c r="C27" s="3" t="inlineStr">
        <is>
          <t>rot_0 / rot</t>
        </is>
      </c>
      <c r="D27" s="4" t="inlineStr">
        <is>
          <t>ROT_0 / ROT</t>
        </is>
      </c>
      <c r="E27" s="4" t="inlineStr">
        <is>
          <t>属性の回転角を常に0に保つ（リアクタ）</t>
        </is>
      </c>
      <c r="F27" s="2" t="n">
        <v>17</v>
      </c>
      <c r="G27" s="2" t="n">
        <v>18</v>
      </c>
      <c r="H27" s="2" t="n">
        <v>11</v>
      </c>
      <c r="I27" s="2" t="n">
        <v>12</v>
      </c>
      <c r="J27" s="5">
        <f>SUM(F27:I27)</f>
        <v/>
      </c>
      <c r="K27" s="4" t="inlineStr">
        <is>
          <t>属性角0をリアクタ維持</t>
        </is>
      </c>
      <c r="L27" s="3" t="inlineStr">
        <is>
          <t>Patrick_35</t>
        </is>
      </c>
      <c r="M27" s="3" t="inlineStr">
        <is>
          <t>CADxp (Patrick_35)</t>
        </is>
      </c>
      <c r="N27" s="6" t="inlineStr">
        <is>
          <t>開く</t>
        </is>
      </c>
    </row>
    <row r="28">
      <c r="A28" s="2">
        <f>RANK(J28,$J$2:$J$489)</f>
        <v/>
      </c>
      <c r="B28" s="3" t="inlineStr">
        <is>
          <t>ブロック・属性</t>
        </is>
      </c>
      <c r="C28" s="3" t="inlineStr">
        <is>
          <t>BAL</t>
        </is>
      </c>
      <c r="D28" s="4" t="inlineStr">
        <is>
          <t>BAL (Block Attrib Layout)</t>
        </is>
      </c>
      <c r="E28" s="4" t="inlineStr">
        <is>
          <t>複数レイアウトの属性付きブロックを同時編集</t>
        </is>
      </c>
      <c r="F28" s="2" t="n">
        <v>18</v>
      </c>
      <c r="G28" s="2" t="n">
        <v>15</v>
      </c>
      <c r="H28" s="2" t="n">
        <v>13</v>
      </c>
      <c r="I28" s="2" t="n">
        <v>11</v>
      </c>
      <c r="J28" s="5">
        <f>SUM(F28:I28)</f>
        <v/>
      </c>
      <c r="K28" s="4" t="inlineStr">
        <is>
          <t>レイアウト跨ぎ属性編集</t>
        </is>
      </c>
      <c r="L28" s="3" t="inlineStr">
        <is>
          <t>kojacek</t>
        </is>
      </c>
      <c r="M28" s="3" t="inlineStr">
        <is>
          <t>kojacek.wordpress.com</t>
        </is>
      </c>
      <c r="N28" s="6" t="inlineStr">
        <is>
          <t>開く</t>
        </is>
      </c>
    </row>
    <row r="29">
      <c r="A29" s="2">
        <f>RANK(J29,$J$2:$J$489)</f>
        <v/>
      </c>
      <c r="B29" s="3" t="inlineStr">
        <is>
          <t>外部参照・図面管理・一括処理</t>
        </is>
      </c>
      <c r="C29" s="3" t="inlineStr">
        <is>
          <t>Creascript</t>
        </is>
      </c>
      <c r="D29" s="4" t="inlineStr">
        <is>
          <t>CreaSCRIPT</t>
        </is>
      </c>
      <c r="E29" s="4" t="inlineStr">
        <is>
          <t>フォルダ内数百図面に同じ変更を一括適用</t>
        </is>
      </c>
      <c r="F29" s="2" t="n">
        <v>14</v>
      </c>
      <c r="G29" s="2" t="n">
        <v>10</v>
      </c>
      <c r="H29" s="2" t="n">
        <v>17</v>
      </c>
      <c r="I29" s="2" t="n">
        <v>16</v>
      </c>
      <c r="J29" s="5">
        <f>SUM(F29:I29)</f>
        <v/>
      </c>
      <c r="K29" s="4" t="inlineStr">
        <is>
          <t>数百図面一括変更</t>
        </is>
      </c>
      <c r="L29" s="3" t="inlineStr">
        <is>
          <t>EmiCAD</t>
        </is>
      </c>
      <c r="M29" s="3" t="inlineStr">
        <is>
          <t>EmiLISP Free (emicad.it)</t>
        </is>
      </c>
      <c r="N29" s="6" t="inlineStr">
        <is>
          <t>開く</t>
        </is>
      </c>
    </row>
    <row r="30">
      <c r="A30" s="2">
        <f>RANK(J30,$J$2:$J$489)</f>
        <v/>
      </c>
      <c r="B30" s="3" t="inlineStr">
        <is>
          <t>寸法</t>
        </is>
      </c>
      <c r="C30" s="3" t="inlineStr">
        <is>
          <t>EDIM</t>
        </is>
      </c>
      <c r="D30" s="4" t="inlineStr">
        <is>
          <t>EasyDim</t>
        </is>
      </c>
      <c r="E30" s="4" t="inlineStr">
        <is>
          <t>ポリライン外周の寸法を自動作図</t>
        </is>
      </c>
      <c r="F30" s="2" t="n">
        <v>17</v>
      </c>
      <c r="G30" s="2" t="n">
        <v>13</v>
      </c>
      <c r="H30" s="2" t="n">
        <v>14</v>
      </c>
      <c r="I30" s="2" t="n">
        <v>13</v>
      </c>
      <c r="J30" s="5">
        <f>SUM(F30:I30)</f>
        <v/>
      </c>
      <c r="K30" s="4" t="inlineStr">
        <is>
          <t>外周寸法を自動作成</t>
        </is>
      </c>
      <c r="L30" s="3" t="inlineStr"/>
      <c r="M30" s="3" t="inlineStr">
        <is>
          <t>CADthèque</t>
        </is>
      </c>
      <c r="N30" s="6" t="inlineStr">
        <is>
          <t>開く</t>
        </is>
      </c>
    </row>
    <row r="31">
      <c r="A31" s="2">
        <f>RANK(J31,$J$2:$J$489)</f>
        <v/>
      </c>
      <c r="B31" s="3" t="inlineStr">
        <is>
          <t>印刷・レイアウト・図枠</t>
        </is>
      </c>
      <c r="C31" s="3" t="inlineStr">
        <is>
          <t>grf</t>
        </is>
      </c>
      <c r="D31" s="4" t="inlineStr">
        <is>
          <t>GRF</t>
        </is>
      </c>
      <c r="E31" s="4" t="inlineStr">
        <is>
          <t>フォルダ内の複数図面を1図面の各レイアウトに取込</t>
        </is>
      </c>
      <c r="F31" s="2" t="n">
        <v>18</v>
      </c>
      <c r="G31" s="2" t="n">
        <v>14</v>
      </c>
      <c r="H31" s="2" t="n">
        <v>14</v>
      </c>
      <c r="I31" s="2" t="n">
        <v>11</v>
      </c>
      <c r="J31" s="5">
        <f>SUM(F31:I31)</f>
        <v/>
      </c>
      <c r="K31" s="4" t="inlineStr">
        <is>
          <t>複数図面をレイアウト化</t>
        </is>
      </c>
      <c r="L31" s="3" t="inlineStr">
        <is>
          <t>Patrick_35</t>
        </is>
      </c>
      <c r="M31" s="3" t="inlineStr">
        <is>
          <t>CADxp (Patrick_35)</t>
        </is>
      </c>
      <c r="N31" s="6" t="inlineStr">
        <is>
          <t>開く</t>
        </is>
      </c>
    </row>
    <row r="32">
      <c r="A32" s="2">
        <f>RANK(J32,$J$2:$J$489)</f>
        <v/>
      </c>
      <c r="B32" s="3" t="inlineStr">
        <is>
          <t>ブロック・属性</t>
        </is>
      </c>
      <c r="C32" s="3" t="inlineStr">
        <is>
          <t>insedit</t>
        </is>
      </c>
      <c r="D32" s="4" t="inlineStr">
        <is>
          <t>InsEdit</t>
        </is>
      </c>
      <c r="E32" s="4" t="inlineStr">
        <is>
          <t>ブロック挿入基点を再定義し参照位置も補正</t>
        </is>
      </c>
      <c r="F32" s="2" t="n">
        <v>16</v>
      </c>
      <c r="G32" s="2" t="n">
        <v>13</v>
      </c>
      <c r="H32" s="2" t="n">
        <v>12</v>
      </c>
      <c r="I32" s="2" t="n">
        <v>16</v>
      </c>
      <c r="J32" s="5">
        <f>SUM(F32:I32)</f>
        <v/>
      </c>
      <c r="K32" s="4" t="inlineStr">
        <is>
          <t>基点変更で参照位置補正</t>
        </is>
      </c>
      <c r="L32" s="3" t="inlineStr">
        <is>
          <t>(gile)</t>
        </is>
      </c>
      <c r="M32" s="3" t="inlineStr">
        <is>
          <t>gileCAD</t>
        </is>
      </c>
      <c r="N32" s="6" t="inlineStr">
        <is>
          <t>開く</t>
        </is>
      </c>
    </row>
    <row r="33">
      <c r="A33" s="2">
        <f>RANK(J33,$J$2:$J$489)</f>
        <v/>
      </c>
      <c r="B33" s="3" t="inlineStr">
        <is>
          <t>画層</t>
        </is>
      </c>
      <c r="C33" s="3" t="inlineStr">
        <is>
          <t>-</t>
        </is>
      </c>
      <c r="D33" s="4" t="inlineStr">
        <is>
          <t>Layerstandsave</t>
        </is>
      </c>
      <c r="E33" s="4" t="inlineStr">
        <is>
          <t>画層状態を最大10段階保存しアンドゥ的に復元</t>
        </is>
      </c>
      <c r="F33" s="2" t="n">
        <v>16</v>
      </c>
      <c r="G33" s="2" t="n">
        <v>15</v>
      </c>
      <c r="H33" s="2" t="n">
        <v>12</v>
      </c>
      <c r="I33" s="2" t="n">
        <v>14</v>
      </c>
      <c r="J33" s="5">
        <f>SUM(F33:I33)</f>
        <v/>
      </c>
      <c r="K33" s="4" t="inlineStr">
        <is>
          <t>画層状態を段階的に復元</t>
        </is>
      </c>
      <c r="L33" s="3" t="inlineStr">
        <is>
          <t>CADwiesel</t>
        </is>
      </c>
      <c r="M33" s="3" t="inlineStr">
        <is>
          <t>CADwiesel</t>
        </is>
      </c>
      <c r="N33" s="6" t="inlineStr">
        <is>
          <t>開く</t>
        </is>
      </c>
    </row>
    <row r="34">
      <c r="A34" s="2">
        <f>RANK(J34,$J$2:$J$489)</f>
        <v/>
      </c>
      <c r="B34" s="3" t="inlineStr">
        <is>
          <t>印刷・レイアウト・図枠</t>
        </is>
      </c>
      <c r="C34" s="3" t="inlineStr">
        <is>
          <t>modimpostazioniplot</t>
        </is>
      </c>
      <c r="D34" s="4" t="inlineStr">
        <is>
          <t>Modifica stampante layout</t>
        </is>
      </c>
      <c r="E34" s="4" t="inlineStr">
        <is>
          <t>全レイアウトのプリンタを一括変更</t>
        </is>
      </c>
      <c r="F34" s="2" t="n">
        <v>17</v>
      </c>
      <c r="G34" s="2" t="n">
        <v>12</v>
      </c>
      <c r="H34" s="2" t="n">
        <v>15</v>
      </c>
      <c r="I34" s="2" t="n">
        <v>13</v>
      </c>
      <c r="J34" s="5">
        <f>SUM(F34:I34)</f>
        <v/>
      </c>
      <c r="K34" s="4" t="inlineStr">
        <is>
          <t>全レイアウトのプリンタ変更</t>
        </is>
      </c>
      <c r="L34" s="3" t="inlineStr">
        <is>
          <t>EmiCAD</t>
        </is>
      </c>
      <c r="M34" s="3" t="inlineStr">
        <is>
          <t>EmiLISP Free (emicad.it)</t>
        </is>
      </c>
      <c r="N34" s="6" t="inlineStr">
        <is>
          <t>開く</t>
        </is>
      </c>
    </row>
    <row r="35">
      <c r="A35" s="2">
        <f>RANK(J35,$J$2:$J$489)</f>
        <v/>
      </c>
      <c r="B35" s="3" t="inlineStr">
        <is>
          <t>文字・テキスト</t>
        </is>
      </c>
      <c r="C35" s="3" t="inlineStr">
        <is>
          <t>-</t>
        </is>
      </c>
      <c r="D35" s="4" t="inlineStr">
        <is>
          <t>Overlapping texts</t>
        </is>
      </c>
      <c r="E35" s="4" t="inlineStr">
        <is>
          <t>重なった文字を自動で離して配置</t>
        </is>
      </c>
      <c r="F35" s="2" t="n">
        <v>18</v>
      </c>
      <c r="G35" s="2" t="n">
        <v>16</v>
      </c>
      <c r="H35" s="2" t="n">
        <v>11</v>
      </c>
      <c r="I35" s="2" t="n">
        <v>12</v>
      </c>
      <c r="J35" s="5">
        <f>SUM(F35:I35)</f>
        <v/>
      </c>
      <c r="K35" s="4" t="inlineStr">
        <is>
          <t>重なり文字を自動分離</t>
        </is>
      </c>
      <c r="L35" s="3" t="inlineStr">
        <is>
          <t>kojacek</t>
        </is>
      </c>
      <c r="M35" s="3" t="inlineStr">
        <is>
          <t>kojacek.wordpress.com</t>
        </is>
      </c>
      <c r="N35" s="6" t="inlineStr">
        <is>
          <t>開く</t>
        </is>
      </c>
    </row>
    <row r="36">
      <c r="A36" s="2">
        <f>RANK(J36,$J$2:$J$489)</f>
        <v/>
      </c>
      <c r="B36" s="3" t="inlineStr">
        <is>
          <t>印刷・レイアウト・図枠</t>
        </is>
      </c>
      <c r="C36" s="3" t="inlineStr">
        <is>
          <t>-</t>
        </is>
      </c>
      <c r="D36" s="4" t="inlineStr">
        <is>
          <t>ctb_maker</t>
        </is>
      </c>
      <c r="E36" s="4" t="inlineStr">
        <is>
          <t>元図と目標図の差から色・線太さを判定しCTB作成</t>
        </is>
      </c>
      <c r="F36" s="2" t="n">
        <v>20</v>
      </c>
      <c r="G36" s="2" t="n">
        <v>17</v>
      </c>
      <c r="H36" s="2" t="n">
        <v>9</v>
      </c>
      <c r="I36" s="2" t="n">
        <v>10</v>
      </c>
      <c r="J36" s="5">
        <f>SUM(F36:I36)</f>
        <v/>
      </c>
      <c r="K36" s="4" t="inlineStr">
        <is>
          <t>図面差分からCTB生成</t>
        </is>
      </c>
      <c r="L36" s="3" t="inlineStr">
        <is>
          <t>Jörn Bosse</t>
        </is>
      </c>
      <c r="M36" s="3" t="inlineStr">
        <is>
          <t>Bosse Engineering</t>
        </is>
      </c>
      <c r="N36" s="6" t="inlineStr">
        <is>
          <t>開く</t>
        </is>
      </c>
    </row>
    <row r="37">
      <c r="A37" s="2">
        <f>RANK(J37,$J$2:$J$489)</f>
        <v/>
      </c>
      <c r="B37" s="3" t="inlineStr">
        <is>
          <t>画層</t>
        </is>
      </c>
      <c r="C37" s="3" t="inlineStr">
        <is>
          <t>epo</t>
        </is>
      </c>
      <c r="D37" s="4" t="inlineStr">
        <is>
          <t>EPO</t>
        </is>
      </c>
      <c r="E37" s="4" t="inlineStr">
        <is>
          <t>レイアウトのビューポートで見えている画層をモデルで凍結</t>
        </is>
      </c>
      <c r="F37" s="2" t="n">
        <v>18</v>
      </c>
      <c r="G37" s="2" t="n">
        <v>16</v>
      </c>
      <c r="H37" s="2" t="n">
        <v>11</v>
      </c>
      <c r="I37" s="2" t="n">
        <v>11</v>
      </c>
      <c r="J37" s="5">
        <f>SUM(F37:I37)</f>
        <v/>
      </c>
      <c r="K37" s="4" t="inlineStr">
        <is>
          <t>VPで見える画層をモデル凍結</t>
        </is>
      </c>
      <c r="L37" s="3" t="inlineStr">
        <is>
          <t>Patrick_35</t>
        </is>
      </c>
      <c r="M37" s="3" t="inlineStr">
        <is>
          <t>CADxp (Patrick_35)</t>
        </is>
      </c>
      <c r="N37" s="6" t="inlineStr">
        <is>
          <t>開く</t>
        </is>
      </c>
    </row>
    <row r="38">
      <c r="A38" s="2">
        <f>RANK(J38,$J$2:$J$489)</f>
        <v/>
      </c>
      <c r="B38" s="3" t="inlineStr">
        <is>
          <t>ブロック・属性</t>
        </is>
      </c>
      <c r="C38" s="3" t="inlineStr">
        <is>
          <t>iat</t>
        </is>
      </c>
      <c r="D38" s="4" t="inlineStr">
        <is>
          <t>IAT</t>
        </is>
      </c>
      <c r="E38" s="4" t="inlineStr">
        <is>
          <t>属性の英数字連番を増分</t>
        </is>
      </c>
      <c r="F38" s="2" t="n">
        <v>12</v>
      </c>
      <c r="G38" s="2" t="n">
        <v>11</v>
      </c>
      <c r="H38" s="2" t="n">
        <v>16</v>
      </c>
      <c r="I38" s="2" t="n">
        <v>17</v>
      </c>
      <c r="J38" s="5">
        <f>SUM(F38:I38)</f>
        <v/>
      </c>
      <c r="K38" s="4" t="inlineStr">
        <is>
          <t>英数字属性連番</t>
        </is>
      </c>
      <c r="L38" s="3" t="inlineStr">
        <is>
          <t>Patrick_35</t>
        </is>
      </c>
      <c r="M38" s="3" t="inlineStr">
        <is>
          <t>CADxp (Patrick_35)</t>
        </is>
      </c>
      <c r="N38" s="6" t="inlineStr">
        <is>
          <t>開く</t>
        </is>
      </c>
    </row>
    <row r="39">
      <c r="A39" s="2">
        <f>RANK(J39,$J$2:$J$489)</f>
        <v/>
      </c>
      <c r="B39" s="3" t="inlineStr">
        <is>
          <t>印刷・レイアウト・図枠</t>
        </is>
      </c>
      <c r="C39" s="3" t="inlineStr">
        <is>
          <t>ind</t>
        </is>
      </c>
      <c r="D39" s="4" t="inlineStr">
        <is>
          <t>IND</t>
        </is>
      </c>
      <c r="E39" s="4" t="inlineStr">
        <is>
          <t>図枠の改訂インデックスを繰上げ</t>
        </is>
      </c>
      <c r="F39" s="2" t="n">
        <v>17</v>
      </c>
      <c r="G39" s="2" t="n">
        <v>13</v>
      </c>
      <c r="H39" s="2" t="n">
        <v>14</v>
      </c>
      <c r="I39" s="2" t="n">
        <v>12</v>
      </c>
      <c r="J39" s="5">
        <f>SUM(F39:I39)</f>
        <v/>
      </c>
      <c r="K39" s="4" t="inlineStr">
        <is>
          <t>図枠改訂を一括繰上げ</t>
        </is>
      </c>
      <c r="L39" s="3" t="inlineStr">
        <is>
          <t>Patrick_35</t>
        </is>
      </c>
      <c r="M39" s="3" t="inlineStr">
        <is>
          <t>CADxp (Patrick_35)</t>
        </is>
      </c>
      <c r="N39" s="6" t="inlineStr">
        <is>
          <t>開く</t>
        </is>
      </c>
    </row>
    <row r="40">
      <c r="A40" s="2">
        <f>RANK(J40,$J$2:$J$489)</f>
        <v/>
      </c>
      <c r="B40" s="3" t="inlineStr">
        <is>
          <t>引出線・注記</t>
        </is>
      </c>
      <c r="C40" s="3" t="inlineStr">
        <is>
          <t>idata / rdata / ddata</t>
        </is>
      </c>
      <c r="D40" s="4" t="inlineStr">
        <is>
          <t>LinkData</t>
        </is>
      </c>
      <c r="E40" s="4" t="inlineStr">
        <is>
          <t>図形にマルチテキスト情報をリンクしカーソルで表示</t>
        </is>
      </c>
      <c r="F40" s="2" t="n">
        <v>17</v>
      </c>
      <c r="G40" s="2" t="n">
        <v>19</v>
      </c>
      <c r="H40" s="2" t="n">
        <v>8</v>
      </c>
      <c r="I40" s="2" t="n">
        <v>12</v>
      </c>
      <c r="J40" s="5">
        <f>SUM(F40:I40)</f>
        <v/>
      </c>
      <c r="K40" s="4" t="inlineStr">
        <is>
          <t>図形に情報を紐付け表示</t>
        </is>
      </c>
      <c r="L40" s="3" t="inlineStr">
        <is>
          <t>(gile)</t>
        </is>
      </c>
      <c r="M40" s="3" t="inlineStr">
        <is>
          <t>gileCAD</t>
        </is>
      </c>
      <c r="N40" s="6" t="inlineStr">
        <is>
          <t>開く</t>
        </is>
      </c>
    </row>
    <row r="41">
      <c r="A41" s="2">
        <f>RANK(J41,$J$2:$J$489)</f>
        <v/>
      </c>
      <c r="B41" s="3" t="inlineStr">
        <is>
          <t>選択・絞り込み</t>
        </is>
      </c>
      <c r="C41" s="3" t="inlineStr">
        <is>
          <t>OBJCNT</t>
        </is>
      </c>
      <c r="D41" s="4" t="inlineStr">
        <is>
          <t>ObjectCounter</t>
        </is>
      </c>
      <c r="E41" s="4" t="inlineStr">
        <is>
          <t>閉領域内の指定図形を数えてレポート</t>
        </is>
      </c>
      <c r="F41" s="2" t="n">
        <v>16</v>
      </c>
      <c r="G41" s="2" t="n">
        <v>13</v>
      </c>
      <c r="H41" s="2" t="n">
        <v>14</v>
      </c>
      <c r="I41" s="2" t="n">
        <v>13</v>
      </c>
      <c r="J41" s="5">
        <f>SUM(F41:I41)</f>
        <v/>
      </c>
      <c r="K41" s="4" t="inlineStr">
        <is>
          <t>領域内の図形計数</t>
        </is>
      </c>
      <c r="L41" s="3" t="inlineStr"/>
      <c r="M41" s="3" t="inlineStr">
        <is>
          <t>CADthèque</t>
        </is>
      </c>
      <c r="N41" s="6" t="inlineStr">
        <is>
          <t>開く</t>
        </is>
      </c>
    </row>
    <row r="42">
      <c r="A42" s="2">
        <f>RANK(J42,$J$2:$J$489)</f>
        <v/>
      </c>
      <c r="B42" s="3" t="inlineStr">
        <is>
          <t>外部参照・図面管理・一括処理</t>
        </is>
      </c>
      <c r="C42" s="3" t="inlineStr">
        <is>
          <t>-</t>
        </is>
      </c>
      <c r="D42" s="4" t="inlineStr">
        <is>
          <t>odbx_detach*</t>
        </is>
      </c>
      <c r="E42" s="4" t="inlineStr">
        <is>
          <t>画像・PDF・DGN・DWF・点群等アタッチを一括デタッチ</t>
        </is>
      </c>
      <c r="F42" s="2" t="n">
        <v>18</v>
      </c>
      <c r="G42" s="2" t="n">
        <v>12</v>
      </c>
      <c r="H42" s="2" t="n">
        <v>14</v>
      </c>
      <c r="I42" s="2" t="n">
        <v>12</v>
      </c>
      <c r="J42" s="5">
        <f>SUM(F42:I42)</f>
        <v/>
      </c>
      <c r="K42" s="4" t="inlineStr">
        <is>
          <t>アタッチ一括デタッチ</t>
        </is>
      </c>
      <c r="L42" s="3" t="inlineStr">
        <is>
          <t>Fraiddd</t>
        </is>
      </c>
      <c r="M42" s="3" t="inlineStr">
        <is>
          <t>GitHub: Fraiddd/ODBX_LIB</t>
        </is>
      </c>
      <c r="N42" s="6" t="inlineStr">
        <is>
          <t>開く</t>
        </is>
      </c>
    </row>
    <row r="43">
      <c r="A43" s="2">
        <f>RANK(J43,$J$2:$J$489)</f>
        <v/>
      </c>
      <c r="B43" s="3" t="inlineStr">
        <is>
          <t>ブロック・属性</t>
        </is>
      </c>
      <c r="C43" s="3" t="inlineStr">
        <is>
          <t>ou / oua</t>
        </is>
      </c>
      <c r="D43" s="4" t="inlineStr">
        <is>
          <t>OU / OUA</t>
        </is>
      </c>
      <c r="E43" s="4" t="inlineStr">
        <is>
          <t>原点からブロック挿入点へ線を引き所在を示す</t>
        </is>
      </c>
      <c r="F43" s="2" t="n">
        <v>17</v>
      </c>
      <c r="G43" s="2" t="n">
        <v>17</v>
      </c>
      <c r="H43" s="2" t="n">
        <v>10</v>
      </c>
      <c r="I43" s="2" t="n">
        <v>12</v>
      </c>
      <c r="J43" s="5">
        <f>SUM(F43:I43)</f>
        <v/>
      </c>
      <c r="K43" s="4" t="inlineStr">
        <is>
          <t>迷子ブロックを線で示す</t>
        </is>
      </c>
      <c r="L43" s="3" t="inlineStr">
        <is>
          <t>Patrick_35</t>
        </is>
      </c>
      <c r="M43" s="3" t="inlineStr">
        <is>
          <t>CADxp (Patrick_35)</t>
        </is>
      </c>
      <c r="N43" s="6" t="inlineStr">
        <is>
          <t>開く</t>
        </is>
      </c>
    </row>
    <row r="44">
      <c r="A44" s="2">
        <f>RANK(J44,$J$2:$J$489)</f>
        <v/>
      </c>
      <c r="B44" s="3" t="inlineStr">
        <is>
          <t>線・ポリライン編集</t>
        </is>
      </c>
      <c r="C44" s="3" t="inlineStr">
        <is>
          <t>copsegs / ofsegs</t>
        </is>
      </c>
      <c r="D44" s="4" t="inlineStr">
        <is>
          <t>PolySegments</t>
        </is>
      </c>
      <c r="E44" s="4" t="inlineStr">
        <is>
          <t>ポリラインの特定セグメントだけコピー/オフセット</t>
        </is>
      </c>
      <c r="F44" s="2" t="n">
        <v>17</v>
      </c>
      <c r="G44" s="2" t="n">
        <v>15</v>
      </c>
      <c r="H44" s="2" t="n">
        <v>11</v>
      </c>
      <c r="I44" s="2" t="n">
        <v>13</v>
      </c>
      <c r="J44" s="5">
        <f>SUM(F44:I44)</f>
        <v/>
      </c>
      <c r="K44" s="4" t="inlineStr">
        <is>
          <t>セグメント単位オフセット</t>
        </is>
      </c>
      <c r="L44" s="3" t="inlineStr">
        <is>
          <t>(gile)</t>
        </is>
      </c>
      <c r="M44" s="3" t="inlineStr">
        <is>
          <t>gileCAD</t>
        </is>
      </c>
      <c r="N44" s="6" t="inlineStr">
        <is>
          <t>開く</t>
        </is>
      </c>
    </row>
    <row r="45">
      <c r="A45" s="2">
        <f>RANK(J45,$J$2:$J$489)</f>
        <v/>
      </c>
      <c r="B45" s="3" t="inlineStr">
        <is>
          <t>ブロック・属性</t>
        </is>
      </c>
      <c r="C45" s="3" t="inlineStr">
        <is>
          <t>cat</t>
        </is>
      </c>
      <c r="D45" s="4" t="inlineStr">
        <is>
          <t>CAT</t>
        </is>
      </c>
      <c r="E45" s="4" t="inlineStr">
        <is>
          <t>属性値を別ブロックへコピー（属性数不一致も可）</t>
        </is>
      </c>
      <c r="F45" s="2" t="n">
        <v>14</v>
      </c>
      <c r="G45" s="2" t="n">
        <v>12</v>
      </c>
      <c r="H45" s="2" t="n">
        <v>14</v>
      </c>
      <c r="I45" s="2" t="n">
        <v>15</v>
      </c>
      <c r="J45" s="5">
        <f>SUM(F45:I45)</f>
        <v/>
      </c>
      <c r="K45" s="4" t="inlineStr">
        <is>
          <t>属性数が違っても転写</t>
        </is>
      </c>
      <c r="L45" s="3" t="inlineStr">
        <is>
          <t>Patrick_35</t>
        </is>
      </c>
      <c r="M45" s="3" t="inlineStr">
        <is>
          <t>CADxp (Patrick_35)</t>
        </is>
      </c>
      <c r="N45" s="6" t="inlineStr">
        <is>
          <t>開く</t>
        </is>
      </c>
    </row>
    <row r="46">
      <c r="A46" s="2">
        <f>RANK(J46,$J$2:$J$489)</f>
        <v/>
      </c>
      <c r="B46" s="3" t="inlineStr">
        <is>
          <t>外部参照・図面管理・一括処理</t>
        </is>
      </c>
      <c r="C46" s="3" t="inlineStr">
        <is>
          <t>duc</t>
        </is>
      </c>
      <c r="D46" s="4" t="inlineStr">
        <is>
          <t>DUC</t>
        </is>
      </c>
      <c r="E46" s="4" t="inlineStr">
        <is>
          <t>フォルダ内全図面の全図形をByLayer色に</t>
        </is>
      </c>
      <c r="F46" s="2" t="n">
        <v>17</v>
      </c>
      <c r="G46" s="2" t="n">
        <v>9</v>
      </c>
      <c r="H46" s="2" t="n">
        <v>15</v>
      </c>
      <c r="I46" s="2" t="n">
        <v>14</v>
      </c>
      <c r="J46" s="5">
        <f>SUM(F46:I46)</f>
        <v/>
      </c>
      <c r="K46" s="4" t="inlineStr">
        <is>
          <t>フォルダ一括ByLayer化</t>
        </is>
      </c>
      <c r="L46" s="3" t="inlineStr">
        <is>
          <t>Patrick_35</t>
        </is>
      </c>
      <c r="M46" s="3" t="inlineStr">
        <is>
          <t>CADxp (Patrick_35)</t>
        </is>
      </c>
      <c r="N46" s="6" t="inlineStr">
        <is>
          <t>開く</t>
        </is>
      </c>
    </row>
    <row r="47">
      <c r="A47" s="2">
        <f>RANK(J47,$J$2:$J$489)</f>
        <v/>
      </c>
      <c r="B47" s="3" t="inlineStr">
        <is>
          <t>表・Excel連携</t>
        </is>
      </c>
      <c r="C47" s="3" t="inlineStr">
        <is>
          <t>ixl</t>
        </is>
      </c>
      <c r="D47" s="4" t="inlineStr">
        <is>
          <t>IXL</t>
        </is>
      </c>
      <c r="E47" s="4" t="inlineStr">
        <is>
          <t>Excelシートからブロックを挿入</t>
        </is>
      </c>
      <c r="F47" s="2" t="n">
        <v>17</v>
      </c>
      <c r="G47" s="2" t="n">
        <v>13</v>
      </c>
      <c r="H47" s="2" t="n">
        <v>14</v>
      </c>
      <c r="I47" s="2" t="n">
        <v>11</v>
      </c>
      <c r="J47" s="5">
        <f>SUM(F47:I47)</f>
        <v/>
      </c>
      <c r="K47" s="4" t="inlineStr">
        <is>
          <t>Excelからブロック配置</t>
        </is>
      </c>
      <c r="L47" s="3" t="inlineStr">
        <is>
          <t>Patrick_35</t>
        </is>
      </c>
      <c r="M47" s="3" t="inlineStr">
        <is>
          <t>CADxp (Patrick_35)</t>
        </is>
      </c>
      <c r="N47" s="6" t="inlineStr">
        <is>
          <t>開く</t>
        </is>
      </c>
    </row>
    <row r="48">
      <c r="A48" s="2">
        <f>RANK(J48,$J$2:$J$489)</f>
        <v/>
      </c>
      <c r="B48" s="3" t="inlineStr">
        <is>
          <t>文字・テキスト</t>
        </is>
      </c>
      <c r="C48" s="3" t="inlineStr">
        <is>
          <t>-</t>
        </is>
      </c>
      <c r="D48" s="4" t="inlineStr">
        <is>
          <t>Numerator</t>
        </is>
      </c>
      <c r="E48" s="4" t="inlineStr">
        <is>
          <t>属性・文字・MTEXTに連番を順に入力</t>
        </is>
      </c>
      <c r="F48" s="2" t="n">
        <v>12</v>
      </c>
      <c r="G48" s="2" t="n">
        <v>11</v>
      </c>
      <c r="H48" s="2" t="n">
        <v>15</v>
      </c>
      <c r="I48" s="2" t="n">
        <v>17</v>
      </c>
      <c r="J48" s="5">
        <f>SUM(F48:I48)</f>
        <v/>
      </c>
      <c r="K48" s="4" t="inlineStr">
        <is>
          <t>連番入力</t>
        </is>
      </c>
      <c r="L48" s="3" t="inlineStr">
        <is>
          <t>kojacek</t>
        </is>
      </c>
      <c r="M48" s="3" t="inlineStr">
        <is>
          <t>kojacek.wordpress.com</t>
        </is>
      </c>
      <c r="N48" s="6" t="inlineStr">
        <is>
          <t>開く</t>
        </is>
      </c>
    </row>
    <row r="49">
      <c r="A49" s="2">
        <f>RANK(J49,$J$2:$J$489)</f>
        <v/>
      </c>
      <c r="B49" s="3" t="inlineStr">
        <is>
          <t>設備</t>
        </is>
      </c>
      <c r="C49" s="3" t="inlineStr">
        <is>
          <t>-</t>
        </is>
      </c>
      <c r="D49" s="4" t="inlineStr">
        <is>
          <t>Przecinanie krzyżujących się linii</t>
        </is>
      </c>
      <c r="E49" s="4" t="inlineStr">
        <is>
          <t>系統図の交差線に自動で切れ目を入れる</t>
        </is>
      </c>
      <c r="F49" s="2" t="n">
        <v>17</v>
      </c>
      <c r="G49" s="2" t="n">
        <v>15</v>
      </c>
      <c r="H49" s="2" t="n">
        <v>13</v>
      </c>
      <c r="I49" s="2" t="n">
        <v>10</v>
      </c>
      <c r="J49" s="5">
        <f>SUM(F49:I49)</f>
        <v/>
      </c>
      <c r="K49" s="4" t="inlineStr">
        <is>
          <t>交差線に自動切れ目</t>
        </is>
      </c>
      <c r="L49" s="3" t="inlineStr">
        <is>
          <t>kojacek</t>
        </is>
      </c>
      <c r="M49" s="3" t="inlineStr">
        <is>
          <t>kojacek.wordpress.com</t>
        </is>
      </c>
      <c r="N49" s="6" t="inlineStr">
        <is>
          <t>開く</t>
        </is>
      </c>
    </row>
    <row r="50">
      <c r="A50" s="2">
        <f>RANK(J50,$J$2:$J$489)</f>
        <v/>
      </c>
      <c r="B50" s="3" t="inlineStr">
        <is>
          <t>画層</t>
        </is>
      </c>
      <c r="C50" s="3" t="inlineStr">
        <is>
          <t>-</t>
        </is>
      </c>
      <c r="D50" s="4" t="inlineStr">
        <is>
          <t>Przypisanie do warstwy</t>
        </is>
      </c>
      <c r="E50" s="4" t="inlineStr">
        <is>
          <t>図形種類を判別して所定画層へ自動振分け</t>
        </is>
      </c>
      <c r="F50" s="2" t="n">
        <v>16</v>
      </c>
      <c r="G50" s="2" t="n">
        <v>13</v>
      </c>
      <c r="H50" s="2" t="n">
        <v>14</v>
      </c>
      <c r="I50" s="2" t="n">
        <v>12</v>
      </c>
      <c r="J50" s="5">
        <f>SUM(F50:I50)</f>
        <v/>
      </c>
      <c r="K50" s="4" t="inlineStr">
        <is>
          <t>図形種別で自動画層振分け</t>
        </is>
      </c>
      <c r="L50" s="3" t="inlineStr">
        <is>
          <t>ZWCAD Polska</t>
        </is>
      </c>
      <c r="M50" s="3" t="inlineStr">
        <is>
          <t>zwcad.pl</t>
        </is>
      </c>
      <c r="N50" s="6" t="inlineStr">
        <is>
          <t>開く</t>
        </is>
      </c>
    </row>
    <row r="51">
      <c r="A51" s="2">
        <f>RANK(J51,$J$2:$J$489)</f>
        <v/>
      </c>
      <c r="B51" s="3" t="inlineStr">
        <is>
          <t>外部参照・図面管理・一括処理</t>
        </is>
      </c>
      <c r="C51" s="3" t="inlineStr">
        <is>
          <t>cst / crt</t>
        </is>
      </c>
      <c r="D51" s="4" t="inlineStr">
        <is>
          <t>ConvertCouleurCalqueXref</t>
        </is>
      </c>
      <c r="E51" s="4" t="inlineStr">
        <is>
          <t>外部参照画層の色をHSL変換で淡色化</t>
        </is>
      </c>
      <c r="F51" s="2" t="n">
        <v>17</v>
      </c>
      <c r="G51" s="2" t="n">
        <v>16</v>
      </c>
      <c r="H51" s="2" t="n">
        <v>10</v>
      </c>
      <c r="I51" s="2" t="n">
        <v>11</v>
      </c>
      <c r="J51" s="5">
        <f>SUM(F51:I51)</f>
        <v/>
      </c>
      <c r="K51" s="4" t="inlineStr">
        <is>
          <t>Xref色を自動淡色化</t>
        </is>
      </c>
      <c r="L51" s="3" t="inlineStr">
        <is>
          <t>chenhaibin (Pascal, gile ほか)</t>
        </is>
      </c>
      <c r="M51" s="3" t="inlineStr">
        <is>
          <t>GitHub: chenhaibin/Utilitaires_AutoLisp</t>
        </is>
      </c>
      <c r="N51" s="6" t="inlineStr">
        <is>
          <t>開く</t>
        </is>
      </c>
    </row>
    <row r="52">
      <c r="A52" s="2">
        <f>RANK(J52,$J$2:$J$489)</f>
        <v/>
      </c>
      <c r="B52" s="3" t="inlineStr">
        <is>
          <t>建築</t>
        </is>
      </c>
      <c r="C52" s="3" t="inlineStr">
        <is>
          <t>-</t>
        </is>
      </c>
      <c r="D52" s="4" t="inlineStr">
        <is>
          <t>Duvar-Lento-Kapı-Pencere Metraj</t>
        </is>
      </c>
      <c r="E52" s="4" t="inlineStr">
        <is>
          <t>壁・まぐさ・ドア・窓の数量を拾い出し</t>
        </is>
      </c>
      <c r="F52" s="2" t="n">
        <v>17</v>
      </c>
      <c r="G52" s="2" t="n">
        <v>13</v>
      </c>
      <c r="H52" s="2" t="n">
        <v>16</v>
      </c>
      <c r="I52" s="2" t="n">
        <v>8</v>
      </c>
      <c r="J52" s="5">
        <f>SUM(F52:I52)</f>
        <v/>
      </c>
      <c r="K52" s="4" t="inlineStr">
        <is>
          <t>建具・壁数量拾い</t>
        </is>
      </c>
      <c r="L52" s="3" t="inlineStr">
        <is>
          <t>çizim okulu</t>
        </is>
      </c>
      <c r="M52" s="3" t="inlineStr">
        <is>
          <t>Çizim Okulu</t>
        </is>
      </c>
      <c r="N52" s="6" t="inlineStr">
        <is>
          <t>開く</t>
        </is>
      </c>
    </row>
    <row r="53">
      <c r="A53" s="2">
        <f>RANK(J53,$J$2:$J$489)</f>
        <v/>
      </c>
      <c r="B53" s="3" t="inlineStr">
        <is>
          <t>引出線・注記</t>
        </is>
      </c>
      <c r="C53" s="3" t="inlineStr">
        <is>
          <t>-</t>
        </is>
      </c>
      <c r="D53" s="4" t="inlineStr">
        <is>
          <t>MLEADER jak DIMENSION</t>
        </is>
      </c>
      <c r="E53" s="4" t="inlineStr">
        <is>
          <t>マルチ引出線を図形に連動させる</t>
        </is>
      </c>
      <c r="F53" s="2" t="n">
        <v>18</v>
      </c>
      <c r="G53" s="2" t="n">
        <v>16</v>
      </c>
      <c r="H53" s="2" t="n">
        <v>9</v>
      </c>
      <c r="I53" s="2" t="n">
        <v>11</v>
      </c>
      <c r="J53" s="5">
        <f>SUM(F53:I53)</f>
        <v/>
      </c>
      <c r="K53" s="4" t="inlineStr">
        <is>
          <t>MLEADERを図形に連動</t>
        </is>
      </c>
      <c r="L53" s="3" t="inlineStr">
        <is>
          <t>kojacek</t>
        </is>
      </c>
      <c r="M53" s="3" t="inlineStr">
        <is>
          <t>kojacek.wordpress.com</t>
        </is>
      </c>
      <c r="N53" s="6" t="inlineStr">
        <is>
          <t>開く</t>
        </is>
      </c>
    </row>
    <row r="54">
      <c r="A54" s="2">
        <f>RANK(J54,$J$2:$J$489)</f>
        <v/>
      </c>
      <c r="B54" s="3" t="inlineStr">
        <is>
          <t>外部参照・図面管理・一括処理</t>
        </is>
      </c>
      <c r="C54" s="3" t="inlineStr">
        <is>
          <t>-</t>
        </is>
      </c>
      <c r="D54" s="4" t="inlineStr">
        <is>
          <t>odbx_del*</t>
        </is>
      </c>
      <c r="E54" s="4" t="inlineStr">
        <is>
          <t>複数図面で画層フィルタ・グループ・画層内図形を一括削除</t>
        </is>
      </c>
      <c r="F54" s="2" t="n">
        <v>18</v>
      </c>
      <c r="G54" s="2" t="n">
        <v>11</v>
      </c>
      <c r="H54" s="2" t="n">
        <v>13</v>
      </c>
      <c r="I54" s="2" t="n">
        <v>12</v>
      </c>
      <c r="J54" s="5">
        <f>SUM(F54:I54)</f>
        <v/>
      </c>
      <c r="K54" s="4" t="inlineStr">
        <is>
          <t>開かずに不要要素削除</t>
        </is>
      </c>
      <c r="L54" s="3" t="inlineStr">
        <is>
          <t>Fraiddd</t>
        </is>
      </c>
      <c r="M54" s="3" t="inlineStr">
        <is>
          <t>GitHub: Fraiddd/ODBX_LIB</t>
        </is>
      </c>
      <c r="N54" s="6" t="inlineStr">
        <is>
          <t>開く</t>
        </is>
      </c>
    </row>
    <row r="55">
      <c r="A55" s="2">
        <f>RANK(J55,$J$2:$J$489)</f>
        <v/>
      </c>
      <c r="B55" s="3" t="inlineStr">
        <is>
          <t>ブロック・属性</t>
        </is>
      </c>
      <c r="C55" s="3" t="inlineStr">
        <is>
          <t>rbloc</t>
        </is>
      </c>
      <c r="D55" s="4" t="inlineStr">
        <is>
          <t>RBLOC</t>
        </is>
      </c>
      <c r="E55" s="4" t="inlineStr">
        <is>
          <t>ブロック置換（属性・尺度・動的プロパティ保持可）</t>
        </is>
      </c>
      <c r="F55" s="2" t="n">
        <v>12</v>
      </c>
      <c r="G55" s="2" t="n">
        <v>11</v>
      </c>
      <c r="H55" s="2" t="n">
        <v>15</v>
      </c>
      <c r="I55" s="2" t="n">
        <v>16</v>
      </c>
      <c r="J55" s="5">
        <f>SUM(F55:I55)</f>
        <v/>
      </c>
      <c r="K55" s="4" t="inlineStr">
        <is>
          <t>属性保持のブロック置換</t>
        </is>
      </c>
      <c r="L55" s="3" t="inlineStr">
        <is>
          <t>Patrick_35</t>
        </is>
      </c>
      <c r="M55" s="3" t="inlineStr">
        <is>
          <t>CADxp (Patrick_35)</t>
        </is>
      </c>
      <c r="N55" s="6" t="inlineStr">
        <is>
          <t>開く</t>
        </is>
      </c>
    </row>
    <row r="56">
      <c r="A56" s="2">
        <f>RANK(J56,$J$2:$J$489)</f>
        <v/>
      </c>
      <c r="B56" s="3" t="inlineStr">
        <is>
          <t>表・Excel連携</t>
        </is>
      </c>
      <c r="C56" s="3" t="inlineStr">
        <is>
          <t>-</t>
        </is>
      </c>
      <c r="D56" s="4" t="inlineStr">
        <is>
          <t>Bloki w tabeli</t>
        </is>
      </c>
      <c r="E56" s="4" t="inlineStr">
        <is>
          <t>ブロックをプレビュー付きで表に一覧</t>
        </is>
      </c>
      <c r="F56" s="2" t="n">
        <v>15</v>
      </c>
      <c r="G56" s="2" t="n">
        <v>13</v>
      </c>
      <c r="H56" s="2" t="n">
        <v>12</v>
      </c>
      <c r="I56" s="2" t="n">
        <v>13</v>
      </c>
      <c r="J56" s="5">
        <f>SUM(F56:I56)</f>
        <v/>
      </c>
      <c r="K56" s="4" t="inlineStr">
        <is>
          <t>ブロック一覧表を生成</t>
        </is>
      </c>
      <c r="L56" s="3" t="inlineStr">
        <is>
          <t>kojacek</t>
        </is>
      </c>
      <c r="M56" s="3" t="inlineStr">
        <is>
          <t>kojacek.wordpress.com</t>
        </is>
      </c>
      <c r="N56" s="6" t="inlineStr">
        <is>
          <t>開く</t>
        </is>
      </c>
    </row>
    <row r="57">
      <c r="A57" s="2">
        <f>RANK(J57,$J$2:$J$489)</f>
        <v/>
      </c>
      <c r="B57" s="3" t="inlineStr">
        <is>
          <t>表・Excel連携</t>
        </is>
      </c>
      <c r="C57" s="3" t="inlineStr">
        <is>
          <t>-</t>
        </is>
      </c>
      <c r="D57" s="4" t="inlineStr">
        <is>
          <t>Db-Att</t>
        </is>
      </c>
      <c r="E57" s="4" t="inlineStr">
        <is>
          <t>属性値をデータベースの項目と双方向連携</t>
        </is>
      </c>
      <c r="F57" s="2" t="n">
        <v>18</v>
      </c>
      <c r="G57" s="2" t="n">
        <v>14</v>
      </c>
      <c r="H57" s="2" t="n">
        <v>11</v>
      </c>
      <c r="I57" s="2" t="n">
        <v>10</v>
      </c>
      <c r="J57" s="5">
        <f>SUM(F57:I57)</f>
        <v/>
      </c>
      <c r="K57" s="4" t="inlineStr">
        <is>
          <t>DBと属性を双方向連携</t>
        </is>
      </c>
      <c r="L57" s="3" t="inlineStr">
        <is>
          <t>CADwiesel</t>
        </is>
      </c>
      <c r="M57" s="3" t="inlineStr">
        <is>
          <t>CADwiesel</t>
        </is>
      </c>
      <c r="N57" s="6" t="inlineStr">
        <is>
          <t>開く</t>
        </is>
      </c>
    </row>
    <row r="58">
      <c r="A58" s="2">
        <f>RANK(J58,$J$2:$J$489)</f>
        <v/>
      </c>
      <c r="B58" s="3" t="inlineStr">
        <is>
          <t>印刷・レイアウト・図枠</t>
        </is>
      </c>
      <c r="C58" s="3" t="inlineStr">
        <is>
          <t>ron</t>
        </is>
      </c>
      <c r="D58" s="4" t="inlineStr">
        <is>
          <t>RON</t>
        </is>
      </c>
      <c r="E58" s="4" t="inlineStr">
        <is>
          <t>レイアウトタブを01から連番リネーム</t>
        </is>
      </c>
      <c r="F58" s="2" t="n">
        <v>17</v>
      </c>
      <c r="G58" s="2" t="n">
        <v>11</v>
      </c>
      <c r="H58" s="2" t="n">
        <v>13</v>
      </c>
      <c r="I58" s="2" t="n">
        <v>12</v>
      </c>
      <c r="J58" s="5">
        <f>SUM(F58:I58)</f>
        <v/>
      </c>
      <c r="K58" s="4" t="inlineStr">
        <is>
          <t>レイアウト連番リネーム</t>
        </is>
      </c>
      <c r="L58" s="3" t="inlineStr">
        <is>
          <t>Patrick_35</t>
        </is>
      </c>
      <c r="M58" s="3" t="inlineStr">
        <is>
          <t>CADxp (Patrick_35)</t>
        </is>
      </c>
      <c r="N58" s="6" t="inlineStr">
        <is>
          <t>開く</t>
        </is>
      </c>
    </row>
    <row r="59">
      <c r="A59" s="2">
        <f>RANK(J59,$J$2:$J$489)</f>
        <v/>
      </c>
      <c r="B59" s="3" t="inlineStr">
        <is>
          <t>外部参照・図面管理・一括処理</t>
        </is>
      </c>
      <c r="C59" s="3" t="inlineStr">
        <is>
          <t>rxr</t>
        </is>
      </c>
      <c r="D59" s="4" t="inlineStr">
        <is>
          <t>RXR</t>
        </is>
      </c>
      <c r="E59" s="4" t="inlineStr">
        <is>
          <t>凍結画層を保持したまま外部参照を差替え</t>
        </is>
      </c>
      <c r="F59" s="2" t="n">
        <v>17</v>
      </c>
      <c r="G59" s="2" t="n">
        <v>14</v>
      </c>
      <c r="H59" s="2" t="n">
        <v>11</v>
      </c>
      <c r="I59" s="2" t="n">
        <v>11</v>
      </c>
      <c r="J59" s="5">
        <f>SUM(F59:I59)</f>
        <v/>
      </c>
      <c r="K59" s="4" t="inlineStr">
        <is>
          <t>凍結状態保持でXref差替</t>
        </is>
      </c>
      <c r="L59" s="3" t="inlineStr">
        <is>
          <t>Patrick_35</t>
        </is>
      </c>
      <c r="M59" s="3" t="inlineStr">
        <is>
          <t>CADxp (Patrick_35)</t>
        </is>
      </c>
      <c r="N59" s="6" t="inlineStr">
        <is>
          <t>開く</t>
        </is>
      </c>
    </row>
    <row r="60">
      <c r="A60" s="2">
        <f>RANK(J60,$J$2:$J$489)</f>
        <v/>
      </c>
      <c r="B60" s="3" t="inlineStr">
        <is>
          <t>選択・絞り込み</t>
        </is>
      </c>
      <c r="C60" s="3" t="inlineStr">
        <is>
          <t>ssc / ssl / sse / sstl / ssatt / sscu / ssof / ssoc / inv_sel</t>
        </is>
      </c>
      <c r="D60" s="4" t="inlineStr">
        <is>
          <t>Special_Selections</t>
        </is>
      </c>
      <c r="E60" s="4" t="inlineStr">
        <is>
          <t>色・画層・属性値・UCS窓・図形境界窓などで選択/選択反転</t>
        </is>
      </c>
      <c r="F60" s="2" t="n">
        <v>12</v>
      </c>
      <c r="G60" s="2" t="n">
        <v>12</v>
      </c>
      <c r="H60" s="2" t="n">
        <v>12</v>
      </c>
      <c r="I60" s="2" t="n">
        <v>17</v>
      </c>
      <c r="J60" s="5">
        <f>SUM(F60:I60)</f>
        <v/>
      </c>
      <c r="K60" s="4" t="inlineStr">
        <is>
          <t>図形境界窓選択が便利</t>
        </is>
      </c>
      <c r="L60" s="3" t="inlineStr">
        <is>
          <t>(gile)</t>
        </is>
      </c>
      <c r="M60" s="3" t="inlineStr">
        <is>
          <t>gileCAD</t>
        </is>
      </c>
      <c r="N60" s="6" t="inlineStr">
        <is>
          <t>開く</t>
        </is>
      </c>
    </row>
    <row r="61">
      <c r="A61" s="2">
        <f>RANK(J61,$J$2:$J$489)</f>
        <v/>
      </c>
      <c r="B61" s="3" t="inlineStr">
        <is>
          <t>ブロック・属性</t>
        </is>
      </c>
      <c r="C61" s="3" t="inlineStr">
        <is>
          <t>-</t>
        </is>
      </c>
      <c r="D61" s="4" t="inlineStr">
        <is>
          <t>Blockdoc</t>
        </is>
      </c>
      <c r="E61" s="4" t="inlineStr">
        <is>
          <t>図面内の全ブロックを図形一覧またはリストで文書化</t>
        </is>
      </c>
      <c r="F61" s="2" t="n">
        <v>16</v>
      </c>
      <c r="G61" s="2" t="n">
        <v>13</v>
      </c>
      <c r="H61" s="2" t="n">
        <v>10</v>
      </c>
      <c r="I61" s="2" t="n">
        <v>13</v>
      </c>
      <c r="J61" s="5">
        <f>SUM(F61:I61)</f>
        <v/>
      </c>
      <c r="K61" s="4" t="inlineStr">
        <is>
          <t>ブロックカタログ自動作成</t>
        </is>
      </c>
      <c r="L61" s="3" t="inlineStr">
        <is>
          <t>CADwiesel</t>
        </is>
      </c>
      <c r="M61" s="3" t="inlineStr">
        <is>
          <t>CADwiesel</t>
        </is>
      </c>
      <c r="N61" s="6" t="inlineStr">
        <is>
          <t>開く</t>
        </is>
      </c>
    </row>
    <row r="62">
      <c r="A62" s="2">
        <f>RANK(J62,$J$2:$J$489)</f>
        <v/>
      </c>
      <c r="B62" s="3" t="inlineStr">
        <is>
          <t>設定・環境</t>
        </is>
      </c>
      <c r="C62" s="3" t="inlineStr">
        <is>
          <t>NOT / NOTA / NOTD ...</t>
        </is>
      </c>
      <c r="D62" s="4" t="inlineStr">
        <is>
          <t>DrawingNotes</t>
        </is>
      </c>
      <c r="E62" s="4" t="inlineStr">
        <is>
          <t>図面内にメモを保存・表示・通知</t>
        </is>
      </c>
      <c r="F62" s="2" t="n">
        <v>17</v>
      </c>
      <c r="G62" s="2" t="n">
        <v>16</v>
      </c>
      <c r="H62" s="2" t="n">
        <v>7</v>
      </c>
      <c r="I62" s="2" t="n">
        <v>12</v>
      </c>
      <c r="J62" s="5">
        <f>SUM(F62:I62)</f>
        <v/>
      </c>
      <c r="K62" s="4" t="inlineStr">
        <is>
          <t>図面内メモと通知</t>
        </is>
      </c>
      <c r="L62" s="3" t="inlineStr">
        <is>
          <t>CADPL (kojacek, kruuger et al.)</t>
        </is>
      </c>
      <c r="M62" s="3" t="inlineStr">
        <is>
          <t>GitHub: kruuger/CADPL-Pack-v1</t>
        </is>
      </c>
      <c r="N62" s="6" t="inlineStr">
        <is>
          <t>開く</t>
        </is>
      </c>
    </row>
    <row r="63">
      <c r="A63" s="2">
        <f>RANK(J63,$J$2:$J$489)</f>
        <v/>
      </c>
      <c r="B63" s="3" t="inlineStr">
        <is>
          <t>表示・UCS・ビュー</t>
        </is>
      </c>
      <c r="C63" s="3" t="inlineStr">
        <is>
          <t>-</t>
        </is>
      </c>
      <c r="D63" s="4" t="inlineStr">
        <is>
          <t>NoShow</t>
        </is>
      </c>
      <c r="E63" s="4" t="inlineStr">
        <is>
          <t>凍結/非表示せずに図形を一時非表示（コード60）</t>
        </is>
      </c>
      <c r="F63" s="2" t="n">
        <v>17</v>
      </c>
      <c r="G63" s="2" t="n">
        <v>15</v>
      </c>
      <c r="H63" s="2" t="n">
        <v>8</v>
      </c>
      <c r="I63" s="2" t="n">
        <v>12</v>
      </c>
      <c r="J63" s="5">
        <f>SUM(F63:I63)</f>
        <v/>
      </c>
      <c r="K63" s="4" t="inlineStr">
        <is>
          <t>図形単位の一時非表示</t>
        </is>
      </c>
      <c r="L63" s="3" t="inlineStr">
        <is>
          <t>CADwiesel</t>
        </is>
      </c>
      <c r="M63" s="3" t="inlineStr">
        <is>
          <t>CADwiesel</t>
        </is>
      </c>
      <c r="N63" s="6" t="inlineStr">
        <is>
          <t>開く</t>
        </is>
      </c>
    </row>
    <row r="64">
      <c r="A64" s="2">
        <f>RANK(J64,$J$2:$J$489)</f>
        <v/>
      </c>
      <c r="B64" s="3" t="inlineStr">
        <is>
          <t>文字・テキスト</t>
        </is>
      </c>
      <c r="C64" s="3" t="inlineStr">
        <is>
          <t>num / nodegis / noyaz</t>
        </is>
      </c>
      <c r="D64" s="4" t="inlineStr">
        <is>
          <t>Numaralandırma lispleri</t>
        </is>
      </c>
      <c r="E64" s="4" t="inlineStr">
        <is>
          <t>数字の並べ替え・連番書換え・連番記入</t>
        </is>
      </c>
      <c r="F64" s="2" t="n">
        <v>12</v>
      </c>
      <c r="G64" s="2" t="n">
        <v>10</v>
      </c>
      <c r="H64" s="2" t="n">
        <v>14</v>
      </c>
      <c r="I64" s="2" t="n">
        <v>16</v>
      </c>
      <c r="J64" s="5">
        <f>SUM(F64:I64)</f>
        <v/>
      </c>
      <c r="K64" s="4" t="inlineStr">
        <is>
          <t>連番系ツール</t>
        </is>
      </c>
      <c r="L64" s="3" t="inlineStr">
        <is>
          <t>çizim okulu</t>
        </is>
      </c>
      <c r="M64" s="3" t="inlineStr">
        <is>
          <t>Çizim Okulu</t>
        </is>
      </c>
      <c r="N64" s="6" t="inlineStr">
        <is>
          <t>開く</t>
        </is>
      </c>
    </row>
    <row r="65">
      <c r="A65" s="2">
        <f>RANK(J65,$J$2:$J$489)</f>
        <v/>
      </c>
      <c r="B65" s="3" t="inlineStr">
        <is>
          <t>設定・環境</t>
        </is>
      </c>
      <c r="C65" s="3" t="inlineStr">
        <is>
          <t>RESCUEME</t>
        </is>
      </c>
      <c r="D65" s="4" t="inlineStr">
        <is>
          <t>RescueMe</t>
        </is>
      </c>
      <c r="E65" s="4" t="inlineStr">
        <is>
          <t>INIに保存した個人設定のシステム変数をワンクリック復元</t>
        </is>
      </c>
      <c r="F65" s="2" t="n">
        <v>16</v>
      </c>
      <c r="G65" s="2" t="n">
        <v>14</v>
      </c>
      <c r="H65" s="2" t="n">
        <v>9</v>
      </c>
      <c r="I65" s="2" t="n">
        <v>13</v>
      </c>
      <c r="J65" s="5">
        <f>SUM(F65:I65)</f>
        <v/>
      </c>
      <c r="K65" s="4" t="inlineStr">
        <is>
          <t>設定をワンクリック復元</t>
        </is>
      </c>
      <c r="L65" s="3" t="inlineStr">
        <is>
          <t>cadsite.be (Julien e.a.)</t>
        </is>
      </c>
      <c r="M65" s="3" t="inlineStr">
        <is>
          <t>juliens cadsite (BE)</t>
        </is>
      </c>
      <c r="N65" s="6" t="inlineStr">
        <is>
          <t>開く</t>
        </is>
      </c>
    </row>
    <row r="66">
      <c r="A66" s="2">
        <f>RANK(J66,$J$2:$J$489)</f>
        <v/>
      </c>
      <c r="B66" s="3" t="inlineStr">
        <is>
          <t>ブロック・属性</t>
        </is>
      </c>
      <c r="C66" s="3" t="inlineStr">
        <is>
          <t>-</t>
        </is>
      </c>
      <c r="D66" s="4" t="inlineStr">
        <is>
          <t>DBCOUNT</t>
        </is>
      </c>
      <c r="E66" s="4" t="inlineStr">
        <is>
          <t>動的ブロックを可視性/パラメータ別に集計</t>
        </is>
      </c>
      <c r="F66" s="2" t="n">
        <v>14</v>
      </c>
      <c r="G66" s="2" t="n">
        <v>12</v>
      </c>
      <c r="H66" s="2" t="n">
        <v>13</v>
      </c>
      <c r="I66" s="2" t="n">
        <v>12</v>
      </c>
      <c r="J66" s="5">
        <f>SUM(F66:I66)</f>
        <v/>
      </c>
      <c r="K66" s="4" t="inlineStr">
        <is>
          <t>動的ブロック別集計</t>
        </is>
      </c>
      <c r="L66" s="3" t="inlineStr">
        <is>
          <t>kojacek</t>
        </is>
      </c>
      <c r="M66" s="3" t="inlineStr">
        <is>
          <t>kojacek.wordpress.com</t>
        </is>
      </c>
      <c r="N66" s="6" t="inlineStr">
        <is>
          <t>開く</t>
        </is>
      </c>
    </row>
    <row r="67">
      <c r="A67" s="2">
        <f>RANK(J67,$J$2:$J$489)</f>
        <v/>
      </c>
      <c r="B67" s="3" t="inlineStr">
        <is>
          <t>LISP開発用の部品</t>
        </is>
      </c>
      <c r="C67" s="3" t="inlineStr">
        <is>
          <t>-</t>
        </is>
      </c>
      <c r="D67" s="4" t="inlineStr">
        <is>
          <t>Dialog (getBlock/getLayer/InputBox...)</t>
        </is>
      </c>
      <c r="E67" s="4" t="inlineStr">
        <is>
          <t>DCL不要の小型入力ダイアログ関数群</t>
        </is>
      </c>
      <c r="F67" s="2" t="n">
        <v>17</v>
      </c>
      <c r="G67" s="2" t="n">
        <v>13</v>
      </c>
      <c r="H67" s="2" t="n">
        <v>5</v>
      </c>
      <c r="I67" s="2" t="n">
        <v>16</v>
      </c>
      <c r="J67" s="5">
        <f>SUM(F67:I67)</f>
        <v/>
      </c>
      <c r="K67" s="4" t="inlineStr">
        <is>
          <t>DCL不要ダイアログ部品</t>
        </is>
      </c>
      <c r="L67" s="3" t="inlineStr">
        <is>
          <t>(gile)</t>
        </is>
      </c>
      <c r="M67" s="3" t="inlineStr">
        <is>
          <t>gileCAD</t>
        </is>
      </c>
      <c r="N67" s="6" t="inlineStr">
        <is>
          <t>開く</t>
        </is>
      </c>
    </row>
    <row r="68">
      <c r="A68" s="2">
        <f>RANK(J68,$J$2:$J$489)</f>
        <v/>
      </c>
      <c r="B68" s="3" t="inlineStr">
        <is>
          <t>寸法</t>
        </is>
      </c>
      <c r="C68" s="3" t="inlineStr">
        <is>
          <t>-</t>
        </is>
      </c>
      <c r="D68" s="4" t="inlineStr">
        <is>
          <t>DIM-MO</t>
        </is>
      </c>
      <c r="E68" s="4" t="inlineStr">
        <is>
          <t>直列寸法の列全体をワンクリックで移動</t>
        </is>
      </c>
      <c r="F68" s="2" t="n">
        <v>16</v>
      </c>
      <c r="G68" s="2" t="n">
        <v>13</v>
      </c>
      <c r="H68" s="2" t="n">
        <v>11</v>
      </c>
      <c r="I68" s="2" t="n">
        <v>11</v>
      </c>
      <c r="J68" s="5">
        <f>SUM(F68:I68)</f>
        <v/>
      </c>
      <c r="K68" s="4" t="inlineStr">
        <is>
          <t>直列寸法を一括移動</t>
        </is>
      </c>
      <c r="L68" s="3" t="inlineStr">
        <is>
          <t>kojacek</t>
        </is>
      </c>
      <c r="M68" s="3" t="inlineStr">
        <is>
          <t>kojacek.wordpress.com</t>
        </is>
      </c>
      <c r="N68" s="6" t="inlineStr">
        <is>
          <t>開く</t>
        </is>
      </c>
    </row>
    <row r="69">
      <c r="A69" s="2">
        <f>RANK(J69,$J$2:$J$489)</f>
        <v/>
      </c>
      <c r="B69" s="3" t="inlineStr">
        <is>
          <t>画層</t>
        </is>
      </c>
      <c r="C69" s="3" t="inlineStr">
        <is>
          <t>LTRANSB</t>
        </is>
      </c>
      <c r="D69" s="4" t="inlineStr">
        <is>
          <t>LayerTranslator</t>
        </is>
      </c>
      <c r="E69" s="4" t="inlineStr">
        <is>
          <t>対応表から画層名を一括リネーム（BIM標準化）</t>
        </is>
      </c>
      <c r="F69" s="2" t="n">
        <v>13</v>
      </c>
      <c r="G69" s="2" t="n">
        <v>10</v>
      </c>
      <c r="H69" s="2" t="n">
        <v>15</v>
      </c>
      <c r="I69" s="2" t="n">
        <v>13</v>
      </c>
      <c r="J69" s="5">
        <f>SUM(F69:I69)</f>
        <v/>
      </c>
      <c r="K69" s="4" t="inlineStr">
        <is>
          <t>標準LAYTRANSで代替可</t>
        </is>
      </c>
      <c r="L69" s="3" t="inlineStr"/>
      <c r="M69" s="3" t="inlineStr">
        <is>
          <t>CADthèque</t>
        </is>
      </c>
      <c r="N69" s="6" t="inlineStr">
        <is>
          <t>開く</t>
        </is>
      </c>
    </row>
    <row r="70">
      <c r="A70" s="2">
        <f>RANK(J70,$J$2:$J$489)</f>
        <v/>
      </c>
      <c r="B70" s="3" t="inlineStr">
        <is>
          <t>文字・テキスト</t>
        </is>
      </c>
      <c r="C70" s="3" t="inlineStr">
        <is>
          <t>-</t>
        </is>
      </c>
      <c r="D70" s="4" t="inlineStr">
        <is>
          <t>Optellen (uitgebreid)</t>
        </is>
      </c>
      <c r="E70" s="4" t="inlineStr">
        <is>
          <t>文字を昇順/降順の連番に置換し前後に文字を付加</t>
        </is>
      </c>
      <c r="F70" s="2" t="n">
        <v>12</v>
      </c>
      <c r="G70" s="2" t="n">
        <v>10</v>
      </c>
      <c r="H70" s="2" t="n">
        <v>14</v>
      </c>
      <c r="I70" s="2" t="n">
        <v>15</v>
      </c>
      <c r="J70" s="5">
        <f>SUM(F70:I70)</f>
        <v/>
      </c>
      <c r="K70" s="4" t="inlineStr">
        <is>
          <t>連番置換と前後付加</t>
        </is>
      </c>
      <c r="L70" s="3" t="inlineStr">
        <is>
          <t>cadsite.be (Julien e.a.)</t>
        </is>
      </c>
      <c r="M70" s="3" t="inlineStr">
        <is>
          <t>juliens cadsite (BE)</t>
        </is>
      </c>
      <c r="N70" s="6" t="inlineStr">
        <is>
          <t>開く</t>
        </is>
      </c>
    </row>
    <row r="71">
      <c r="A71" s="2">
        <f>RANK(J71,$J$2:$J$489)</f>
        <v/>
      </c>
      <c r="B71" s="3" t="inlineStr">
        <is>
          <t>ハッチ・面積・長さ集計</t>
        </is>
      </c>
      <c r="C71" s="3" t="inlineStr">
        <is>
          <t>-</t>
        </is>
      </c>
      <c r="D71" s="4" t="inlineStr">
        <is>
          <t>Pochylenie dynamiczne (FIELD)</t>
        </is>
      </c>
      <c r="E71" s="4" t="inlineStr">
        <is>
          <t>線の勾配をフィールドで動的表示</t>
        </is>
      </c>
      <c r="F71" s="2" t="n">
        <v>17</v>
      </c>
      <c r="G71" s="2" t="n">
        <v>16</v>
      </c>
      <c r="H71" s="2" t="n">
        <v>8</v>
      </c>
      <c r="I71" s="2" t="n">
        <v>10</v>
      </c>
      <c r="J71" s="5">
        <f>SUM(F71:I71)</f>
        <v/>
      </c>
      <c r="K71" s="4" t="inlineStr">
        <is>
          <t>勾配を動的フィールド表示</t>
        </is>
      </c>
      <c r="L71" s="3" t="inlineStr">
        <is>
          <t>kojacek</t>
        </is>
      </c>
      <c r="M71" s="3" t="inlineStr">
        <is>
          <t>kojacek.wordpress.com</t>
        </is>
      </c>
      <c r="N71" s="6" t="inlineStr">
        <is>
          <t>開く</t>
        </is>
      </c>
    </row>
    <row r="72">
      <c r="A72" s="2">
        <f>RANK(J72,$J$2:$J$489)</f>
        <v/>
      </c>
      <c r="B72" s="3" t="inlineStr">
        <is>
          <t>ブロック・属性</t>
        </is>
      </c>
      <c r="C72" s="3" t="inlineStr">
        <is>
          <t>recd</t>
        </is>
      </c>
      <c r="D72" s="4" t="inlineStr">
        <is>
          <t>RECD</t>
        </is>
      </c>
      <c r="E72" s="4" t="inlineStr">
        <is>
          <t>重なったブロックを検索</t>
        </is>
      </c>
      <c r="F72" s="2" t="n">
        <v>15</v>
      </c>
      <c r="G72" s="2" t="n">
        <v>12</v>
      </c>
      <c r="H72" s="2" t="n">
        <v>11</v>
      </c>
      <c r="I72" s="2" t="n">
        <v>13</v>
      </c>
      <c r="J72" s="5">
        <f>SUM(F72:I72)</f>
        <v/>
      </c>
      <c r="K72" s="4" t="inlineStr">
        <is>
          <t>重複ブロック検出</t>
        </is>
      </c>
      <c r="L72" s="3" t="inlineStr">
        <is>
          <t>Patrick_35</t>
        </is>
      </c>
      <c r="M72" s="3" t="inlineStr">
        <is>
          <t>CADxp (Patrick_35)</t>
        </is>
      </c>
      <c r="N72" s="6" t="inlineStr">
        <is>
          <t>開く</t>
        </is>
      </c>
    </row>
    <row r="73">
      <c r="A73" s="2">
        <f>RANK(J73,$J$2:$J$489)</f>
        <v/>
      </c>
      <c r="B73" s="3" t="inlineStr">
        <is>
          <t>LISP開発用の部品</t>
        </is>
      </c>
      <c r="C73" s="3" t="inlineStr">
        <is>
          <t>-</t>
        </is>
      </c>
      <c r="D73" s="4" t="inlineStr">
        <is>
          <t>RegExp</t>
        </is>
      </c>
      <c r="E73" s="4" t="inlineStr">
        <is>
          <t>LISPから正規表現を使う関数群</t>
        </is>
      </c>
      <c r="F73" s="2" t="n">
        <v>18</v>
      </c>
      <c r="G73" s="2" t="n">
        <v>14</v>
      </c>
      <c r="H73" s="2" t="n">
        <v>5</v>
      </c>
      <c r="I73" s="2" t="n">
        <v>14</v>
      </c>
      <c r="J73" s="5">
        <f>SUM(F73:I73)</f>
        <v/>
      </c>
      <c r="K73" s="4" t="inlineStr">
        <is>
          <t>LISPで正規表現が使える</t>
        </is>
      </c>
      <c r="L73" s="3" t="inlineStr">
        <is>
          <t>(gile)</t>
        </is>
      </c>
      <c r="M73" s="3" t="inlineStr">
        <is>
          <t>gileCAD</t>
        </is>
      </c>
      <c r="N73" s="6" t="inlineStr">
        <is>
          <t>開く</t>
        </is>
      </c>
    </row>
    <row r="74">
      <c r="A74" s="2">
        <f>RANK(J74,$J$2:$J$489)</f>
        <v/>
      </c>
      <c r="B74" s="3" t="inlineStr">
        <is>
          <t>文字・テキスト</t>
        </is>
      </c>
      <c r="C74" s="3" t="inlineStr">
        <is>
          <t>-</t>
        </is>
      </c>
      <c r="D74" s="4" t="inlineStr">
        <is>
          <t>TextOut / TextIn</t>
        </is>
      </c>
      <c r="E74" s="4" t="inlineStr">
        <is>
          <t>文字の値をファイルへ書出し・読込み更新</t>
        </is>
      </c>
      <c r="F74" s="2" t="n">
        <v>15</v>
      </c>
      <c r="G74" s="2" t="n">
        <v>11</v>
      </c>
      <c r="H74" s="2" t="n">
        <v>12</v>
      </c>
      <c r="I74" s="2" t="n">
        <v>13</v>
      </c>
      <c r="J74" s="5">
        <f>SUM(F74:I74)</f>
        <v/>
      </c>
      <c r="K74" s="4" t="inlineStr">
        <is>
          <t>文字を外部編集し戻す</t>
        </is>
      </c>
      <c r="L74" s="3" t="inlineStr">
        <is>
          <t>kojacek</t>
        </is>
      </c>
      <c r="M74" s="3" t="inlineStr">
        <is>
          <t>kojacek.wordpress.com</t>
        </is>
      </c>
      <c r="N74" s="6" t="inlineStr">
        <is>
          <t>開く</t>
        </is>
      </c>
    </row>
    <row r="75">
      <c r="A75" s="2">
        <f>RANK(J75,$J$2:$J$489)</f>
        <v/>
      </c>
      <c r="B75" s="3" t="inlineStr">
        <is>
          <t>ブロック・属性</t>
        </is>
      </c>
      <c r="C75" s="3" t="inlineStr">
        <is>
          <t>-</t>
        </is>
      </c>
      <c r="D75" s="4" t="inlineStr">
        <is>
          <t>Blok - zliczanie wg atrybutu</t>
        </is>
      </c>
      <c r="E75" s="4" t="inlineStr">
        <is>
          <t>属性値別にブロック数を集計</t>
        </is>
      </c>
      <c r="F75" s="2" t="n">
        <v>13</v>
      </c>
      <c r="G75" s="2" t="n">
        <v>10</v>
      </c>
      <c r="H75" s="2" t="n">
        <v>14</v>
      </c>
      <c r="I75" s="2" t="n">
        <v>13</v>
      </c>
      <c r="J75" s="5">
        <f>SUM(F75:I75)</f>
        <v/>
      </c>
      <c r="K75" s="4" t="inlineStr">
        <is>
          <t>属性値別ブロック集計</t>
        </is>
      </c>
      <c r="L75" s="3" t="inlineStr">
        <is>
          <t>kojacek</t>
        </is>
      </c>
      <c r="M75" s="3" t="inlineStr">
        <is>
          <t>kojacek.wordpress.com</t>
        </is>
      </c>
      <c r="N75" s="6" t="inlineStr">
        <is>
          <t>開く</t>
        </is>
      </c>
    </row>
    <row r="76">
      <c r="A76" s="2">
        <f>RANK(J76,$J$2:$J$489)</f>
        <v/>
      </c>
      <c r="B76" s="3" t="inlineStr">
        <is>
          <t>建築</t>
        </is>
      </c>
      <c r="C76" s="3" t="inlineStr">
        <is>
          <t>RaccL / RaccT</t>
        </is>
      </c>
      <c r="D76" s="4" t="inlineStr">
        <is>
          <t>Raccorda muro a L/T/X</t>
        </is>
      </c>
      <c r="E76" s="4" t="inlineStr">
        <is>
          <t>壁の二重線をL/T/X字に一発で取り合い処理</t>
        </is>
      </c>
      <c r="F76" s="2" t="n">
        <v>16</v>
      </c>
      <c r="G76" s="2" t="n">
        <v>13</v>
      </c>
      <c r="H76" s="2" t="n">
        <v>13</v>
      </c>
      <c r="I76" s="2" t="n">
        <v>8</v>
      </c>
      <c r="J76" s="5">
        <f>SUM(F76:I76)</f>
        <v/>
      </c>
      <c r="K76" s="4" t="inlineStr">
        <is>
          <t>壁の取り合い一発処理</t>
        </is>
      </c>
      <c r="L76" s="3" t="inlineStr">
        <is>
          <t>EmiCAD</t>
        </is>
      </c>
      <c r="M76" s="3" t="inlineStr">
        <is>
          <t>EmiLISP Free (emicad.it)</t>
        </is>
      </c>
      <c r="N76" s="6" t="inlineStr">
        <is>
          <t>開く</t>
        </is>
      </c>
    </row>
    <row r="77">
      <c r="A77" s="2">
        <f>RANK(J77,$J$2:$J$489)</f>
        <v/>
      </c>
      <c r="B77" s="3" t="inlineStr">
        <is>
          <t>外部参照・図面管理・一括処理</t>
        </is>
      </c>
      <c r="C77" s="3" t="inlineStr">
        <is>
          <t>-</t>
        </is>
      </c>
      <c r="D77" s="4" t="inlineStr">
        <is>
          <t>ScriptPro deutsch / Script Creator / Scc</t>
        </is>
      </c>
      <c r="E77" s="4" t="inlineStr">
        <is>
          <t>複数図面へのスクリプト一括実行ツール</t>
        </is>
      </c>
      <c r="F77" s="2" t="n">
        <v>11</v>
      </c>
      <c r="G77" s="2" t="n">
        <v>8</v>
      </c>
      <c r="H77" s="2" t="n">
        <v>16</v>
      </c>
      <c r="I77" s="2" t="n">
        <v>15</v>
      </c>
      <c r="J77" s="5">
        <f>SUM(F77:I77)</f>
        <v/>
      </c>
      <c r="K77" s="4" t="inlineStr">
        <is>
          <t>ScriptPro系で代替可</t>
        </is>
      </c>
      <c r="L77" s="3" t="inlineStr">
        <is>
          <t>CADwiesel</t>
        </is>
      </c>
      <c r="M77" s="3" t="inlineStr">
        <is>
          <t>CADwiesel</t>
        </is>
      </c>
      <c r="N77" s="6" t="inlineStr">
        <is>
          <t>開く</t>
        </is>
      </c>
    </row>
    <row r="78">
      <c r="A78" s="2">
        <f>RANK(J78,$J$2:$J$489)</f>
        <v/>
      </c>
      <c r="B78" s="3" t="inlineStr">
        <is>
          <t>座標・測量・土木</t>
        </is>
      </c>
      <c r="C78" s="3" t="inlineStr">
        <is>
          <t>-</t>
        </is>
      </c>
      <c r="D78" s="4" t="inlineStr">
        <is>
          <t>SperrFlaechen</t>
        </is>
      </c>
      <c r="E78" s="4" t="inlineStr">
        <is>
          <t>道路の導流帯(ゼブラ)を2本の境界線から作成</t>
        </is>
      </c>
      <c r="F78" s="2" t="n">
        <v>18</v>
      </c>
      <c r="G78" s="2" t="n">
        <v>14</v>
      </c>
      <c r="H78" s="2" t="n">
        <v>12</v>
      </c>
      <c r="I78" s="2" t="n">
        <v>6</v>
      </c>
      <c r="J78" s="5">
        <f>SUM(F78:I78)</f>
        <v/>
      </c>
      <c r="K78" s="4" t="inlineStr">
        <is>
          <t>導流帯を自動作図</t>
        </is>
      </c>
      <c r="L78" s="3" t="inlineStr">
        <is>
          <t>Jörn Bosse</t>
        </is>
      </c>
      <c r="M78" s="3" t="inlineStr">
        <is>
          <t>Bosse Engineering (AutoCAD Magazin)</t>
        </is>
      </c>
      <c r="N78" s="6" t="inlineStr">
        <is>
          <t>開く</t>
        </is>
      </c>
    </row>
    <row r="79">
      <c r="A79" s="2">
        <f>RANK(J79,$J$2:$J$489)</f>
        <v/>
      </c>
      <c r="B79" s="3" t="inlineStr">
        <is>
          <t>線・ポリライン編集</t>
        </is>
      </c>
      <c r="C79" s="3" t="inlineStr">
        <is>
          <t>3dpolyfillet</t>
        </is>
      </c>
      <c r="D79" s="4" t="inlineStr">
        <is>
          <t>3dPolyFillet</t>
        </is>
      </c>
      <c r="E79" s="4" t="inlineStr">
        <is>
          <t>3Dポリラインのフィレット（線分近似の円弧）</t>
        </is>
      </c>
      <c r="F79" s="2" t="n">
        <v>18</v>
      </c>
      <c r="G79" s="2" t="n">
        <v>16</v>
      </c>
      <c r="H79" s="2" t="n">
        <v>7</v>
      </c>
      <c r="I79" s="2" t="n">
        <v>8</v>
      </c>
      <c r="J79" s="5">
        <f>SUM(F79:I79)</f>
        <v/>
      </c>
      <c r="K79" s="4" t="inlineStr">
        <is>
          <t>3Dポリ隅丸めは標準で不可</t>
        </is>
      </c>
      <c r="L79" s="3" t="inlineStr">
        <is>
          <t>(gile)</t>
        </is>
      </c>
      <c r="M79" s="3" t="inlineStr">
        <is>
          <t>gileCAD</t>
        </is>
      </c>
      <c r="N79" s="6" t="inlineStr">
        <is>
          <t>開く</t>
        </is>
      </c>
    </row>
    <row r="80">
      <c r="A80" s="2">
        <f>RANK(J80,$J$2:$J$489)</f>
        <v/>
      </c>
      <c r="B80" s="3" t="inlineStr">
        <is>
          <t>ブロック・属性</t>
        </is>
      </c>
      <c r="C80" s="3" t="inlineStr">
        <is>
          <t>chat</t>
        </is>
      </c>
      <c r="D80" s="4" t="inlineStr">
        <is>
          <t>CHAT</t>
        </is>
      </c>
      <c r="E80" s="4" t="inlineStr">
        <is>
          <t>属性に図形のZ高さを示すフィールドを設定</t>
        </is>
      </c>
      <c r="F80" s="2" t="n">
        <v>16</v>
      </c>
      <c r="G80" s="2" t="n">
        <v>16</v>
      </c>
      <c r="H80" s="2" t="n">
        <v>8</v>
      </c>
      <c r="I80" s="2" t="n">
        <v>9</v>
      </c>
      <c r="J80" s="5">
        <f>SUM(F80:I80)</f>
        <v/>
      </c>
      <c r="K80" s="4" t="inlineStr">
        <is>
          <t>Z高さフィールドを属性に</t>
        </is>
      </c>
      <c r="L80" s="3" t="inlineStr">
        <is>
          <t>Patrick_35</t>
        </is>
      </c>
      <c r="M80" s="3" t="inlineStr">
        <is>
          <t>CADxp (Patrick_35)</t>
        </is>
      </c>
      <c r="N80" s="6" t="inlineStr">
        <is>
          <t>開く</t>
        </is>
      </c>
    </row>
    <row r="81">
      <c r="A81" s="2">
        <f>RANK(J81,$J$2:$J$489)</f>
        <v/>
      </c>
      <c r="B81" s="3" t="inlineStr">
        <is>
          <t>画層</t>
        </is>
      </c>
      <c r="C81" s="3" t="inlineStr">
        <is>
          <t>CBLEFIX</t>
        </is>
      </c>
      <c r="D81" s="4" t="inlineStr">
        <is>
          <t>ColorByLayerFix</t>
        </is>
      </c>
      <c r="E81" s="4" t="inlineStr">
        <is>
          <t>ブロック内含め全プロパティをByLayer化</t>
        </is>
      </c>
      <c r="F81" s="2" t="n">
        <v>12</v>
      </c>
      <c r="G81" s="2" t="n">
        <v>7</v>
      </c>
      <c r="H81" s="2" t="n">
        <v>14</v>
      </c>
      <c r="I81" s="2" t="n">
        <v>16</v>
      </c>
      <c r="J81" s="5">
        <f>SUM(F81:I81)</f>
        <v/>
      </c>
      <c r="K81" s="4" t="inlineStr">
        <is>
          <t>SETBYLAYERで概ね代替</t>
        </is>
      </c>
      <c r="L81" s="3" t="inlineStr"/>
      <c r="M81" s="3" t="inlineStr">
        <is>
          <t>CADthèque</t>
        </is>
      </c>
      <c r="N81" s="6" t="inlineStr">
        <is>
          <t>開く</t>
        </is>
      </c>
    </row>
    <row r="82">
      <c r="A82" s="2">
        <f>RANK(J82,$J$2:$J$489)</f>
        <v/>
      </c>
      <c r="B82" s="3" t="inlineStr">
        <is>
          <t>線・ポリライン編集</t>
        </is>
      </c>
      <c r="C82" s="3" t="inlineStr">
        <is>
          <t>coup</t>
        </is>
      </c>
      <c r="D82" s="4" t="inlineStr">
        <is>
          <t>COUP</t>
        </is>
      </c>
      <c r="E82" s="4" t="inlineStr">
        <is>
          <t>線の交差部を指定幅でカット</t>
        </is>
      </c>
      <c r="F82" s="2" t="n">
        <v>13</v>
      </c>
      <c r="G82" s="2" t="n">
        <v>12</v>
      </c>
      <c r="H82" s="2" t="n">
        <v>12</v>
      </c>
      <c r="I82" s="2" t="n">
        <v>12</v>
      </c>
      <c r="J82" s="5">
        <f>SUM(F82:I82)</f>
        <v/>
      </c>
      <c r="K82" s="4" t="inlineStr">
        <is>
          <t>交差部カットを自動化</t>
        </is>
      </c>
      <c r="L82" s="3" t="inlineStr">
        <is>
          <t>Patrick_35</t>
        </is>
      </c>
      <c r="M82" s="3" t="inlineStr">
        <is>
          <t>CADxp (Patrick_35)</t>
        </is>
      </c>
      <c r="N82" s="6" t="inlineStr">
        <is>
          <t>開く</t>
        </is>
      </c>
    </row>
    <row r="83">
      <c r="A83" s="2">
        <f>RANK(J83,$J$2:$J$489)</f>
        <v/>
      </c>
      <c r="B83" s="3" t="inlineStr">
        <is>
          <t>ハッチ・面積・長さ集計</t>
        </is>
      </c>
      <c r="C83" s="3" t="inlineStr">
        <is>
          <t>-</t>
        </is>
      </c>
      <c r="D83" s="4" t="inlineStr">
        <is>
          <t>Etiqueta y Cuadro de Superficies</t>
        </is>
      </c>
      <c r="E83" s="4" t="inlineStr">
        <is>
          <t>面積ラベルと面積表を作成（有料）</t>
        </is>
      </c>
      <c r="F83" s="2" t="n">
        <v>14</v>
      </c>
      <c r="G83" s="2" t="n">
        <v>11</v>
      </c>
      <c r="H83" s="2" t="n">
        <v>14</v>
      </c>
      <c r="I83" s="2" t="n">
        <v>10</v>
      </c>
      <c r="J83" s="5">
        <f>SUM(F83:I83)</f>
        <v/>
      </c>
      <c r="K83" s="4" t="inlineStr">
        <is>
          <t>面積表作成（有料）</t>
        </is>
      </c>
      <c r="L83" s="3" t="inlineStr">
        <is>
          <t>Andrés S. del Toro</t>
        </is>
      </c>
      <c r="M83" s="3" t="inlineStr">
        <is>
          <t>andresdeltoro.es</t>
        </is>
      </c>
      <c r="N83" s="6" t="inlineStr">
        <is>
          <t>開く</t>
        </is>
      </c>
    </row>
    <row r="84">
      <c r="A84" s="2">
        <f>RANK(J84,$J$2:$J$489)</f>
        <v/>
      </c>
      <c r="B84" s="3" t="inlineStr">
        <is>
          <t>線・ポリライン編集</t>
        </is>
      </c>
      <c r="C84" s="3" t="inlineStr">
        <is>
          <t>fusion / ulp</t>
        </is>
      </c>
      <c r="D84" s="4" t="inlineStr">
        <is>
          <t>Fusion</t>
        </is>
      </c>
      <c r="E84" s="4" t="inlineStr">
        <is>
          <t>隣接する閉じたポリライン群の外形を1本に結合</t>
        </is>
      </c>
      <c r="F84" s="2" t="n">
        <v>13</v>
      </c>
      <c r="G84" s="2" t="n">
        <v>13</v>
      </c>
      <c r="H84" s="2" t="n">
        <v>11</v>
      </c>
      <c r="I84" s="2" t="n">
        <v>12</v>
      </c>
      <c r="J84" s="5">
        <f>SUM(F84:I84)</f>
        <v/>
      </c>
      <c r="K84" s="4" t="inlineStr">
        <is>
          <t>隣接領域の外形自動化</t>
        </is>
      </c>
      <c r="L84" s="3" t="inlineStr">
        <is>
          <t>(gile)</t>
        </is>
      </c>
      <c r="M84" s="3" t="inlineStr">
        <is>
          <t>gileCAD</t>
        </is>
      </c>
      <c r="N84" s="6" t="inlineStr">
        <is>
          <t>開く</t>
        </is>
      </c>
    </row>
    <row r="85">
      <c r="A85" s="2">
        <f>RANK(J85,$J$2:$J$489)</f>
        <v/>
      </c>
      <c r="B85" s="3" t="inlineStr">
        <is>
          <t>ブロック・属性</t>
        </is>
      </c>
      <c r="C85" s="3" t="inlineStr">
        <is>
          <t>MB / MBA / MBAN / MBN / MBO</t>
        </is>
      </c>
      <c r="D85" s="4" t="inlineStr">
        <is>
          <t>MakeBlock</t>
        </is>
      </c>
      <c r="E85" s="4" t="inlineStr">
        <is>
          <t>選択図形から名前付き/自動命名/無名ブロックを即作成</t>
        </is>
      </c>
      <c r="F85" s="2" t="n">
        <v>11</v>
      </c>
      <c r="G85" s="2" t="n">
        <v>10</v>
      </c>
      <c r="H85" s="2" t="n">
        <v>13</v>
      </c>
      <c r="I85" s="2" t="n">
        <v>15</v>
      </c>
      <c r="J85" s="5">
        <f>SUM(F85:I85)</f>
        <v/>
      </c>
      <c r="K85" s="4" t="inlineStr">
        <is>
          <t>即席ブロック化</t>
        </is>
      </c>
      <c r="L85" s="3" t="inlineStr">
        <is>
          <t>CADPL (kojacek, kruuger et al.)</t>
        </is>
      </c>
      <c r="M85" s="3" t="inlineStr">
        <is>
          <t>GitHub: kruuger/CADPL-Pack-v1</t>
        </is>
      </c>
      <c r="N85" s="6" t="inlineStr">
        <is>
          <t>開く</t>
        </is>
      </c>
    </row>
    <row r="86">
      <c r="A86" s="2">
        <f>RANK(J86,$J$2:$J$489)</f>
        <v/>
      </c>
      <c r="B86" s="3" t="inlineStr">
        <is>
          <t>ブロック・属性</t>
        </is>
      </c>
      <c r="C86" s="3" t="inlineStr">
        <is>
          <t>mat</t>
        </is>
      </c>
      <c r="D86" s="4" t="inlineStr">
        <is>
          <t>MAT</t>
        </is>
      </c>
      <c r="E86" s="4" t="inlineStr">
        <is>
          <t>属性値を他ブロックへ伝播</t>
        </is>
      </c>
      <c r="F86" s="2" t="n">
        <v>12</v>
      </c>
      <c r="G86" s="2" t="n">
        <v>10</v>
      </c>
      <c r="H86" s="2" t="n">
        <v>13</v>
      </c>
      <c r="I86" s="2" t="n">
        <v>14</v>
      </c>
      <c r="J86" s="5">
        <f>SUM(F86:I86)</f>
        <v/>
      </c>
      <c r="K86" s="4" t="inlineStr">
        <is>
          <t>属性値を伝播</t>
        </is>
      </c>
      <c r="L86" s="3" t="inlineStr">
        <is>
          <t>Patrick_35</t>
        </is>
      </c>
      <c r="M86" s="3" t="inlineStr">
        <is>
          <t>CADxp (Patrick_35)</t>
        </is>
      </c>
      <c r="N86" s="6" t="inlineStr">
        <is>
          <t>開く</t>
        </is>
      </c>
    </row>
    <row r="87">
      <c r="A87" s="2">
        <f>RANK(J87,$J$2:$J$489)</f>
        <v/>
      </c>
      <c r="B87" s="3" t="inlineStr">
        <is>
          <t>ハッチ・面積・長さ集計</t>
        </is>
      </c>
      <c r="C87" s="3" t="inlineStr">
        <is>
          <t>-</t>
        </is>
      </c>
      <c r="D87" s="4" t="inlineStr">
        <is>
          <t>Obrys polilinii</t>
        </is>
      </c>
      <c r="E87" s="4" t="inlineStr">
        <is>
          <t>接するポリライン群から幅付き外形を作りハッチ</t>
        </is>
      </c>
      <c r="F87" s="2" t="n">
        <v>17</v>
      </c>
      <c r="G87" s="2" t="n">
        <v>14</v>
      </c>
      <c r="H87" s="2" t="n">
        <v>9</v>
      </c>
      <c r="I87" s="2" t="n">
        <v>9</v>
      </c>
      <c r="J87" s="5">
        <f>SUM(F87:I87)</f>
        <v/>
      </c>
      <c r="K87" s="4" t="inlineStr">
        <is>
          <t>外形から自動ハッチ</t>
        </is>
      </c>
      <c r="L87" s="3" t="inlineStr">
        <is>
          <t>kojacek</t>
        </is>
      </c>
      <c r="M87" s="3" t="inlineStr">
        <is>
          <t>kojacek.wordpress.com</t>
        </is>
      </c>
      <c r="N87" s="6" t="inlineStr">
        <is>
          <t>開く</t>
        </is>
      </c>
    </row>
    <row r="88">
      <c r="A88" s="2">
        <f>RANK(J88,$J$2:$J$489)</f>
        <v/>
      </c>
      <c r="B88" s="3" t="inlineStr">
        <is>
          <t>設定・環境</t>
        </is>
      </c>
      <c r="C88" s="3" t="inlineStr">
        <is>
          <t>piani</t>
        </is>
      </c>
      <c r="D88" s="4" t="inlineStr">
        <is>
          <t>Ordinamento piani</t>
        </is>
      </c>
      <c r="E88" s="4" t="inlineStr">
        <is>
          <t>画層順に描画順を並べるスクリプトを作成</t>
        </is>
      </c>
      <c r="F88" s="2" t="n">
        <v>16</v>
      </c>
      <c r="G88" s="2" t="n">
        <v>13</v>
      </c>
      <c r="H88" s="2" t="n">
        <v>9</v>
      </c>
      <c r="I88" s="2" t="n">
        <v>11</v>
      </c>
      <c r="J88" s="5">
        <f>SUM(F88:I88)</f>
        <v/>
      </c>
      <c r="K88" s="4" t="inlineStr">
        <is>
          <t>画層順に描画順整列</t>
        </is>
      </c>
      <c r="L88" s="3" t="inlineStr">
        <is>
          <t>EmiCAD</t>
        </is>
      </c>
      <c r="M88" s="3" t="inlineStr">
        <is>
          <t>EmiLISP Free (emicad.it)</t>
        </is>
      </c>
      <c r="N88" s="6" t="inlineStr">
        <is>
          <t>開く</t>
        </is>
      </c>
    </row>
    <row r="89">
      <c r="A89" s="2">
        <f>RANK(J89,$J$2:$J$489)</f>
        <v/>
      </c>
      <c r="B89" s="3" t="inlineStr">
        <is>
          <t>建築</t>
        </is>
      </c>
      <c r="C89" s="3" t="inlineStr">
        <is>
          <t>-</t>
        </is>
      </c>
      <c r="D89" s="4" t="inlineStr">
        <is>
          <t>Plana İç Ölçü Verme</t>
        </is>
      </c>
      <c r="E89" s="4" t="inlineStr">
        <is>
          <t>平面図の内法寸法を自動記入</t>
        </is>
      </c>
      <c r="F89" s="2" t="n">
        <v>16</v>
      </c>
      <c r="G89" s="2" t="n">
        <v>12</v>
      </c>
      <c r="H89" s="2" t="n">
        <v>13</v>
      </c>
      <c r="I89" s="2" t="n">
        <v>8</v>
      </c>
      <c r="J89" s="5">
        <f>SUM(F89:I89)</f>
        <v/>
      </c>
      <c r="K89" s="4" t="inlineStr">
        <is>
          <t>内法寸法自動</t>
        </is>
      </c>
      <c r="L89" s="3" t="inlineStr">
        <is>
          <t>çizim okulu</t>
        </is>
      </c>
      <c r="M89" s="3" t="inlineStr">
        <is>
          <t>Çizim Okulu</t>
        </is>
      </c>
      <c r="N89" s="6" t="inlineStr">
        <is>
          <t>開く</t>
        </is>
      </c>
    </row>
    <row r="90">
      <c r="A90" s="2">
        <f>RANK(J90,$J$2:$J$489)</f>
        <v/>
      </c>
      <c r="B90" s="3" t="inlineStr">
        <is>
          <t>印刷・レイアウト・図枠</t>
        </is>
      </c>
      <c r="C90" s="3" t="inlineStr">
        <is>
          <t>-</t>
        </is>
      </c>
      <c r="D90" s="4" t="inlineStr">
        <is>
          <t>PLT-V3</t>
        </is>
      </c>
      <c r="E90" s="4" t="inlineStr">
        <is>
          <t>名前付きビューを一括/個別に印刷</t>
        </is>
      </c>
      <c r="F90" s="2" t="n">
        <v>14</v>
      </c>
      <c r="G90" s="2" t="n">
        <v>10</v>
      </c>
      <c r="H90" s="2" t="n">
        <v>13</v>
      </c>
      <c r="I90" s="2" t="n">
        <v>12</v>
      </c>
      <c r="J90" s="5">
        <f>SUM(F90:I90)</f>
        <v/>
      </c>
      <c r="K90" s="4" t="inlineStr">
        <is>
          <t>ビュー単位の一括印刷</t>
        </is>
      </c>
      <c r="L90" s="3" t="inlineStr">
        <is>
          <t>CADwiesel</t>
        </is>
      </c>
      <c r="M90" s="3" t="inlineStr">
        <is>
          <t>CADwiesel</t>
        </is>
      </c>
      <c r="N90" s="6" t="inlineStr">
        <is>
          <t>開く</t>
        </is>
      </c>
    </row>
    <row r="91">
      <c r="A91" s="2">
        <f>RANK(J91,$J$2:$J$489)</f>
        <v/>
      </c>
      <c r="B91" s="3" t="inlineStr">
        <is>
          <t>建築</t>
        </is>
      </c>
      <c r="C91" s="3" t="inlineStr">
        <is>
          <t>-</t>
        </is>
      </c>
      <c r="D91" s="4" t="inlineStr">
        <is>
          <t>Powierzchnie (archareapl)</t>
        </is>
      </c>
      <c r="E91" s="4" t="inlineStr">
        <is>
          <t>部屋の面積ラベルを自動計算して配置</t>
        </is>
      </c>
      <c r="F91" s="2" t="n">
        <v>14</v>
      </c>
      <c r="G91" s="2" t="n">
        <v>11</v>
      </c>
      <c r="H91" s="2" t="n">
        <v>15</v>
      </c>
      <c r="I91" s="2" t="n">
        <v>9</v>
      </c>
      <c r="J91" s="5">
        <f>SUM(F91:I91)</f>
        <v/>
      </c>
      <c r="K91" s="4" t="inlineStr">
        <is>
          <t>部屋面積ラベル</t>
        </is>
      </c>
      <c r="L91" s="3" t="inlineStr">
        <is>
          <t>kojacek</t>
        </is>
      </c>
      <c r="M91" s="3" t="inlineStr">
        <is>
          <t>kojacek.wordpress.com</t>
        </is>
      </c>
      <c r="N91" s="6" t="inlineStr">
        <is>
          <t>開く</t>
        </is>
      </c>
    </row>
    <row r="92">
      <c r="A92" s="2">
        <f>RANK(J92,$J$2:$J$489)</f>
        <v/>
      </c>
      <c r="B92" s="3" t="inlineStr">
        <is>
          <t>文字・テキスト</t>
        </is>
      </c>
      <c r="C92" s="3" t="inlineStr">
        <is>
          <t>-</t>
        </is>
      </c>
      <c r="D92" s="4" t="inlineStr">
        <is>
          <t>Reassocier_Champs</t>
        </is>
      </c>
      <c r="E92" s="4" t="inlineStr">
        <is>
          <t>切れたフィールドを図形に再関連付け</t>
        </is>
      </c>
      <c r="F92" s="2" t="n">
        <v>16</v>
      </c>
      <c r="G92" s="2" t="n">
        <v>13</v>
      </c>
      <c r="H92" s="2" t="n">
        <v>9</v>
      </c>
      <c r="I92" s="2" t="n">
        <v>11</v>
      </c>
      <c r="J92" s="5">
        <f>SUM(F92:I92)</f>
        <v/>
      </c>
      <c r="K92" s="4" t="inlineStr">
        <is>
          <t>切れたフィールド修復</t>
        </is>
      </c>
      <c r="L92" s="3" t="inlineStr">
        <is>
          <t>chenhaibin (Pascal, gile ほか)</t>
        </is>
      </c>
      <c r="M92" s="3" t="inlineStr">
        <is>
          <t>GitHub: chenhaibin/Utilitaires_AutoLisp</t>
        </is>
      </c>
      <c r="N92" s="6" t="inlineStr">
        <is>
          <t>開く</t>
        </is>
      </c>
    </row>
    <row r="93">
      <c r="A93" s="2">
        <f>RANK(J93,$J$2:$J$489)</f>
        <v/>
      </c>
      <c r="B93" s="3" t="inlineStr">
        <is>
          <t>文字・テキスト</t>
        </is>
      </c>
      <c r="C93" s="3" t="inlineStr">
        <is>
          <t>-</t>
        </is>
      </c>
      <c r="D93" s="4" t="inlineStr">
        <is>
          <t>Yazı içindeki sayıları toplama</t>
        </is>
      </c>
      <c r="E93" s="4" t="inlineStr">
        <is>
          <t>文字内の数値を合計</t>
        </is>
      </c>
      <c r="F93" s="2" t="n">
        <v>15</v>
      </c>
      <c r="G93" s="2" t="n">
        <v>11</v>
      </c>
      <c r="H93" s="2" t="n">
        <v>10</v>
      </c>
      <c r="I93" s="2" t="n">
        <v>13</v>
      </c>
      <c r="J93" s="5">
        <f>SUM(F93:I93)</f>
        <v/>
      </c>
      <c r="K93" s="4" t="inlineStr">
        <is>
          <t>文字内数値合計</t>
        </is>
      </c>
      <c r="L93" s="3" t="inlineStr">
        <is>
          <t>çizim okulu</t>
        </is>
      </c>
      <c r="M93" s="3" t="inlineStr">
        <is>
          <t>Çizim Okulu</t>
        </is>
      </c>
      <c r="N93" s="6" t="inlineStr">
        <is>
          <t>開く</t>
        </is>
      </c>
    </row>
    <row r="94">
      <c r="A94" s="2">
        <f>RANK(J94,$J$2:$J$489)</f>
        <v/>
      </c>
      <c r="B94" s="3" t="inlineStr">
        <is>
          <t>3D</t>
        </is>
      </c>
      <c r="C94" s="3" t="inlineStr">
        <is>
          <t>-</t>
        </is>
      </c>
      <c r="D94" s="4" t="inlineStr">
        <is>
          <t>3DDehnen</t>
        </is>
      </c>
      <c r="E94" s="4" t="inlineStr">
        <is>
          <t>3D境界線へ延長しZを補間</t>
        </is>
      </c>
      <c r="F94" s="2" t="n">
        <v>18</v>
      </c>
      <c r="G94" s="2" t="n">
        <v>14</v>
      </c>
      <c r="H94" s="2" t="n">
        <v>9</v>
      </c>
      <c r="I94" s="2" t="n">
        <v>7</v>
      </c>
      <c r="J94" s="5">
        <f>SUM(F94:I94)</f>
        <v/>
      </c>
      <c r="K94" s="4" t="inlineStr">
        <is>
          <t>3D延長でZ補間</t>
        </is>
      </c>
      <c r="L94" s="3" t="inlineStr">
        <is>
          <t>Jörn Bosse</t>
        </is>
      </c>
      <c r="M94" s="3" t="inlineStr">
        <is>
          <t>Bosse Engineering (AutoCAD Magazin)</t>
        </is>
      </c>
      <c r="N94" s="6" t="inlineStr">
        <is>
          <t>開く</t>
        </is>
      </c>
    </row>
    <row r="95">
      <c r="A95" s="2">
        <f>RANK(J95,$J$2:$J$489)</f>
        <v/>
      </c>
      <c r="B95" s="3" t="inlineStr">
        <is>
          <t>ブロック・属性</t>
        </is>
      </c>
      <c r="C95" s="3" t="inlineStr">
        <is>
          <t>-</t>
        </is>
      </c>
      <c r="D95" s="4" t="inlineStr">
        <is>
          <t>Att_Clone</t>
        </is>
      </c>
      <c r="E95" s="4" t="inlineStr">
        <is>
          <t>属性値を他のブロックへ転写</t>
        </is>
      </c>
      <c r="F95" s="2" t="n">
        <v>12</v>
      </c>
      <c r="G95" s="2" t="n">
        <v>9</v>
      </c>
      <c r="H95" s="2" t="n">
        <v>13</v>
      </c>
      <c r="I95" s="2" t="n">
        <v>14</v>
      </c>
      <c r="J95" s="5">
        <f>SUM(F95:I95)</f>
        <v/>
      </c>
      <c r="K95" s="4" t="inlineStr">
        <is>
          <t>属性値の転写</t>
        </is>
      </c>
      <c r="L95" s="3" t="inlineStr">
        <is>
          <t>CADwiesel</t>
        </is>
      </c>
      <c r="M95" s="3" t="inlineStr">
        <is>
          <t>CADwiesel</t>
        </is>
      </c>
      <c r="N95" s="6" t="inlineStr">
        <is>
          <t>開く</t>
        </is>
      </c>
    </row>
    <row r="96">
      <c r="A96" s="2">
        <f>RANK(J96,$J$2:$J$489)</f>
        <v/>
      </c>
      <c r="B96" s="3" t="inlineStr">
        <is>
          <t>作図</t>
        </is>
      </c>
      <c r="C96" s="3" t="inlineStr">
        <is>
          <t>CLD</t>
        </is>
      </c>
      <c r="D96" s="4" t="inlineStr">
        <is>
          <t>CenterlineDraw</t>
        </is>
      </c>
      <c r="E96" s="4" t="inlineStr">
        <is>
          <t>2線の間に中心線を自動作図</t>
        </is>
      </c>
      <c r="F96" s="2" t="n">
        <v>12</v>
      </c>
      <c r="G96" s="2" t="n">
        <v>12</v>
      </c>
      <c r="H96" s="2" t="n">
        <v>11</v>
      </c>
      <c r="I96" s="2" t="n">
        <v>13</v>
      </c>
      <c r="J96" s="5">
        <f>SUM(F96:I96)</f>
        <v/>
      </c>
      <c r="K96" s="4" t="inlineStr">
        <is>
          <t>2線間中心線の自動化</t>
        </is>
      </c>
      <c r="L96" s="3" t="inlineStr"/>
      <c r="M96" s="3" t="inlineStr">
        <is>
          <t>CADthèque</t>
        </is>
      </c>
      <c r="N96" s="6" t="inlineStr">
        <is>
          <t>開く</t>
        </is>
      </c>
    </row>
    <row r="97">
      <c r="A97" s="2">
        <f>RANK(J97,$J$2:$J$489)</f>
        <v/>
      </c>
      <c r="B97" s="3" t="inlineStr">
        <is>
          <t>座標・測量・土木</t>
        </is>
      </c>
      <c r="C97" s="3" t="inlineStr">
        <is>
          <t>-</t>
        </is>
      </c>
      <c r="D97" s="4" t="inlineStr">
        <is>
          <t>generador-gml</t>
        </is>
      </c>
      <c r="E97" s="4" t="inlineStr">
        <is>
          <t>スペイン地籍用GML(INSPIRE)の敷地・建物ファイルを生成</t>
        </is>
      </c>
      <c r="F97" s="2" t="n">
        <v>19</v>
      </c>
      <c r="G97" s="2" t="n">
        <v>12</v>
      </c>
      <c r="H97" s="2" t="n">
        <v>14</v>
      </c>
      <c r="I97" s="2" t="n">
        <v>3</v>
      </c>
      <c r="J97" s="5">
        <f>SUM(F97:I97)</f>
        <v/>
      </c>
      <c r="K97" s="4" t="inlineStr">
        <is>
          <t>西地籍GML生成</t>
        </is>
      </c>
      <c r="L97" s="3" t="inlineStr">
        <is>
          <t>chapulincatastral</t>
        </is>
      </c>
      <c r="M97" s="3" t="inlineStr">
        <is>
          <t>GitHub: chapulincatastral/generador-gml</t>
        </is>
      </c>
      <c r="N97" s="6" t="inlineStr">
        <is>
          <t>開く</t>
        </is>
      </c>
    </row>
    <row r="98">
      <c r="A98" s="2">
        <f>RANK(J98,$J$2:$J$489)</f>
        <v/>
      </c>
      <c r="B98" s="3" t="inlineStr">
        <is>
          <t>表示・UCS・ビュー</t>
        </is>
      </c>
      <c r="C98" s="3" t="inlineStr">
        <is>
          <t>GOTO</t>
        </is>
      </c>
      <c r="D98" s="4" t="inlineStr">
        <is>
          <t>GOTO</t>
        </is>
      </c>
      <c r="E98" s="4" t="inlineStr">
        <is>
          <t>名前一覧から登録範囲へ即ジャンプ</t>
        </is>
      </c>
      <c r="F98" s="2" t="n">
        <v>13</v>
      </c>
      <c r="G98" s="2" t="n">
        <v>12</v>
      </c>
      <c r="H98" s="2" t="n">
        <v>10</v>
      </c>
      <c r="I98" s="2" t="n">
        <v>13</v>
      </c>
      <c r="J98" s="5">
        <f>SUM(F98:I98)</f>
        <v/>
      </c>
      <c r="K98" s="4" t="inlineStr">
        <is>
          <t>範囲へ即ジャンプ</t>
        </is>
      </c>
      <c r="L98" s="3" t="inlineStr">
        <is>
          <t>kojacek</t>
        </is>
      </c>
      <c r="M98" s="3" t="inlineStr">
        <is>
          <t>kojacek.wordpress.com</t>
        </is>
      </c>
      <c r="N98" s="6" t="inlineStr">
        <is>
          <t>開く</t>
        </is>
      </c>
    </row>
    <row r="99">
      <c r="A99" s="2">
        <f>RANK(J99,$J$2:$J$489)</f>
        <v/>
      </c>
      <c r="B99" s="3" t="inlineStr">
        <is>
          <t>線・ポリライン編集</t>
        </is>
      </c>
      <c r="C99" s="3" t="inlineStr">
        <is>
          <t>buf</t>
        </is>
      </c>
      <c r="D99" s="4" t="inlineStr">
        <is>
          <t>Offset buffer</t>
        </is>
      </c>
      <c r="E99" s="4" t="inlineStr">
        <is>
          <t>ポリラインの周囲に角丸のバッファ領域を作成</t>
        </is>
      </c>
      <c r="F99" s="2" t="n">
        <v>16</v>
      </c>
      <c r="G99" s="2" t="n">
        <v>14</v>
      </c>
      <c r="H99" s="2" t="n">
        <v>8</v>
      </c>
      <c r="I99" s="2" t="n">
        <v>10</v>
      </c>
      <c r="J99" s="5">
        <f>SUM(F99:I99)</f>
        <v/>
      </c>
      <c r="K99" s="4" t="inlineStr">
        <is>
          <t>角丸バッファ作成</t>
        </is>
      </c>
      <c r="L99" s="3" t="inlineStr">
        <is>
          <t>EmiCAD</t>
        </is>
      </c>
      <c r="M99" s="3" t="inlineStr">
        <is>
          <t>EmiLISP Free (emicad.it)</t>
        </is>
      </c>
      <c r="N99" s="6" t="inlineStr">
        <is>
          <t>開く</t>
        </is>
      </c>
    </row>
    <row r="100">
      <c r="A100" s="2">
        <f>RANK(J100,$J$2:$J$489)</f>
        <v/>
      </c>
      <c r="B100" s="3" t="inlineStr">
        <is>
          <t>構造・鉄骨・機械</t>
        </is>
      </c>
      <c r="C100" s="3" t="inlineStr">
        <is>
          <t>-</t>
        </is>
      </c>
      <c r="D100" s="4" t="inlineStr">
        <is>
          <t>Pl-Abwicklung</t>
        </is>
      </c>
      <c r="E100" s="4" t="inlineStr">
        <is>
          <t>ポリラインの展開図を指定位置に作成</t>
        </is>
      </c>
      <c r="F100" s="2" t="n">
        <v>18</v>
      </c>
      <c r="G100" s="2" t="n">
        <v>15</v>
      </c>
      <c r="H100" s="2" t="n">
        <v>8</v>
      </c>
      <c r="I100" s="2" t="n">
        <v>7</v>
      </c>
      <c r="J100" s="5">
        <f>SUM(F100:I100)</f>
        <v/>
      </c>
      <c r="K100" s="4" t="inlineStr">
        <is>
          <t>展開図作成</t>
        </is>
      </c>
      <c r="L100" s="3" t="inlineStr">
        <is>
          <t>CADwiesel</t>
        </is>
      </c>
      <c r="M100" s="3" t="inlineStr">
        <is>
          <t>CADwiesel</t>
        </is>
      </c>
      <c r="N100" s="6" t="inlineStr">
        <is>
          <t>開く</t>
        </is>
      </c>
    </row>
    <row r="101">
      <c r="A101" s="2">
        <f>RANK(J101,$J$2:$J$489)</f>
        <v/>
      </c>
      <c r="B101" s="3" t="inlineStr">
        <is>
          <t>ブロック・属性</t>
        </is>
      </c>
      <c r="C101" s="3" t="inlineStr">
        <is>
          <t>rb</t>
        </is>
      </c>
      <c r="D101" s="4" t="inlineStr">
        <is>
          <t>RB</t>
        </is>
      </c>
      <c r="E101" s="4" t="inlineStr">
        <is>
          <t>全ブロック定義を画層0・色ByBlockに</t>
        </is>
      </c>
      <c r="F101" s="2" t="n">
        <v>12</v>
      </c>
      <c r="G101" s="2" t="n">
        <v>8</v>
      </c>
      <c r="H101" s="2" t="n">
        <v>13</v>
      </c>
      <c r="I101" s="2" t="n">
        <v>15</v>
      </c>
      <c r="J101" s="5">
        <f>SUM(F101:I101)</f>
        <v/>
      </c>
      <c r="K101" s="4" t="inlineStr">
        <is>
          <t>ブロック定義標準化</t>
        </is>
      </c>
      <c r="L101" s="3" t="inlineStr">
        <is>
          <t>Patrick_35</t>
        </is>
      </c>
      <c r="M101" s="3" t="inlineStr">
        <is>
          <t>CADxp (Patrick_35)</t>
        </is>
      </c>
      <c r="N101" s="6" t="inlineStr">
        <is>
          <t>開く</t>
        </is>
      </c>
    </row>
    <row r="102">
      <c r="A102" s="2">
        <f>RANK(J102,$J$2:$J$489)</f>
        <v/>
      </c>
      <c r="B102" s="3" t="inlineStr">
        <is>
          <t>ブロック・属性</t>
        </is>
      </c>
      <c r="C102" s="3" t="inlineStr">
        <is>
          <t>RBP / RBPS</t>
        </is>
      </c>
      <c r="D102" s="4" t="inlineStr">
        <is>
          <t>RedefineBlockProperties</t>
        </is>
      </c>
      <c r="E102" s="4" t="inlineStr">
        <is>
          <t>ブロック定義内図形の画層・色等を一括変更</t>
        </is>
      </c>
      <c r="F102" s="2" t="n">
        <v>12</v>
      </c>
      <c r="G102" s="2" t="n">
        <v>9</v>
      </c>
      <c r="H102" s="2" t="n">
        <v>13</v>
      </c>
      <c r="I102" s="2" t="n">
        <v>14</v>
      </c>
      <c r="J102" s="5">
        <f>SUM(F102:I102)</f>
        <v/>
      </c>
      <c r="K102" s="4" t="inlineStr">
        <is>
          <t>ブロック定義一括修正</t>
        </is>
      </c>
      <c r="L102" s="3" t="inlineStr">
        <is>
          <t>CADPL (kojacek, kruuger et al.)</t>
        </is>
      </c>
      <c r="M102" s="3" t="inlineStr">
        <is>
          <t>GitHub: kruuger/CADPL-Pack-v1</t>
        </is>
      </c>
      <c r="N102" s="6" t="inlineStr">
        <is>
          <t>開く</t>
        </is>
      </c>
    </row>
    <row r="103">
      <c r="A103" s="2">
        <f>RANK(J103,$J$2:$J$489)</f>
        <v/>
      </c>
      <c r="B103" s="3" t="inlineStr">
        <is>
          <t>構造・鉄骨・機械</t>
        </is>
      </c>
      <c r="C103" s="3" t="inlineStr">
        <is>
          <t>-</t>
        </is>
      </c>
      <c r="D103" s="4" t="inlineStr">
        <is>
          <t>Stal - bloki/bryły</t>
        </is>
      </c>
      <c r="E103" s="4" t="inlineStr">
        <is>
          <t>鋼材断面の2D/3D形状を動的作成</t>
        </is>
      </c>
      <c r="F103" s="2" t="n">
        <v>16</v>
      </c>
      <c r="G103" s="2" t="n">
        <v>13</v>
      </c>
      <c r="H103" s="2" t="n">
        <v>12</v>
      </c>
      <c r="I103" s="2" t="n">
        <v>7</v>
      </c>
      <c r="J103" s="5">
        <f>SUM(F103:I103)</f>
        <v/>
      </c>
      <c r="K103" s="4" t="inlineStr">
        <is>
          <t>鋼材形状を動的作成</t>
        </is>
      </c>
      <c r="L103" s="3" t="inlineStr">
        <is>
          <t>kojacek</t>
        </is>
      </c>
      <c r="M103" s="3" t="inlineStr">
        <is>
          <t>kojacek.wordpress.com</t>
        </is>
      </c>
      <c r="N103" s="6" t="inlineStr">
        <is>
          <t>開く</t>
        </is>
      </c>
    </row>
    <row r="104">
      <c r="A104" s="2">
        <f>RANK(J104,$J$2:$J$489)</f>
        <v/>
      </c>
      <c r="B104" s="3" t="inlineStr">
        <is>
          <t>設定・環境</t>
        </is>
      </c>
      <c r="C104" s="3" t="inlineStr">
        <is>
          <t>-</t>
        </is>
      </c>
      <c r="D104" s="4" t="inlineStr">
        <is>
          <t>TextStyleStd (tss)</t>
        </is>
      </c>
      <c r="E104" s="4" t="inlineStr">
        <is>
          <t>INI定義の標準文字スタイルを一括作成</t>
        </is>
      </c>
      <c r="F104" s="2" t="n">
        <v>14</v>
      </c>
      <c r="G104" s="2" t="n">
        <v>10</v>
      </c>
      <c r="H104" s="2" t="n">
        <v>11</v>
      </c>
      <c r="I104" s="2" t="n">
        <v>13</v>
      </c>
      <c r="J104" s="5">
        <f>SUM(F104:I104)</f>
        <v/>
      </c>
      <c r="K104" s="4" t="inlineStr">
        <is>
          <t>文字スタイル標準一括作成</t>
        </is>
      </c>
      <c r="L104" s="3" t="inlineStr">
        <is>
          <t>kojacek</t>
        </is>
      </c>
      <c r="M104" s="3" t="inlineStr">
        <is>
          <t>kojacek.wordpress.com</t>
        </is>
      </c>
      <c r="N104" s="6" t="inlineStr">
        <is>
          <t>開く</t>
        </is>
      </c>
    </row>
    <row r="105">
      <c r="A105" s="2">
        <f>RANK(J105,$J$2:$J$489)</f>
        <v/>
      </c>
      <c r="B105" s="3" t="inlineStr">
        <is>
          <t>文字・テキスト</t>
        </is>
      </c>
      <c r="C105" s="3" t="inlineStr">
        <is>
          <t>tprop</t>
        </is>
      </c>
      <c r="D105" s="4" t="inlineStr">
        <is>
          <t>tprop</t>
        </is>
      </c>
      <c r="E105" s="4" t="inlineStr">
        <is>
          <t>角度以外の文字プロパティを複数文字へ転写</t>
        </is>
      </c>
      <c r="F105" s="2" t="n">
        <v>13</v>
      </c>
      <c r="G105" s="2" t="n">
        <v>11</v>
      </c>
      <c r="H105" s="2" t="n">
        <v>10</v>
      </c>
      <c r="I105" s="2" t="n">
        <v>14</v>
      </c>
      <c r="J105" s="5">
        <f>SUM(F105:I105)</f>
        <v/>
      </c>
      <c r="K105" s="4" t="inlineStr">
        <is>
          <t>角度除外の文字書式転写</t>
        </is>
      </c>
      <c r="L105" s="3" t="inlineStr">
        <is>
          <t>Jörn Bosse</t>
        </is>
      </c>
      <c r="M105" s="3" t="inlineStr">
        <is>
          <t>Bosse Engineering</t>
        </is>
      </c>
      <c r="N105" s="6" t="inlineStr">
        <is>
          <t>開く</t>
        </is>
      </c>
    </row>
    <row r="106">
      <c r="A106" s="2">
        <f>RANK(J106,$J$2:$J$489)</f>
        <v/>
      </c>
      <c r="B106" s="3" t="inlineStr">
        <is>
          <t>画層</t>
        </is>
      </c>
      <c r="C106" s="3" t="inlineStr">
        <is>
          <t>-</t>
        </is>
      </c>
      <c r="D106" s="4" t="inlineStr">
        <is>
          <t>Warstwy - masowa zmiana cech</t>
        </is>
      </c>
      <c r="E106" s="4" t="inlineStr">
        <is>
          <t>画層プロパティを一括・バッチ変更</t>
        </is>
      </c>
      <c r="F106" s="2" t="n">
        <v>15</v>
      </c>
      <c r="G106" s="2" t="n">
        <v>10</v>
      </c>
      <c r="H106" s="2" t="n">
        <v>11</v>
      </c>
      <c r="I106" s="2" t="n">
        <v>12</v>
      </c>
      <c r="J106" s="5">
        <f>SUM(F106:I106)</f>
        <v/>
      </c>
      <c r="K106" s="4" t="inlineStr">
        <is>
          <t>画層プロパティ一括変更</t>
        </is>
      </c>
      <c r="L106" s="3" t="inlineStr">
        <is>
          <t>kojacek</t>
        </is>
      </c>
      <c r="M106" s="3" t="inlineStr">
        <is>
          <t>kojacek.wordpress.com</t>
        </is>
      </c>
      <c r="N106" s="6" t="inlineStr">
        <is>
          <t>開く</t>
        </is>
      </c>
    </row>
    <row r="107">
      <c r="A107" s="2">
        <f>RANK(J107,$J$2:$J$489)</f>
        <v/>
      </c>
      <c r="B107" s="3" t="inlineStr">
        <is>
          <t>線・ポリライン編集</t>
        </is>
      </c>
      <c r="C107" s="3" t="inlineStr">
        <is>
          <t>S2A4</t>
        </is>
      </c>
      <c r="D107" s="4" t="inlineStr">
        <is>
          <t>Convert_Spline_To_Arcs / SimplifierSplineEnArc</t>
        </is>
      </c>
      <c r="E107" s="4" t="inlineStr">
        <is>
          <t>スプラインを円弧ポリラインで近似変換</t>
        </is>
      </c>
      <c r="F107" s="2" t="n">
        <v>14</v>
      </c>
      <c r="G107" s="2" t="n">
        <v>12</v>
      </c>
      <c r="H107" s="2" t="n">
        <v>10</v>
      </c>
      <c r="I107" s="2" t="n">
        <v>11</v>
      </c>
      <c r="J107" s="5">
        <f>SUM(F107:I107)</f>
        <v/>
      </c>
      <c r="K107" s="4" t="inlineStr">
        <is>
          <t>スプラインを円弧化</t>
        </is>
      </c>
      <c r="L107" s="3" t="inlineStr">
        <is>
          <t>chenhaibin (Pascal, gile ほか)</t>
        </is>
      </c>
      <c r="M107" s="3" t="inlineStr">
        <is>
          <t>GitHub: chenhaibin/Utilitaires_AutoLisp</t>
        </is>
      </c>
      <c r="N107" s="6" t="inlineStr">
        <is>
          <t>開く</t>
        </is>
      </c>
    </row>
    <row r="108">
      <c r="A108" s="2">
        <f>RANK(J108,$J$2:$J$489)</f>
        <v/>
      </c>
      <c r="B108" s="3" t="inlineStr">
        <is>
          <t>作図</t>
        </is>
      </c>
      <c r="C108" s="3" t="inlineStr">
        <is>
          <t>Allin</t>
        </is>
      </c>
      <c r="D108" s="4" t="inlineStr">
        <is>
          <t>Deforma: allinea 3 punti</t>
        </is>
      </c>
      <c r="E108" s="4" t="inlineStr">
        <is>
          <t>3点対応で図形・画像を変形位置合わせ</t>
        </is>
      </c>
      <c r="F108" s="2" t="n">
        <v>16</v>
      </c>
      <c r="G108" s="2" t="n">
        <v>14</v>
      </c>
      <c r="H108" s="2" t="n">
        <v>8</v>
      </c>
      <c r="I108" s="2" t="n">
        <v>9</v>
      </c>
      <c r="J108" s="5">
        <f>SUM(F108:I108)</f>
        <v/>
      </c>
      <c r="K108" s="4" t="inlineStr">
        <is>
          <t>3点変形位置合わせ</t>
        </is>
      </c>
      <c r="L108" s="3" t="inlineStr">
        <is>
          <t>EmiCAD</t>
        </is>
      </c>
      <c r="M108" s="3" t="inlineStr">
        <is>
          <t>EmiLISP Free (emicad.it)</t>
        </is>
      </c>
      <c r="N108" s="6" t="inlineStr">
        <is>
          <t>開く</t>
        </is>
      </c>
    </row>
    <row r="109">
      <c r="A109" s="2">
        <f>RANK(J109,$J$2:$J$489)</f>
        <v/>
      </c>
      <c r="B109" s="3" t="inlineStr">
        <is>
          <t>ハッチ・面積・長さ集計</t>
        </is>
      </c>
      <c r="C109" s="3" t="inlineStr">
        <is>
          <t>dist-mm / dist-cm / dist-m</t>
        </is>
      </c>
      <c r="D109" s="4" t="inlineStr">
        <is>
          <t>Disttext</t>
        </is>
      </c>
      <c r="E109" s="4" t="inlineStr">
        <is>
          <t>2点距離を既存ダミー文字に書き込み</t>
        </is>
      </c>
      <c r="F109" s="2" t="n">
        <v>13</v>
      </c>
      <c r="G109" s="2" t="n">
        <v>11</v>
      </c>
      <c r="H109" s="2" t="n">
        <v>11</v>
      </c>
      <c r="I109" s="2" t="n">
        <v>12</v>
      </c>
      <c r="J109" s="5">
        <f>SUM(F109:I109)</f>
        <v/>
      </c>
      <c r="K109" s="4" t="inlineStr">
        <is>
          <t>計測値をダミー文字へ</t>
        </is>
      </c>
      <c r="L109" s="3" t="inlineStr">
        <is>
          <t>CADwiesel</t>
        </is>
      </c>
      <c r="M109" s="3" t="inlineStr">
        <is>
          <t>CADwiesel</t>
        </is>
      </c>
      <c r="N109" s="6" t="inlineStr">
        <is>
          <t>開く</t>
        </is>
      </c>
    </row>
    <row r="110">
      <c r="A110" s="2">
        <f>RANK(J110,$J$2:$J$489)</f>
        <v/>
      </c>
      <c r="B110" s="3" t="inlineStr">
        <is>
          <t>引出線・注記</t>
        </is>
      </c>
      <c r="C110" s="3" t="inlineStr">
        <is>
          <t>-</t>
        </is>
      </c>
      <c r="D110" s="4" t="inlineStr">
        <is>
          <t>Etykietowanie polilinii</t>
        </is>
      </c>
      <c r="E110" s="4" t="inlineStr">
        <is>
          <t>ポリラインに長さ等のラベルを付与</t>
        </is>
      </c>
      <c r="F110" s="2" t="n">
        <v>13</v>
      </c>
      <c r="G110" s="2" t="n">
        <v>10</v>
      </c>
      <c r="H110" s="2" t="n">
        <v>12</v>
      </c>
      <c r="I110" s="2" t="n">
        <v>12</v>
      </c>
      <c r="J110" s="5">
        <f>SUM(F110:I110)</f>
        <v/>
      </c>
      <c r="K110" s="4" t="inlineStr">
        <is>
          <t>ポリ長さラベル自動</t>
        </is>
      </c>
      <c r="L110" s="3" t="inlineStr">
        <is>
          <t>kojacek</t>
        </is>
      </c>
      <c r="M110" s="3" t="inlineStr">
        <is>
          <t>kojacek.wordpress.com</t>
        </is>
      </c>
      <c r="N110" s="6" t="inlineStr">
        <is>
          <t>開く</t>
        </is>
      </c>
    </row>
    <row r="111">
      <c r="A111" s="2">
        <f>RANK(J111,$J$2:$J$489)</f>
        <v/>
      </c>
      <c r="B111" s="3" t="inlineStr">
        <is>
          <t>座標・測量・土木</t>
        </is>
      </c>
      <c r="C111" s="3" t="inlineStr">
        <is>
          <t>instopo</t>
        </is>
      </c>
      <c r="D111" s="4" t="inlineStr">
        <is>
          <t>InsTopo</t>
        </is>
      </c>
      <c r="E111" s="4" t="inlineStr">
        <is>
          <t>測量点テキスト/CSVから点や属性付きブロックを挿入</t>
        </is>
      </c>
      <c r="F111" s="2" t="n">
        <v>12</v>
      </c>
      <c r="G111" s="2" t="n">
        <v>9</v>
      </c>
      <c r="H111" s="2" t="n">
        <v>16</v>
      </c>
      <c r="I111" s="2" t="n">
        <v>10</v>
      </c>
      <c r="J111" s="5">
        <f>SUM(F111:I111)</f>
        <v/>
      </c>
      <c r="K111" s="4" t="inlineStr">
        <is>
          <t>測量点の一括展開</t>
        </is>
      </c>
      <c r="L111" s="3" t="inlineStr">
        <is>
          <t>(gile)</t>
        </is>
      </c>
      <c r="M111" s="3" t="inlineStr">
        <is>
          <t>gileCAD</t>
        </is>
      </c>
      <c r="N111" s="6" t="inlineStr">
        <is>
          <t>開く</t>
        </is>
      </c>
    </row>
    <row r="112">
      <c r="A112" s="2">
        <f>RANK(J112,$J$2:$J$489)</f>
        <v/>
      </c>
      <c r="B112" s="3" t="inlineStr">
        <is>
          <t>外部参照・図面管理・一括処理</t>
        </is>
      </c>
      <c r="C112" s="3" t="inlineStr">
        <is>
          <t>jav</t>
        </is>
      </c>
      <c r="D112" s="4" t="inlineStr">
        <is>
          <t>JAV</t>
        </is>
      </c>
      <c r="E112" s="4" t="inlineStr">
        <is>
          <t>通常消せない不要オブジェクトを深く掃除</t>
        </is>
      </c>
      <c r="F112" s="2" t="n">
        <v>14</v>
      </c>
      <c r="G112" s="2" t="n">
        <v>11</v>
      </c>
      <c r="H112" s="2" t="n">
        <v>9</v>
      </c>
      <c r="I112" s="2" t="n">
        <v>13</v>
      </c>
      <c r="J112" s="5">
        <f>SUM(F112:I112)</f>
        <v/>
      </c>
      <c r="K112" s="4" t="inlineStr">
        <is>
          <t>深い図面クリーニング</t>
        </is>
      </c>
      <c r="L112" s="3" t="inlineStr">
        <is>
          <t>Patrick_35</t>
        </is>
      </c>
      <c r="M112" s="3" t="inlineStr">
        <is>
          <t>CADxp (Patrick_35)</t>
        </is>
      </c>
      <c r="N112" s="6" t="inlineStr">
        <is>
          <t>開く</t>
        </is>
      </c>
    </row>
    <row r="113">
      <c r="A113" s="2">
        <f>RANK(J113,$J$2:$J$489)</f>
        <v/>
      </c>
      <c r="B113" s="3" t="inlineStr">
        <is>
          <t>建築</t>
        </is>
      </c>
      <c r="C113" s="3" t="inlineStr">
        <is>
          <t>mahal</t>
        </is>
      </c>
      <c r="D113" s="4" t="inlineStr">
        <is>
          <t>Kolay Mahal Listesi</t>
        </is>
      </c>
      <c r="E113" s="4" t="inlineStr">
        <is>
          <t>部屋名・面積リストをTXT出力しExcel集計</t>
        </is>
      </c>
      <c r="F113" s="2" t="n">
        <v>13</v>
      </c>
      <c r="G113" s="2" t="n">
        <v>10</v>
      </c>
      <c r="H113" s="2" t="n">
        <v>14</v>
      </c>
      <c r="I113" s="2" t="n">
        <v>10</v>
      </c>
      <c r="J113" s="5">
        <f>SUM(F113:I113)</f>
        <v/>
      </c>
      <c r="K113" s="4" t="inlineStr">
        <is>
          <t>部屋リスト出力</t>
        </is>
      </c>
      <c r="L113" s="3" t="inlineStr">
        <is>
          <t>Alan Mühendislik</t>
        </is>
      </c>
      <c r="M113" s="3" t="inlineStr">
        <is>
          <t>Alan Mühendislik</t>
        </is>
      </c>
      <c r="N113" s="6" t="inlineStr">
        <is>
          <t>開く</t>
        </is>
      </c>
    </row>
    <row r="114">
      <c r="A114" s="2">
        <f>RANK(J114,$J$2:$J$489)</f>
        <v/>
      </c>
      <c r="B114" s="3" t="inlineStr">
        <is>
          <t>画層</t>
        </is>
      </c>
      <c r="C114" s="3" t="inlineStr">
        <is>
          <t>-</t>
        </is>
      </c>
      <c r="D114" s="4" t="inlineStr">
        <is>
          <t>Konvlay</t>
        </is>
      </c>
      <c r="E114" s="4" t="inlineStr">
        <is>
          <t>変換表に従って画層名を一括リネーム</t>
        </is>
      </c>
      <c r="F114" s="2" t="n">
        <v>12</v>
      </c>
      <c r="G114" s="2" t="n">
        <v>8</v>
      </c>
      <c r="H114" s="2" t="n">
        <v>14</v>
      </c>
      <c r="I114" s="2" t="n">
        <v>13</v>
      </c>
      <c r="J114" s="5">
        <f>SUM(F114:I114)</f>
        <v/>
      </c>
      <c r="K114" s="4" t="inlineStr">
        <is>
          <t>LAYTRANSで代替可</t>
        </is>
      </c>
      <c r="L114" s="3" t="inlineStr">
        <is>
          <t>CADwiesel</t>
        </is>
      </c>
      <c r="M114" s="3" t="inlineStr">
        <is>
          <t>CADwiesel</t>
        </is>
      </c>
      <c r="N114" s="6" t="inlineStr">
        <is>
          <t>開く</t>
        </is>
      </c>
    </row>
    <row r="115">
      <c r="A115" s="2">
        <f>RANK(J115,$J$2:$J$489)</f>
        <v/>
      </c>
      <c r="B115" s="3" t="inlineStr">
        <is>
          <t>ハッチ・面積・長さ集計</t>
        </is>
      </c>
      <c r="C115" s="3" t="inlineStr">
        <is>
          <t>-</t>
        </is>
      </c>
      <c r="D115" s="4" t="inlineStr">
        <is>
          <t>Lengplin</t>
        </is>
      </c>
      <c r="E115" s="4" t="inlineStr">
        <is>
          <t>ポリライン長を既存ダミー文字に書き込み</t>
        </is>
      </c>
      <c r="F115" s="2" t="n">
        <v>13</v>
      </c>
      <c r="G115" s="2" t="n">
        <v>11</v>
      </c>
      <c r="H115" s="2" t="n">
        <v>11</v>
      </c>
      <c r="I115" s="2" t="n">
        <v>12</v>
      </c>
      <c r="J115" s="5">
        <f>SUM(F115:I115)</f>
        <v/>
      </c>
      <c r="K115" s="4" t="inlineStr">
        <is>
          <t>長さを既存文字へ記入</t>
        </is>
      </c>
      <c r="L115" s="3" t="inlineStr">
        <is>
          <t>CADwiesel</t>
        </is>
      </c>
      <c r="M115" s="3" t="inlineStr">
        <is>
          <t>CADwiesel</t>
        </is>
      </c>
      <c r="N115" s="6" t="inlineStr">
        <is>
          <t>開く</t>
        </is>
      </c>
    </row>
    <row r="116">
      <c r="A116" s="2">
        <f>RANK(J116,$J$2:$J$489)</f>
        <v/>
      </c>
      <c r="B116" s="3" t="inlineStr">
        <is>
          <t>座標・測量・土木</t>
        </is>
      </c>
      <c r="C116" s="3" t="inlineStr">
        <is>
          <t>-</t>
        </is>
      </c>
      <c r="D116" s="4" t="inlineStr">
        <is>
          <t>Längs-/Querprofile</t>
        </is>
      </c>
      <c r="E116" s="4" t="inlineStr">
        <is>
          <t>3Dポリラインから縦横断図を作成し寸法記入（有料）</t>
        </is>
      </c>
      <c r="F116" s="2" t="n">
        <v>16</v>
      </c>
      <c r="G116" s="2" t="n">
        <v>11</v>
      </c>
      <c r="H116" s="2" t="n">
        <v>14</v>
      </c>
      <c r="I116" s="2" t="n">
        <v>6</v>
      </c>
      <c r="J116" s="5">
        <f>SUM(F116:I116)</f>
        <v/>
      </c>
      <c r="K116" s="4" t="inlineStr">
        <is>
          <t>縦横断図作成（有料）</t>
        </is>
      </c>
      <c r="L116" s="3" t="inlineStr">
        <is>
          <t>Uwe Hübner</t>
        </is>
      </c>
      <c r="M116" s="3" t="inlineStr">
        <is>
          <t>CAD-Huebner</t>
        </is>
      </c>
      <c r="N116" s="6" t="inlineStr">
        <is>
          <t>開く</t>
        </is>
      </c>
    </row>
    <row r="117">
      <c r="A117" s="2">
        <f>RANK(J117,$J$2:$J$489)</f>
        <v/>
      </c>
      <c r="B117" s="3" t="inlineStr">
        <is>
          <t>ハッチ・面積・長さ集計</t>
        </is>
      </c>
      <c r="C117" s="3" t="inlineStr">
        <is>
          <t>mes</t>
        </is>
      </c>
      <c r="D117" s="4" t="inlineStr">
        <is>
          <t>MES</t>
        </is>
      </c>
      <c r="E117" s="4" t="inlineStr">
        <is>
          <t>累積距離を図面上で連続計測</t>
        </is>
      </c>
      <c r="F117" s="2" t="n">
        <v>13</v>
      </c>
      <c r="G117" s="2" t="n">
        <v>11</v>
      </c>
      <c r="H117" s="2" t="n">
        <v>10</v>
      </c>
      <c r="I117" s="2" t="n">
        <v>13</v>
      </c>
      <c r="J117" s="5">
        <f>SUM(F117:I117)</f>
        <v/>
      </c>
      <c r="K117" s="4" t="inlineStr">
        <is>
          <t>累積距離の計測</t>
        </is>
      </c>
      <c r="L117" s="3" t="inlineStr">
        <is>
          <t>Patrick_35</t>
        </is>
      </c>
      <c r="M117" s="3" t="inlineStr">
        <is>
          <t>CADxp (Patrick_35)</t>
        </is>
      </c>
      <c r="N117" s="6" t="inlineStr">
        <is>
          <t>開く</t>
        </is>
      </c>
    </row>
    <row r="118">
      <c r="A118" s="2">
        <f>RANK(J118,$J$2:$J$489)</f>
        <v/>
      </c>
      <c r="B118" s="3" t="inlineStr">
        <is>
          <t>文字・テキスト</t>
        </is>
      </c>
      <c r="C118" s="3" t="inlineStr">
        <is>
          <t>-</t>
        </is>
      </c>
      <c r="D118" s="4" t="inlineStr">
        <is>
          <t>Prefix / sufix tekstu</t>
        </is>
      </c>
      <c r="E118" s="4" t="inlineStr">
        <is>
          <t>既存文字に接頭辞・接尾辞を付加</t>
        </is>
      </c>
      <c r="F118" s="2" t="n">
        <v>12</v>
      </c>
      <c r="G118" s="2" t="n">
        <v>8</v>
      </c>
      <c r="H118" s="2" t="n">
        <v>12</v>
      </c>
      <c r="I118" s="2" t="n">
        <v>15</v>
      </c>
      <c r="J118" s="5">
        <f>SUM(F118:I118)</f>
        <v/>
      </c>
      <c r="K118" s="4" t="inlineStr">
        <is>
          <t>接頭辞/接尾辞一括付加</t>
        </is>
      </c>
      <c r="L118" s="3" t="inlineStr">
        <is>
          <t>kojacek</t>
        </is>
      </c>
      <c r="M118" s="3" t="inlineStr">
        <is>
          <t>kojacek.wordpress.com</t>
        </is>
      </c>
      <c r="N118" s="6" t="inlineStr">
        <is>
          <t>開く</t>
        </is>
      </c>
    </row>
    <row r="119">
      <c r="A119" s="2">
        <f>RANK(J119,$J$2:$J$489)</f>
        <v/>
      </c>
      <c r="B119" s="3" t="inlineStr">
        <is>
          <t>印刷・レイアウト・図枠</t>
        </is>
      </c>
      <c r="C119" s="3" t="inlineStr">
        <is>
          <t>-</t>
        </is>
      </c>
      <c r="D119" s="4" t="inlineStr">
        <is>
          <t>Revision editor</t>
        </is>
      </c>
      <c r="E119" s="4" t="inlineStr">
        <is>
          <t>図枠の改訂属性ブロックを編集</t>
        </is>
      </c>
      <c r="F119" s="2" t="n">
        <v>14</v>
      </c>
      <c r="G119" s="2" t="n">
        <v>10</v>
      </c>
      <c r="H119" s="2" t="n">
        <v>12</v>
      </c>
      <c r="I119" s="2" t="n">
        <v>11</v>
      </c>
      <c r="J119" s="5">
        <f>SUM(F119:I119)</f>
        <v/>
      </c>
      <c r="K119" s="4" t="inlineStr">
        <is>
          <t>改訂欄編集</t>
        </is>
      </c>
      <c r="L119" s="3" t="inlineStr">
        <is>
          <t>kojacek</t>
        </is>
      </c>
      <c r="M119" s="3" t="inlineStr">
        <is>
          <t>kojacek.wordpress.com</t>
        </is>
      </c>
      <c r="N119" s="6" t="inlineStr">
        <is>
          <t>開く</t>
        </is>
      </c>
    </row>
    <row r="120">
      <c r="A120" s="2">
        <f>RANK(J120,$J$2:$J$489)</f>
        <v/>
      </c>
      <c r="B120" s="3" t="inlineStr">
        <is>
          <t>ブロック・属性</t>
        </is>
      </c>
      <c r="C120" s="3" t="inlineStr">
        <is>
          <t>Pun / sostblock</t>
        </is>
      </c>
      <c r="D120" s="4" t="inlineStr">
        <is>
          <t>Sostituisci punti in blocchi</t>
        </is>
      </c>
      <c r="E120" s="4" t="inlineStr">
        <is>
          <t>点とブロック等の図形を相互置換</t>
        </is>
      </c>
      <c r="F120" s="2" t="n">
        <v>13</v>
      </c>
      <c r="G120" s="2" t="n">
        <v>10</v>
      </c>
      <c r="H120" s="2" t="n">
        <v>12</v>
      </c>
      <c r="I120" s="2" t="n">
        <v>12</v>
      </c>
      <c r="J120" s="5">
        <f>SUM(F120:I120)</f>
        <v/>
      </c>
      <c r="K120" s="4" t="inlineStr">
        <is>
          <t>点とブロック相互置換</t>
        </is>
      </c>
      <c r="L120" s="3" t="inlineStr">
        <is>
          <t>EmiCAD</t>
        </is>
      </c>
      <c r="M120" s="3" t="inlineStr">
        <is>
          <t>EmiLISP Free (emicad.it)</t>
        </is>
      </c>
      <c r="N120" s="6" t="inlineStr">
        <is>
          <t>開く</t>
        </is>
      </c>
    </row>
    <row r="121">
      <c r="A121" s="2">
        <f>RANK(J121,$J$2:$J$489)</f>
        <v/>
      </c>
      <c r="B121" s="3" t="inlineStr">
        <is>
          <t>文字・テキスト</t>
        </is>
      </c>
      <c r="C121" s="3" t="inlineStr">
        <is>
          <t>-</t>
        </is>
      </c>
      <c r="D121" s="4" t="inlineStr">
        <is>
          <t>Suchtext</t>
        </is>
      </c>
      <c r="E121" s="4" t="inlineStr">
        <is>
          <t>文字・属性・ブロック名・EED・ハンドルを検索し矢印で表示</t>
        </is>
      </c>
      <c r="F121" s="2" t="n">
        <v>13</v>
      </c>
      <c r="G121" s="2" t="n">
        <v>12</v>
      </c>
      <c r="H121" s="2" t="n">
        <v>9</v>
      </c>
      <c r="I121" s="2" t="n">
        <v>13</v>
      </c>
      <c r="J121" s="5">
        <f>SUM(F121:I121)</f>
        <v/>
      </c>
      <c r="K121" s="4" t="inlineStr">
        <is>
          <t>EEDまで検索可能</t>
        </is>
      </c>
      <c r="L121" s="3" t="inlineStr">
        <is>
          <t>CADwiesel</t>
        </is>
      </c>
      <c r="M121" s="3" t="inlineStr">
        <is>
          <t>CADwiesel</t>
        </is>
      </c>
      <c r="N121" s="6" t="inlineStr">
        <is>
          <t>開く</t>
        </is>
      </c>
    </row>
    <row r="122">
      <c r="A122" s="2">
        <f>RANK(J122,$J$2:$J$489)</f>
        <v/>
      </c>
      <c r="B122" s="3" t="inlineStr">
        <is>
          <t>座標・測量・土木</t>
        </is>
      </c>
      <c r="C122" s="3" t="inlineStr">
        <is>
          <t>-</t>
        </is>
      </c>
      <c r="D122" s="4" t="inlineStr">
        <is>
          <t>Tabla de vértices de polilínea</t>
        </is>
      </c>
      <c r="E122" s="4" t="inlineStr">
        <is>
          <t>ポリライン頂点座標表をCAD/Word/Excelに作成（有料）</t>
        </is>
      </c>
      <c r="F122" s="2" t="n">
        <v>15</v>
      </c>
      <c r="G122" s="2" t="n">
        <v>10</v>
      </c>
      <c r="H122" s="2" t="n">
        <v>13</v>
      </c>
      <c r="I122" s="2" t="n">
        <v>9</v>
      </c>
      <c r="J122" s="5">
        <f>SUM(F122:I122)</f>
        <v/>
      </c>
      <c r="K122" s="4" t="inlineStr">
        <is>
          <t>頂点座標表（有料）</t>
        </is>
      </c>
      <c r="L122" s="3" t="inlineStr">
        <is>
          <t>Andrés S. del Toro</t>
        </is>
      </c>
      <c r="M122" s="3" t="inlineStr">
        <is>
          <t>andresdeltoro.es</t>
        </is>
      </c>
      <c r="N122" s="6" t="inlineStr">
        <is>
          <t>開く</t>
        </is>
      </c>
    </row>
    <row r="123">
      <c r="A123" s="2">
        <f>RANK(J123,$J$2:$J$489)</f>
        <v/>
      </c>
      <c r="B123" s="3" t="inlineStr">
        <is>
          <t>座標・測量・土木</t>
        </is>
      </c>
      <c r="C123" s="3" t="inlineStr">
        <is>
          <t>GBILD</t>
        </is>
      </c>
      <c r="D123" s="4" t="inlineStr">
        <is>
          <t>UHGEOREF</t>
        </is>
      </c>
      <c r="E123" s="4" t="inlineStr">
        <is>
          <t>ワールドファイルでラスタ画像を配置・ワールドファイル作成</t>
        </is>
      </c>
      <c r="F123" s="2" t="n">
        <v>17</v>
      </c>
      <c r="G123" s="2" t="n">
        <v>12</v>
      </c>
      <c r="H123" s="2" t="n">
        <v>10</v>
      </c>
      <c r="I123" s="2" t="n">
        <v>8</v>
      </c>
      <c r="J123" s="5">
        <f>SUM(F123:I123)</f>
        <v/>
      </c>
      <c r="K123" s="4" t="inlineStr">
        <is>
          <t>ワールドファイル配置</t>
        </is>
      </c>
      <c r="L123" s="3" t="inlineStr">
        <is>
          <t>Uwe Hübner</t>
        </is>
      </c>
      <c r="M123" s="3" t="inlineStr">
        <is>
          <t>CAD-Huebner</t>
        </is>
      </c>
      <c r="N123" s="6" t="inlineStr">
        <is>
          <t>開く</t>
        </is>
      </c>
    </row>
    <row r="124">
      <c r="A124" s="2">
        <f>RANK(J124,$J$2:$J$489)</f>
        <v/>
      </c>
      <c r="B124" s="3" t="inlineStr">
        <is>
          <t>画層</t>
        </is>
      </c>
      <c r="C124" s="3" t="inlineStr">
        <is>
          <t>-</t>
        </is>
      </c>
      <c r="D124" s="4" t="inlineStr">
        <is>
          <t>Warstwy / bloki purge</t>
        </is>
      </c>
      <c r="E124" s="4" t="inlineStr">
        <is>
          <t>使用中画層・ブロックを消して名前削除</t>
        </is>
      </c>
      <c r="F124" s="2" t="n">
        <v>15</v>
      </c>
      <c r="G124" s="2" t="n">
        <v>9</v>
      </c>
      <c r="H124" s="2" t="n">
        <v>10</v>
      </c>
      <c r="I124" s="2" t="n">
        <v>13</v>
      </c>
      <c r="J124" s="5">
        <f>SUM(F124:I124)</f>
        <v/>
      </c>
      <c r="K124" s="4" t="inlineStr">
        <is>
          <t>使用中でも消して名前削除</t>
        </is>
      </c>
      <c r="L124" s="3" t="inlineStr">
        <is>
          <t>kojacek</t>
        </is>
      </c>
      <c r="M124" s="3" t="inlineStr">
        <is>
          <t>kojacek.wordpress.com</t>
        </is>
      </c>
      <c r="N124" s="6" t="inlineStr">
        <is>
          <t>開く</t>
        </is>
      </c>
    </row>
    <row r="125">
      <c r="A125" s="2">
        <f>RANK(J125,$J$2:$J$489)</f>
        <v/>
      </c>
      <c r="B125" s="3" t="inlineStr">
        <is>
          <t>文字・テキスト</t>
        </is>
      </c>
      <c r="C125" s="3" t="inlineStr">
        <is>
          <t>-</t>
        </is>
      </c>
      <c r="D125" s="4" t="inlineStr">
        <is>
          <t>Wielkość obszaru MTEXT</t>
        </is>
      </c>
      <c r="E125" s="4" t="inlineStr">
        <is>
          <t>MTEXTの枠幅を内容に合わせて調整</t>
        </is>
      </c>
      <c r="F125" s="2" t="n">
        <v>13</v>
      </c>
      <c r="G125" s="2" t="n">
        <v>11</v>
      </c>
      <c r="H125" s="2" t="n">
        <v>10</v>
      </c>
      <c r="I125" s="2" t="n">
        <v>13</v>
      </c>
      <c r="J125" s="5">
        <f>SUM(F125:I125)</f>
        <v/>
      </c>
      <c r="K125" s="4" t="inlineStr">
        <is>
          <t>MTEXT枠幅を自動調整</t>
        </is>
      </c>
      <c r="L125" s="3" t="inlineStr">
        <is>
          <t>kojacek</t>
        </is>
      </c>
      <c r="M125" s="3" t="inlineStr">
        <is>
          <t>kojacek.wordpress.com</t>
        </is>
      </c>
      <c r="N125" s="6" t="inlineStr">
        <is>
          <t>開く</t>
        </is>
      </c>
    </row>
    <row r="126">
      <c r="A126" s="2">
        <f>RANK(J126,$J$2:$J$489)</f>
        <v/>
      </c>
      <c r="B126" s="3" t="inlineStr">
        <is>
          <t>座標・測量・土木</t>
        </is>
      </c>
      <c r="C126" s="3" t="inlineStr">
        <is>
          <t>-</t>
        </is>
      </c>
      <c r="D126" s="4" t="inlineStr">
        <is>
          <t>ZebraStreifen</t>
        </is>
      </c>
      <c r="E126" s="4" t="inlineStr">
        <is>
          <t>横断歩道の縞模様を境界線から作成</t>
        </is>
      </c>
      <c r="F126" s="2" t="n">
        <v>17</v>
      </c>
      <c r="G126" s="2" t="n">
        <v>13</v>
      </c>
      <c r="H126" s="2" t="n">
        <v>11</v>
      </c>
      <c r="I126" s="2" t="n">
        <v>6</v>
      </c>
      <c r="J126" s="5">
        <f>SUM(F126:I126)</f>
        <v/>
      </c>
      <c r="K126" s="4" t="inlineStr">
        <is>
          <t>横断歩道自動作図</t>
        </is>
      </c>
      <c r="L126" s="3" t="inlineStr">
        <is>
          <t>Jörn Bosse</t>
        </is>
      </c>
      <c r="M126" s="3" t="inlineStr">
        <is>
          <t>Bosse Engineering (AutoCAD Magazin)</t>
        </is>
      </c>
      <c r="N126" s="6" t="inlineStr">
        <is>
          <t>開く</t>
        </is>
      </c>
    </row>
    <row r="127">
      <c r="A127" s="2">
        <f>RANK(J127,$J$2:$J$489)</f>
        <v/>
      </c>
      <c r="B127" s="3" t="inlineStr">
        <is>
          <t>構造・鉄骨・機械</t>
        </is>
      </c>
      <c r="C127" s="3" t="inlineStr">
        <is>
          <t>-</t>
        </is>
      </c>
      <c r="D127" s="4" t="inlineStr">
        <is>
          <t>Zestawienie stali zbrojeniowej</t>
        </is>
      </c>
      <c r="E127" s="4" t="inlineStr">
        <is>
          <t>鉄筋表（配筋集計表）を作成</t>
        </is>
      </c>
      <c r="F127" s="2" t="n">
        <v>15</v>
      </c>
      <c r="G127" s="2" t="n">
        <v>11</v>
      </c>
      <c r="H127" s="2" t="n">
        <v>14</v>
      </c>
      <c r="I127" s="2" t="n">
        <v>7</v>
      </c>
      <c r="J127" s="5">
        <f>SUM(F127:I127)</f>
        <v/>
      </c>
      <c r="K127" s="4" t="inlineStr">
        <is>
          <t>鉄筋表の自動作成</t>
        </is>
      </c>
      <c r="L127" s="3" t="inlineStr">
        <is>
          <t>kojacek</t>
        </is>
      </c>
      <c r="M127" s="3" t="inlineStr">
        <is>
          <t>kojacek.wordpress.com</t>
        </is>
      </c>
      <c r="N127" s="6" t="inlineStr">
        <is>
          <t>開く</t>
        </is>
      </c>
    </row>
    <row r="128">
      <c r="A128" s="2">
        <f>RANK(J128,$J$2:$J$489)</f>
        <v/>
      </c>
      <c r="B128" s="3" t="inlineStr">
        <is>
          <t>構造・鉄骨・機械</t>
        </is>
      </c>
      <c r="C128" s="3" t="inlineStr">
        <is>
          <t>-</t>
        </is>
      </c>
      <c r="D128" s="4" t="inlineStr">
        <is>
          <t>Zliczanie 3DSOLID</t>
        </is>
      </c>
      <c r="E128" s="4" t="inlineStr">
        <is>
          <t>鋼材ソリッドを種類別に数量集計</t>
        </is>
      </c>
      <c r="F128" s="2" t="n">
        <v>16</v>
      </c>
      <c r="G128" s="2" t="n">
        <v>12</v>
      </c>
      <c r="H128" s="2" t="n">
        <v>13</v>
      </c>
      <c r="I128" s="2" t="n">
        <v>6</v>
      </c>
      <c r="J128" s="5">
        <f>SUM(F128:I128)</f>
        <v/>
      </c>
      <c r="K128" s="4" t="inlineStr">
        <is>
          <t>鋼材ソリッド数量集計</t>
        </is>
      </c>
      <c r="L128" s="3" t="inlineStr">
        <is>
          <t>kojacek</t>
        </is>
      </c>
      <c r="M128" s="3" t="inlineStr">
        <is>
          <t>kojacek.wordpress.com</t>
        </is>
      </c>
      <c r="N128" s="6" t="inlineStr">
        <is>
          <t>開く</t>
        </is>
      </c>
    </row>
    <row r="129">
      <c r="A129" s="2">
        <f>RANK(J129,$J$2:$J$489)</f>
        <v/>
      </c>
      <c r="B129" s="3" t="inlineStr">
        <is>
          <t>線・ポリライン編集</t>
        </is>
      </c>
      <c r="C129" s="3" t="inlineStr">
        <is>
          <t>addvtx / delvtx</t>
        </is>
      </c>
      <c r="D129" s="4" t="inlineStr">
        <is>
          <t>AddVtx&amp;DelVtx</t>
        </is>
      </c>
      <c r="E129" s="4" t="inlineStr">
        <is>
          <t>ポリラインに頂点を追加・削除（2D/3D対応）</t>
        </is>
      </c>
      <c r="F129" s="2" t="n">
        <v>10</v>
      </c>
      <c r="G129" s="2" t="n">
        <v>8</v>
      </c>
      <c r="H129" s="2" t="n">
        <v>12</v>
      </c>
      <c r="I129" s="2" t="n">
        <v>16</v>
      </c>
      <c r="J129" s="5">
        <f>SUM(F129:I129)</f>
        <v/>
      </c>
      <c r="K129" s="4" t="inlineStr">
        <is>
          <t>標準PEDITより手早い</t>
        </is>
      </c>
      <c r="L129" s="3" t="inlineStr">
        <is>
          <t>(gile)</t>
        </is>
      </c>
      <c r="M129" s="3" t="inlineStr">
        <is>
          <t>gileCAD</t>
        </is>
      </c>
      <c r="N129" s="6" t="inlineStr">
        <is>
          <t>開く</t>
        </is>
      </c>
    </row>
    <row r="130">
      <c r="A130" s="2">
        <f>RANK(J130,$J$2:$J$489)</f>
        <v/>
      </c>
      <c r="B130" s="3" t="inlineStr">
        <is>
          <t>作図</t>
        </is>
      </c>
      <c r="C130" s="3" t="inlineStr">
        <is>
          <t>-</t>
        </is>
      </c>
      <c r="D130" s="4" t="inlineStr">
        <is>
          <t>AusrichtenTool</t>
        </is>
      </c>
      <c r="E130" s="4" t="inlineStr">
        <is>
          <t>XY別尺度も可能な拡張ALIGN</t>
        </is>
      </c>
      <c r="F130" s="2" t="n">
        <v>14</v>
      </c>
      <c r="G130" s="2" t="n">
        <v>11</v>
      </c>
      <c r="H130" s="2" t="n">
        <v>9</v>
      </c>
      <c r="I130" s="2" t="n">
        <v>12</v>
      </c>
      <c r="J130" s="5">
        <f>SUM(F130:I130)</f>
        <v/>
      </c>
      <c r="K130" s="4" t="inlineStr">
        <is>
          <t>XY別尺度ALIGN</t>
        </is>
      </c>
      <c r="L130" s="3" t="inlineStr">
        <is>
          <t>Jörn Bosse</t>
        </is>
      </c>
      <c r="M130" s="3" t="inlineStr">
        <is>
          <t>Bosse Engineering (AutoCAD Magazin)</t>
        </is>
      </c>
      <c r="N130" s="6" t="inlineStr">
        <is>
          <t>開く</t>
        </is>
      </c>
    </row>
    <row r="131">
      <c r="A131" s="2">
        <f>RANK(J131,$J$2:$J$489)</f>
        <v/>
      </c>
      <c r="B131" s="3" t="inlineStr">
        <is>
          <t>ブロック・属性</t>
        </is>
      </c>
      <c r="C131" s="3" t="inlineStr">
        <is>
          <t>bloccosu0</t>
        </is>
      </c>
      <c r="D131" s="4" t="inlineStr">
        <is>
          <t>Blocco su 0</t>
        </is>
      </c>
      <c r="E131" s="4" t="inlineStr">
        <is>
          <t>ブロック内図形を色保持で画層0へ</t>
        </is>
      </c>
      <c r="F131" s="2" t="n">
        <v>12</v>
      </c>
      <c r="G131" s="2" t="n">
        <v>8</v>
      </c>
      <c r="H131" s="2" t="n">
        <v>12</v>
      </c>
      <c r="I131" s="2" t="n">
        <v>14</v>
      </c>
      <c r="J131" s="5">
        <f>SUM(F131:I131)</f>
        <v/>
      </c>
      <c r="K131" s="4" t="inlineStr">
        <is>
          <t>色保持で画層0化</t>
        </is>
      </c>
      <c r="L131" s="3" t="inlineStr">
        <is>
          <t>EmiCAD</t>
        </is>
      </c>
      <c r="M131" s="3" t="inlineStr">
        <is>
          <t>EmiLISP Free (emicad.it)</t>
        </is>
      </c>
      <c r="N131" s="6" t="inlineStr">
        <is>
          <t>開く</t>
        </is>
      </c>
    </row>
    <row r="132">
      <c r="A132" s="2">
        <f>RANK(J132,$J$2:$J$489)</f>
        <v/>
      </c>
      <c r="B132" s="3" t="inlineStr">
        <is>
          <t>ブロック・属性</t>
        </is>
      </c>
      <c r="C132" s="3" t="inlineStr">
        <is>
          <t>BFZ</t>
        </is>
      </c>
      <c r="D132" s="4" t="inlineStr">
        <is>
          <t>BlockFixZero</t>
        </is>
      </c>
      <c r="E132" s="4" t="inlineStr">
        <is>
          <t>ブロック内図形を画層0へ移動</t>
        </is>
      </c>
      <c r="F132" s="2" t="n">
        <v>11</v>
      </c>
      <c r="G132" s="2" t="n">
        <v>7</v>
      </c>
      <c r="H132" s="2" t="n">
        <v>13</v>
      </c>
      <c r="I132" s="2" t="n">
        <v>15</v>
      </c>
      <c r="J132" s="5">
        <f>SUM(F132:I132)</f>
        <v/>
      </c>
      <c r="K132" s="4" t="inlineStr">
        <is>
          <t>ブロック画層0化</t>
        </is>
      </c>
      <c r="L132" s="3" t="inlineStr"/>
      <c r="M132" s="3" t="inlineStr">
        <is>
          <t>CADthèque</t>
        </is>
      </c>
      <c r="N132" s="6" t="inlineStr">
        <is>
          <t>開く</t>
        </is>
      </c>
    </row>
    <row r="133">
      <c r="A133" s="2">
        <f>RANK(J133,$J$2:$J$489)</f>
        <v/>
      </c>
      <c r="B133" s="3" t="inlineStr">
        <is>
          <t>作図</t>
        </is>
      </c>
      <c r="C133" s="3" t="inlineStr">
        <is>
          <t>bsc / med / per / tan</t>
        </is>
      </c>
      <c r="D133" s="4" t="inlineStr">
        <is>
          <t>Bsc_Med_Per_Tan</t>
        </is>
      </c>
      <c r="E133" s="4" t="inlineStr">
        <is>
          <t>二等分線・垂直二等分線・垂線・接線を作図</t>
        </is>
      </c>
      <c r="F133" s="2" t="n">
        <v>13</v>
      </c>
      <c r="G133" s="2" t="n">
        <v>12</v>
      </c>
      <c r="H133" s="2" t="n">
        <v>9</v>
      </c>
      <c r="I133" s="2" t="n">
        <v>12</v>
      </c>
      <c r="J133" s="5">
        <f>SUM(F133:I133)</f>
        <v/>
      </c>
      <c r="K133" s="4" t="inlineStr">
        <is>
          <t>作図補助線を一発生成</t>
        </is>
      </c>
      <c r="L133" s="3" t="inlineStr">
        <is>
          <t>(gile)</t>
        </is>
      </c>
      <c r="M133" s="3" t="inlineStr">
        <is>
          <t>gileCAD</t>
        </is>
      </c>
      <c r="N133" s="6" t="inlineStr">
        <is>
          <t>開く</t>
        </is>
      </c>
    </row>
    <row r="134">
      <c r="A134" s="2">
        <f>RANK(J134,$J$2:$J$489)</f>
        <v/>
      </c>
      <c r="B134" s="3" t="inlineStr">
        <is>
          <t>表・Excel連携</t>
        </is>
      </c>
      <c r="C134" s="3" t="inlineStr">
        <is>
          <t>-</t>
        </is>
      </c>
      <c r="D134" s="4" t="inlineStr">
        <is>
          <t>Cad2Xls</t>
        </is>
      </c>
      <c r="E134" s="4" t="inlineStr">
        <is>
          <t>属性をExcelへ書出し・Excelから読込（有料）</t>
        </is>
      </c>
      <c r="F134" s="2" t="n">
        <v>11</v>
      </c>
      <c r="G134" s="2" t="n">
        <v>8</v>
      </c>
      <c r="H134" s="2" t="n">
        <v>14</v>
      </c>
      <c r="I134" s="2" t="n">
        <v>13</v>
      </c>
      <c r="J134" s="5">
        <f>SUM(F134:I134)</f>
        <v/>
      </c>
      <c r="K134" s="4" t="inlineStr">
        <is>
          <t>属性Excel入出力（有料）</t>
        </is>
      </c>
      <c r="L134" s="3" t="inlineStr">
        <is>
          <t>CADwiesel</t>
        </is>
      </c>
      <c r="M134" s="3" t="inlineStr">
        <is>
          <t>CADwiesel</t>
        </is>
      </c>
      <c r="N134" s="6" t="inlineStr">
        <is>
          <t>開く</t>
        </is>
      </c>
    </row>
    <row r="135">
      <c r="A135" s="2">
        <f>RANK(J135,$J$2:$J$489)</f>
        <v/>
      </c>
      <c r="B135" s="3" t="inlineStr">
        <is>
          <t>ブロック・属性</t>
        </is>
      </c>
      <c r="C135" s="3" t="inlineStr">
        <is>
          <t>CopyBlockProp</t>
        </is>
      </c>
      <c r="D135" s="4" t="inlineStr">
        <is>
          <t>CopyBlockProperties</t>
        </is>
      </c>
      <c r="E135" s="4" t="inlineStr">
        <is>
          <t>ブロック定義のプロパティを他ブロックへコピー</t>
        </is>
      </c>
      <c r="F135" s="2" t="n">
        <v>14</v>
      </c>
      <c r="G135" s="2" t="n">
        <v>10</v>
      </c>
      <c r="H135" s="2" t="n">
        <v>10</v>
      </c>
      <c r="I135" s="2" t="n">
        <v>12</v>
      </c>
      <c r="J135" s="5">
        <f>SUM(F135:I135)</f>
        <v/>
      </c>
      <c r="K135" s="4" t="inlineStr">
        <is>
          <t>定義プロパティ転写</t>
        </is>
      </c>
      <c r="L135" s="3" t="inlineStr">
        <is>
          <t>CADPL (kojacek, kruuger et al.)</t>
        </is>
      </c>
      <c r="M135" s="3" t="inlineStr">
        <is>
          <t>GitHub: kruuger/CADPL-Pack-v1</t>
        </is>
      </c>
      <c r="N135" s="6" t="inlineStr">
        <is>
          <t>開く</t>
        </is>
      </c>
    </row>
    <row r="136">
      <c r="A136" s="2">
        <f>RANK(J136,$J$2:$J$489)</f>
        <v/>
      </c>
      <c r="B136" s="3" t="inlineStr">
        <is>
          <t>寸法</t>
        </is>
      </c>
      <c r="C136" s="3" t="inlineStr">
        <is>
          <t>-</t>
        </is>
      </c>
      <c r="D136" s="4" t="inlineStr">
        <is>
          <t>Cota Alzado</t>
        </is>
      </c>
      <c r="E136" s="4" t="inlineStr">
        <is>
          <t>立面図の高さ寸法を自動配置（有料）</t>
        </is>
      </c>
      <c r="F136" s="2" t="n">
        <v>15</v>
      </c>
      <c r="G136" s="2" t="n">
        <v>11</v>
      </c>
      <c r="H136" s="2" t="n">
        <v>12</v>
      </c>
      <c r="I136" s="2" t="n">
        <v>8</v>
      </c>
      <c r="J136" s="5">
        <f>SUM(F136:I136)</f>
        <v/>
      </c>
      <c r="K136" s="4" t="inlineStr">
        <is>
          <t>立面高さ寸法（有料）</t>
        </is>
      </c>
      <c r="L136" s="3" t="inlineStr">
        <is>
          <t>Andrés S. del Toro</t>
        </is>
      </c>
      <c r="M136" s="3" t="inlineStr">
        <is>
          <t>andresdeltoro.es</t>
        </is>
      </c>
      <c r="N136" s="6" t="inlineStr">
        <is>
          <t>開く</t>
        </is>
      </c>
    </row>
    <row r="137">
      <c r="A137" s="2">
        <f>RANK(J137,$J$2:$J$489)</f>
        <v/>
      </c>
      <c r="B137" s="3" t="inlineStr">
        <is>
          <t>画層</t>
        </is>
      </c>
      <c r="C137" s="3" t="inlineStr">
        <is>
          <t>cpl / cps / cpscu</t>
        </is>
      </c>
      <c r="D137" s="4" t="inlineStr">
        <is>
          <t>CPL / CPS / CPSCU</t>
        </is>
      </c>
      <c r="E137" s="4" t="inlineStr">
        <is>
          <t>未オープン図面から画層・寸法スタイル・UCSを取込</t>
        </is>
      </c>
      <c r="F137" s="2" t="n">
        <v>12</v>
      </c>
      <c r="G137" s="2" t="n">
        <v>10</v>
      </c>
      <c r="H137" s="2" t="n">
        <v>10</v>
      </c>
      <c r="I137" s="2" t="n">
        <v>14</v>
      </c>
      <c r="J137" s="5">
        <f>SUM(F137:I137)</f>
        <v/>
      </c>
      <c r="K137" s="4" t="inlineStr">
        <is>
          <t>未オープン図面から取込</t>
        </is>
      </c>
      <c r="L137" s="3" t="inlineStr">
        <is>
          <t>Patrick_35</t>
        </is>
      </c>
      <c r="M137" s="3" t="inlineStr">
        <is>
          <t>CADxp (Patrick_35)</t>
        </is>
      </c>
      <c r="N137" s="6" t="inlineStr">
        <is>
          <t>開く</t>
        </is>
      </c>
    </row>
    <row r="138">
      <c r="A138" s="2">
        <f>RANK(J138,$J$2:$J$489)</f>
        <v/>
      </c>
      <c r="B138" s="3" t="inlineStr">
        <is>
          <t>構造・鉄骨・機械</t>
        </is>
      </c>
      <c r="C138" s="3" t="inlineStr">
        <is>
          <t>-</t>
        </is>
      </c>
      <c r="D138" s="4" t="inlineStr">
        <is>
          <t>Demir (Donatı) Metraj</t>
        </is>
      </c>
      <c r="E138" s="4" t="inlineStr">
        <is>
          <t>鉄筋数量を集計</t>
        </is>
      </c>
      <c r="F138" s="2" t="n">
        <v>15</v>
      </c>
      <c r="G138" s="2" t="n">
        <v>11</v>
      </c>
      <c r="H138" s="2" t="n">
        <v>14</v>
      </c>
      <c r="I138" s="2" t="n">
        <v>6</v>
      </c>
      <c r="J138" s="5">
        <f>SUM(F138:I138)</f>
        <v/>
      </c>
      <c r="K138" s="4" t="inlineStr">
        <is>
          <t>鉄筋数量集計</t>
        </is>
      </c>
      <c r="L138" s="3" t="inlineStr">
        <is>
          <t>çizim okulu</t>
        </is>
      </c>
      <c r="M138" s="3" t="inlineStr">
        <is>
          <t>Çizim Okulu</t>
        </is>
      </c>
      <c r="N138" s="6" t="inlineStr">
        <is>
          <t>開く</t>
        </is>
      </c>
    </row>
    <row r="139">
      <c r="A139" s="2">
        <f>RANK(J139,$J$2:$J$489)</f>
        <v/>
      </c>
      <c r="B139" s="3" t="inlineStr">
        <is>
          <t>構造・鉄骨・機械</t>
        </is>
      </c>
      <c r="C139" s="3" t="inlineStr">
        <is>
          <t>coc / trcoc</t>
        </is>
      </c>
      <c r="D139" s="4" t="inlineStr">
        <is>
          <t>Desarrollo de cono</t>
        </is>
      </c>
      <c r="E139" s="4" t="inlineStr">
        <is>
          <t>直円錐・斜円錐（台）の展開図を作図</t>
        </is>
      </c>
      <c r="F139" s="2" t="n">
        <v>18</v>
      </c>
      <c r="G139" s="2" t="n">
        <v>14</v>
      </c>
      <c r="H139" s="2" t="n">
        <v>8</v>
      </c>
      <c r="I139" s="2" t="n">
        <v>6</v>
      </c>
      <c r="J139" s="5">
        <f>SUM(F139:I139)</f>
        <v/>
      </c>
      <c r="K139" s="4" t="inlineStr">
        <is>
          <t>円錐展開図</t>
        </is>
      </c>
      <c r="L139" s="3" t="inlineStr">
        <is>
          <t>J.A.M.G.P.A.</t>
        </is>
      </c>
      <c r="M139" s="3" t="inlineStr">
        <is>
          <t>jamgpa.com</t>
        </is>
      </c>
      <c r="N139" s="6" t="inlineStr">
        <is>
          <t>開く</t>
        </is>
      </c>
    </row>
    <row r="140">
      <c r="A140" s="2">
        <f>RANK(J140,$J$2:$J$489)</f>
        <v/>
      </c>
      <c r="B140" s="3" t="inlineStr">
        <is>
          <t>設定・環境</t>
        </is>
      </c>
      <c r="C140" s="3" t="inlineStr">
        <is>
          <t>dynosnapz</t>
        </is>
      </c>
      <c r="D140" s="4" t="inlineStr">
        <is>
          <t>Dynamische 2D/3D Objektfang</t>
        </is>
      </c>
      <c r="E140" s="4" t="inlineStr">
        <is>
          <t>オブジェクトスナップの2D/3D(Z)を動的切替</t>
        </is>
      </c>
      <c r="F140" s="2" t="n">
        <v>15</v>
      </c>
      <c r="G140" s="2" t="n">
        <v>13</v>
      </c>
      <c r="H140" s="2" t="n">
        <v>8</v>
      </c>
      <c r="I140" s="2" t="n">
        <v>10</v>
      </c>
      <c r="J140" s="5">
        <f>SUM(F140:I140)</f>
        <v/>
      </c>
      <c r="K140" s="4" t="inlineStr">
        <is>
          <t>Zスナップの動的切替</t>
        </is>
      </c>
      <c r="L140" s="3" t="inlineStr">
        <is>
          <t>Uwe Hübner</t>
        </is>
      </c>
      <c r="M140" s="3" t="inlineStr">
        <is>
          <t>CAD-Huebner</t>
        </is>
      </c>
      <c r="N140" s="6" t="inlineStr">
        <is>
          <t>開く</t>
        </is>
      </c>
    </row>
    <row r="141">
      <c r="A141" s="2">
        <f>RANK(J141,$J$2:$J$489)</f>
        <v/>
      </c>
      <c r="B141" s="3" t="inlineStr">
        <is>
          <t>画層</t>
        </is>
      </c>
      <c r="C141" s="3" t="inlineStr">
        <is>
          <t>-</t>
        </is>
      </c>
      <c r="D141" s="4" t="inlineStr">
        <is>
          <t>Lay-wblk</t>
        </is>
      </c>
      <c r="E141" s="4" t="inlineStr">
        <is>
          <t>画層ごとに図形を個別DWGへ書き出し</t>
        </is>
      </c>
      <c r="F141" s="2" t="n">
        <v>15</v>
      </c>
      <c r="G141" s="2" t="n">
        <v>11</v>
      </c>
      <c r="H141" s="2" t="n">
        <v>9</v>
      </c>
      <c r="I141" s="2" t="n">
        <v>11</v>
      </c>
      <c r="J141" s="5">
        <f>SUM(F141:I141)</f>
        <v/>
      </c>
      <c r="K141" s="4" t="inlineStr">
        <is>
          <t>画層別DWG書出し</t>
        </is>
      </c>
      <c r="L141" s="3" t="inlineStr">
        <is>
          <t>CADwiesel</t>
        </is>
      </c>
      <c r="M141" s="3" t="inlineStr">
        <is>
          <t>CADwiesel</t>
        </is>
      </c>
      <c r="N141" s="6" t="inlineStr">
        <is>
          <t>開く</t>
        </is>
      </c>
    </row>
    <row r="142">
      <c r="A142" s="2">
        <f>RANK(J142,$J$2:$J$489)</f>
        <v/>
      </c>
      <c r="B142" s="3" t="inlineStr">
        <is>
          <t>印刷・レイアウト・図枠</t>
        </is>
      </c>
      <c r="C142" s="3" t="inlineStr">
        <is>
          <t>-</t>
        </is>
      </c>
      <c r="D142" s="4" t="inlineStr">
        <is>
          <t>LayoutTool</t>
        </is>
      </c>
      <c r="E142" s="4" t="inlineStr">
        <is>
          <t>レイアウトの一覧ナビと説明の付与</t>
        </is>
      </c>
      <c r="F142" s="2" t="n">
        <v>12</v>
      </c>
      <c r="G142" s="2" t="n">
        <v>11</v>
      </c>
      <c r="H142" s="2" t="n">
        <v>10</v>
      </c>
      <c r="I142" s="2" t="n">
        <v>13</v>
      </c>
      <c r="J142" s="5">
        <f>SUM(F142:I142)</f>
        <v/>
      </c>
      <c r="K142" s="4" t="inlineStr">
        <is>
          <t>レイアウト説明ナビ</t>
        </is>
      </c>
      <c r="L142" s="3" t="inlineStr">
        <is>
          <t>Jörn Bosse</t>
        </is>
      </c>
      <c r="M142" s="3" t="inlineStr">
        <is>
          <t>Bosse Engineering (AutoCAD Magazin)</t>
        </is>
      </c>
      <c r="N142" s="6" t="inlineStr">
        <is>
          <t>開く</t>
        </is>
      </c>
    </row>
    <row r="143">
      <c r="A143" s="2">
        <f>RANK(J143,$J$2:$J$489)</f>
        <v/>
      </c>
      <c r="B143" s="3" t="inlineStr">
        <is>
          <t>引出線・注記</t>
        </is>
      </c>
      <c r="C143" s="3" t="inlineStr">
        <is>
          <t>mfrot</t>
        </is>
      </c>
      <c r="D143" s="4" t="inlineStr">
        <is>
          <t>MFuehrRotate</t>
        </is>
      </c>
      <c r="E143" s="4" t="inlineStr">
        <is>
          <t>マルチ引出線を2方向指定で一括回転</t>
        </is>
      </c>
      <c r="F143" s="2" t="n">
        <v>14</v>
      </c>
      <c r="G143" s="2" t="n">
        <v>11</v>
      </c>
      <c r="H143" s="2" t="n">
        <v>10</v>
      </c>
      <c r="I143" s="2" t="n">
        <v>11</v>
      </c>
      <c r="J143" s="5">
        <f>SUM(F143:I143)</f>
        <v/>
      </c>
      <c r="K143" s="4" t="inlineStr">
        <is>
          <t>MLEADER一括回転</t>
        </is>
      </c>
      <c r="L143" s="3" t="inlineStr">
        <is>
          <t>Jörn Bosse</t>
        </is>
      </c>
      <c r="M143" s="3" t="inlineStr">
        <is>
          <t>Bosse Engineering</t>
        </is>
      </c>
      <c r="N143" s="6" t="inlineStr">
        <is>
          <t>開く</t>
        </is>
      </c>
    </row>
    <row r="144">
      <c r="A144" s="2">
        <f>RANK(J144,$J$2:$J$489)</f>
        <v/>
      </c>
      <c r="B144" s="3" t="inlineStr">
        <is>
          <t>構造・鉄骨・機械</t>
        </is>
      </c>
      <c r="C144" s="3" t="inlineStr">
        <is>
          <t>-</t>
        </is>
      </c>
      <c r="D144" s="4" t="inlineStr">
        <is>
          <t>MPRTOOLS</t>
        </is>
      </c>
      <c r="E144" s="4" t="inlineStr">
        <is>
          <t>家具用NC(Homag WoodWOP)のMPRファイルを出力（有料）</t>
        </is>
      </c>
      <c r="F144" s="2" t="n">
        <v>19</v>
      </c>
      <c r="G144" s="2" t="n">
        <v>12</v>
      </c>
      <c r="H144" s="2" t="n">
        <v>12</v>
      </c>
      <c r="I144" s="2" t="n">
        <v>3</v>
      </c>
      <c r="J144" s="5">
        <f>SUM(F144:I144)</f>
        <v/>
      </c>
      <c r="K144" s="4" t="inlineStr">
        <is>
          <t>木工NC出力（有料）</t>
        </is>
      </c>
      <c r="L144" s="3" t="inlineStr">
        <is>
          <t>Uwe Hübner</t>
        </is>
      </c>
      <c r="M144" s="3" t="inlineStr">
        <is>
          <t>CAD-Huebner</t>
        </is>
      </c>
      <c r="N144" s="6" t="inlineStr">
        <is>
          <t>開く</t>
        </is>
      </c>
    </row>
    <row r="145">
      <c r="A145" s="2">
        <f>RANK(J145,$J$2:$J$489)</f>
        <v/>
      </c>
      <c r="B145" s="3" t="inlineStr">
        <is>
          <t>3D</t>
        </is>
      </c>
      <c r="C145" s="3" t="inlineStr">
        <is>
          <t>-</t>
        </is>
      </c>
      <c r="D145" s="4" t="inlineStr">
        <is>
          <t>Plaetten / Z20 / Smash / Zbasis</t>
        </is>
      </c>
      <c r="E145" s="4" t="inlineStr">
        <is>
          <t>ブロック内含めほぼ全図形のZを0に平坦化</t>
        </is>
      </c>
      <c r="F145" s="2" t="n">
        <v>11</v>
      </c>
      <c r="G145" s="2" t="n">
        <v>8</v>
      </c>
      <c r="H145" s="2" t="n">
        <v>13</v>
      </c>
      <c r="I145" s="2" t="n">
        <v>14</v>
      </c>
      <c r="J145" s="5">
        <f>SUM(F145:I145)</f>
        <v/>
      </c>
      <c r="K145" s="4" t="inlineStr">
        <is>
          <t>標準FLATTENに近い</t>
        </is>
      </c>
      <c r="L145" s="3" t="inlineStr">
        <is>
          <t>CADwiesel</t>
        </is>
      </c>
      <c r="M145" s="3" t="inlineStr">
        <is>
          <t>CADwiesel</t>
        </is>
      </c>
      <c r="N145" s="6" t="inlineStr">
        <is>
          <t>開く</t>
        </is>
      </c>
    </row>
    <row r="146">
      <c r="A146" s="2">
        <f>RANK(J146,$J$2:$J$489)</f>
        <v/>
      </c>
      <c r="B146" s="3" t="inlineStr">
        <is>
          <t>ブロック・属性</t>
        </is>
      </c>
      <c r="C146" s="3" t="inlineStr">
        <is>
          <t>ret</t>
        </is>
      </c>
      <c r="D146" s="4" t="inlineStr">
        <is>
          <t>RET</t>
        </is>
      </c>
      <c r="E146" s="4" t="inlineStr">
        <is>
          <t>ブロックの属性タグ名を変更</t>
        </is>
      </c>
      <c r="F146" s="2" t="n">
        <v>15</v>
      </c>
      <c r="G146" s="2" t="n">
        <v>10</v>
      </c>
      <c r="H146" s="2" t="n">
        <v>9</v>
      </c>
      <c r="I146" s="2" t="n">
        <v>12</v>
      </c>
      <c r="J146" s="5">
        <f>SUM(F146:I146)</f>
        <v/>
      </c>
      <c r="K146" s="4" t="inlineStr">
        <is>
          <t>属性タグ名変更</t>
        </is>
      </c>
      <c r="L146" s="3" t="inlineStr">
        <is>
          <t>Patrick_35</t>
        </is>
      </c>
      <c r="M146" s="3" t="inlineStr">
        <is>
          <t>CADxp (Patrick_35)</t>
        </is>
      </c>
      <c r="N146" s="6" t="inlineStr">
        <is>
          <t>開く</t>
        </is>
      </c>
    </row>
    <row r="147">
      <c r="A147" s="2">
        <f>RANK(J147,$J$2:$J$489)</f>
        <v/>
      </c>
      <c r="B147" s="3" t="inlineStr">
        <is>
          <t>画層</t>
        </is>
      </c>
      <c r="C147" s="3" t="inlineStr">
        <is>
          <t>div</t>
        </is>
      </c>
      <c r="D147" s="4" t="inlineStr">
        <is>
          <t>Salva ogni layer in un DWG</t>
        </is>
      </c>
      <c r="E147" s="4" t="inlineStr">
        <is>
          <t>各画層を個別DWGに保存</t>
        </is>
      </c>
      <c r="F147" s="2" t="n">
        <v>15</v>
      </c>
      <c r="G147" s="2" t="n">
        <v>11</v>
      </c>
      <c r="H147" s="2" t="n">
        <v>9</v>
      </c>
      <c r="I147" s="2" t="n">
        <v>11</v>
      </c>
      <c r="J147" s="5">
        <f>SUM(F147:I147)</f>
        <v/>
      </c>
      <c r="K147" s="4" t="inlineStr">
        <is>
          <t>画層別DWG保存</t>
        </is>
      </c>
      <c r="L147" s="3" t="inlineStr">
        <is>
          <t>EmiCAD</t>
        </is>
      </c>
      <c r="M147" s="3" t="inlineStr">
        <is>
          <t>EmiLISP Free (emicad.it)</t>
        </is>
      </c>
      <c r="N147" s="6" t="inlineStr">
        <is>
          <t>開く</t>
        </is>
      </c>
    </row>
    <row r="148">
      <c r="A148" s="2">
        <f>RANK(J148,$J$2:$J$489)</f>
        <v/>
      </c>
      <c r="B148" s="3" t="inlineStr">
        <is>
          <t>作図</t>
        </is>
      </c>
      <c r="C148" s="3" t="inlineStr">
        <is>
          <t>Sca2</t>
        </is>
      </c>
      <c r="D148" s="4" t="inlineStr">
        <is>
          <t>SCA2</t>
        </is>
      </c>
      <c r="E148" s="4" t="inlineStr">
        <is>
          <t>複数図形を各自の挿入点/中心で尺度変更</t>
        </is>
      </c>
      <c r="F148" s="2" t="n">
        <v>12</v>
      </c>
      <c r="G148" s="2" t="n">
        <v>8</v>
      </c>
      <c r="H148" s="2" t="n">
        <v>12</v>
      </c>
      <c r="I148" s="2" t="n">
        <v>14</v>
      </c>
      <c r="J148" s="5">
        <f>SUM(F148:I148)</f>
        <v/>
      </c>
      <c r="K148" s="4" t="inlineStr">
        <is>
          <t>個別基点尺度</t>
        </is>
      </c>
      <c r="L148" s="3" t="inlineStr">
        <is>
          <t>EmiCAD</t>
        </is>
      </c>
      <c r="M148" s="3" t="inlineStr">
        <is>
          <t>EmiLISP Free (emicad.it)</t>
        </is>
      </c>
      <c r="N148" s="6" t="inlineStr">
        <is>
          <t>開く</t>
        </is>
      </c>
    </row>
    <row r="149">
      <c r="A149" s="2">
        <f>RANK(J149,$J$2:$J$489)</f>
        <v/>
      </c>
      <c r="B149" s="3" t="inlineStr">
        <is>
          <t>ハッチ・面積・長さ集計</t>
        </is>
      </c>
      <c r="C149" s="3" t="inlineStr">
        <is>
          <t>txtarea</t>
        </is>
      </c>
      <c r="D149" s="4" t="inlineStr">
        <is>
          <t>Scrivi superficie</t>
        </is>
      </c>
      <c r="E149" s="4" t="inlineStr">
        <is>
          <t>閉図形の面積をパラメトリック文字で記入</t>
        </is>
      </c>
      <c r="F149" s="2" t="n">
        <v>11</v>
      </c>
      <c r="G149" s="2" t="n">
        <v>9</v>
      </c>
      <c r="H149" s="2" t="n">
        <v>14</v>
      </c>
      <c r="I149" s="2" t="n">
        <v>12</v>
      </c>
      <c r="J149" s="5">
        <f>SUM(F149:I149)</f>
        <v/>
      </c>
      <c r="K149" s="4" t="inlineStr">
        <is>
          <t>面積フィールド記入</t>
        </is>
      </c>
      <c r="L149" s="3" t="inlineStr">
        <is>
          <t>EmiCAD</t>
        </is>
      </c>
      <c r="M149" s="3" t="inlineStr">
        <is>
          <t>EmiLISP Free (emicad.it)</t>
        </is>
      </c>
      <c r="N149" s="6" t="inlineStr">
        <is>
          <t>開く</t>
        </is>
      </c>
    </row>
    <row r="150">
      <c r="A150" s="2">
        <f>RANK(J150,$J$2:$J$489)</f>
        <v/>
      </c>
      <c r="B150" s="3" t="inlineStr">
        <is>
          <t>設定・環境</t>
        </is>
      </c>
      <c r="C150" s="3" t="inlineStr">
        <is>
          <t>-</t>
        </is>
      </c>
      <c r="D150" s="4" t="inlineStr">
        <is>
          <t>Setvar z pliku (svar)</t>
        </is>
      </c>
      <c r="E150" s="4" t="inlineStr">
        <is>
          <t>INIファイルからシステム変数を一括設定</t>
        </is>
      </c>
      <c r="F150" s="2" t="n">
        <v>14</v>
      </c>
      <c r="G150" s="2" t="n">
        <v>10</v>
      </c>
      <c r="H150" s="2" t="n">
        <v>10</v>
      </c>
      <c r="I150" s="2" t="n">
        <v>12</v>
      </c>
      <c r="J150" s="5">
        <f>SUM(F150:I150)</f>
        <v/>
      </c>
      <c r="K150" s="4" t="inlineStr">
        <is>
          <t>INIで環境一括設定</t>
        </is>
      </c>
      <c r="L150" s="3" t="inlineStr">
        <is>
          <t>kojacek</t>
        </is>
      </c>
      <c r="M150" s="3" t="inlineStr">
        <is>
          <t>kojacek.wordpress.com</t>
        </is>
      </c>
      <c r="N150" s="6" t="inlineStr">
        <is>
          <t>開く</t>
        </is>
      </c>
    </row>
    <row r="151">
      <c r="A151" s="2">
        <f>RANK(J151,$J$2:$J$489)</f>
        <v/>
      </c>
      <c r="B151" s="3" t="inlineStr">
        <is>
          <t>ブロック・属性</t>
        </is>
      </c>
      <c r="C151" s="3" t="inlineStr">
        <is>
          <t>syn</t>
        </is>
      </c>
      <c r="D151" s="4" t="inlineStr">
        <is>
          <t>SYN</t>
        </is>
      </c>
      <c r="E151" s="4" t="inlineStr">
        <is>
          <t>値・位置・角度を保持して属性同期</t>
        </is>
      </c>
      <c r="F151" s="2" t="n">
        <v>11</v>
      </c>
      <c r="G151" s="2" t="n">
        <v>10</v>
      </c>
      <c r="H151" s="2" t="n">
        <v>12</v>
      </c>
      <c r="I151" s="2" t="n">
        <v>13</v>
      </c>
      <c r="J151" s="5">
        <f>SUM(F151:I151)</f>
        <v/>
      </c>
      <c r="K151" s="4" t="inlineStr">
        <is>
          <t>ATTSYNCの改良</t>
        </is>
      </c>
      <c r="L151" s="3" t="inlineStr">
        <is>
          <t>Patrick_35</t>
        </is>
      </c>
      <c r="M151" s="3" t="inlineStr">
        <is>
          <t>CADxp (Patrick_35)</t>
        </is>
      </c>
      <c r="N151" s="6" t="inlineStr">
        <is>
          <t>開く</t>
        </is>
      </c>
    </row>
    <row r="152">
      <c r="A152" s="2">
        <f>RANK(J152,$J$2:$J$489)</f>
        <v/>
      </c>
      <c r="B152" s="3" t="inlineStr">
        <is>
          <t>ハッチ・面積・長さ集計</t>
        </is>
      </c>
      <c r="C152" s="3" t="inlineStr">
        <is>
          <t>-</t>
        </is>
      </c>
      <c r="D152" s="4" t="inlineStr">
        <is>
          <t>Alan ve Çevre Yazan Lisp</t>
        </is>
      </c>
      <c r="E152" s="4" t="inlineStr">
        <is>
          <t>面積・周長を図形中心に記入</t>
        </is>
      </c>
      <c r="F152" s="2" t="n">
        <v>11</v>
      </c>
      <c r="G152" s="2" t="n">
        <v>9</v>
      </c>
      <c r="H152" s="2" t="n">
        <v>14</v>
      </c>
      <c r="I152" s="2" t="n">
        <v>11</v>
      </c>
      <c r="J152" s="5">
        <f>SUM(F152:I152)</f>
        <v/>
      </c>
      <c r="K152" s="4" t="inlineStr">
        <is>
          <t>面積周長記入</t>
        </is>
      </c>
      <c r="L152" s="3" t="inlineStr">
        <is>
          <t>çizim okulu</t>
        </is>
      </c>
      <c r="M152" s="3" t="inlineStr">
        <is>
          <t>Çizim Okulu</t>
        </is>
      </c>
      <c r="N152" s="6" t="inlineStr">
        <is>
          <t>開く</t>
        </is>
      </c>
    </row>
    <row r="153">
      <c r="A153" s="2">
        <f>RANK(J153,$J$2:$J$489)</f>
        <v/>
      </c>
      <c r="B153" s="3" t="inlineStr">
        <is>
          <t>ブロック・属性</t>
        </is>
      </c>
      <c r="C153" s="3" t="inlineStr">
        <is>
          <t>bhl</t>
        </is>
      </c>
      <c r="D153" s="4" t="inlineStr">
        <is>
          <t>BildHyperLink</t>
        </is>
      </c>
      <c r="E153" s="4" t="inlineStr">
        <is>
          <t>ブロックのハイパーリンク先の写真を即表示</t>
        </is>
      </c>
      <c r="F153" s="2" t="n">
        <v>16</v>
      </c>
      <c r="G153" s="2" t="n">
        <v>13</v>
      </c>
      <c r="H153" s="2" t="n">
        <v>8</v>
      </c>
      <c r="I153" s="2" t="n">
        <v>8</v>
      </c>
      <c r="J153" s="5">
        <f>SUM(F153:I153)</f>
        <v/>
      </c>
      <c r="K153" s="4" t="inlineStr">
        <is>
          <t>写真リンク即表示</t>
        </is>
      </c>
      <c r="L153" s="3" t="inlineStr">
        <is>
          <t>Jörn Bosse</t>
        </is>
      </c>
      <c r="M153" s="3" t="inlineStr">
        <is>
          <t>Bosse Engineering</t>
        </is>
      </c>
      <c r="N153" s="6" t="inlineStr">
        <is>
          <t>開く</t>
        </is>
      </c>
    </row>
    <row r="154">
      <c r="A154" s="2">
        <f>RANK(J154,$J$2:$J$489)</f>
        <v/>
      </c>
      <c r="B154" s="3" t="inlineStr">
        <is>
          <t>設備</t>
        </is>
      </c>
      <c r="C154" s="3" t="inlineStr">
        <is>
          <t>-</t>
        </is>
      </c>
      <c r="D154" s="4" t="inlineStr">
        <is>
          <t>Boru Metrajı</t>
        </is>
      </c>
      <c r="E154" s="4" t="inlineStr">
        <is>
          <t>配管数量を集計</t>
        </is>
      </c>
      <c r="F154" s="2" t="n">
        <v>15</v>
      </c>
      <c r="G154" s="2" t="n">
        <v>11</v>
      </c>
      <c r="H154" s="2" t="n">
        <v>13</v>
      </c>
      <c r="I154" s="2" t="n">
        <v>6</v>
      </c>
      <c r="J154" s="5">
        <f>SUM(F154:I154)</f>
        <v/>
      </c>
      <c r="K154" s="4" t="inlineStr">
        <is>
          <t>配管数量拾い</t>
        </is>
      </c>
      <c r="L154" s="3" t="inlineStr">
        <is>
          <t>çizim okulu</t>
        </is>
      </c>
      <c r="M154" s="3" t="inlineStr">
        <is>
          <t>Çizim Okulu</t>
        </is>
      </c>
      <c r="N154" s="6" t="inlineStr">
        <is>
          <t>開く</t>
        </is>
      </c>
    </row>
    <row r="155">
      <c r="A155" s="2">
        <f>RANK(J155,$J$2:$J$489)</f>
        <v/>
      </c>
      <c r="B155" s="3" t="inlineStr">
        <is>
          <t>画層</t>
        </is>
      </c>
      <c r="C155" s="3" t="inlineStr">
        <is>
          <t>-</t>
        </is>
      </c>
      <c r="D155" s="4" t="inlineStr">
        <is>
          <t>Del_Lay_Frz_Off</t>
        </is>
      </c>
      <c r="E155" s="4" t="inlineStr">
        <is>
          <t>凍結/非表示画層を図形ごと削除</t>
        </is>
      </c>
      <c r="F155" s="2" t="n">
        <v>14</v>
      </c>
      <c r="G155" s="2" t="n">
        <v>9</v>
      </c>
      <c r="H155" s="2" t="n">
        <v>10</v>
      </c>
      <c r="I155" s="2" t="n">
        <v>12</v>
      </c>
      <c r="J155" s="5">
        <f>SUM(F155:I155)</f>
        <v/>
      </c>
      <c r="K155" s="4" t="inlineStr">
        <is>
          <t>不要画層を図形ごと削除</t>
        </is>
      </c>
      <c r="L155" s="3" t="inlineStr">
        <is>
          <t>CADwiesel</t>
        </is>
      </c>
      <c r="M155" s="3" t="inlineStr">
        <is>
          <t>CADwiesel</t>
        </is>
      </c>
      <c r="N155" s="6" t="inlineStr">
        <is>
          <t>開く</t>
        </is>
      </c>
    </row>
    <row r="156">
      <c r="A156" s="2">
        <f>RANK(J156,$J$2:$J$489)</f>
        <v/>
      </c>
      <c r="B156" s="3" t="inlineStr">
        <is>
          <t>寸法</t>
        </is>
      </c>
      <c r="C156" s="3" t="inlineStr">
        <is>
          <t>-</t>
        </is>
      </c>
      <c r="D156" s="4" t="inlineStr">
        <is>
          <t>DimMirror</t>
        </is>
      </c>
      <c r="E156" s="4" t="inlineStr">
        <is>
          <t>3Dモデルの寸法を丸ごとミラー</t>
        </is>
      </c>
      <c r="F156" s="2" t="n">
        <v>17</v>
      </c>
      <c r="G156" s="2" t="n">
        <v>13</v>
      </c>
      <c r="H156" s="2" t="n">
        <v>7</v>
      </c>
      <c r="I156" s="2" t="n">
        <v>8</v>
      </c>
      <c r="J156" s="5">
        <f>SUM(F156:I156)</f>
        <v/>
      </c>
      <c r="K156" s="4" t="inlineStr">
        <is>
          <t>3D寸法ミラー</t>
        </is>
      </c>
      <c r="L156" s="3" t="inlineStr">
        <is>
          <t>Jörn Bosse</t>
        </is>
      </c>
      <c r="M156" s="3" t="inlineStr">
        <is>
          <t>Bosse Engineering</t>
        </is>
      </c>
      <c r="N156" s="6" t="inlineStr">
        <is>
          <t>開く</t>
        </is>
      </c>
    </row>
    <row r="157">
      <c r="A157" s="2">
        <f>RANK(J157,$J$2:$J$489)</f>
        <v/>
      </c>
      <c r="B157" s="3" t="inlineStr">
        <is>
          <t>表・Excel連携</t>
        </is>
      </c>
      <c r="C157" s="3" t="inlineStr">
        <is>
          <t>-</t>
        </is>
      </c>
      <c r="D157" s="4" t="inlineStr">
        <is>
          <t>Excele Tablo Aktaran Lisp</t>
        </is>
      </c>
      <c r="E157" s="4" t="inlineStr">
        <is>
          <t>図面の表データをExcelへ転送</t>
        </is>
      </c>
      <c r="F157" s="2" t="n">
        <v>12</v>
      </c>
      <c r="G157" s="2" t="n">
        <v>9</v>
      </c>
      <c r="H157" s="2" t="n">
        <v>12</v>
      </c>
      <c r="I157" s="2" t="n">
        <v>12</v>
      </c>
      <c r="J157" s="5">
        <f>SUM(F157:I157)</f>
        <v/>
      </c>
      <c r="K157" s="4" t="inlineStr">
        <is>
          <t>表をExcelへ</t>
        </is>
      </c>
      <c r="L157" s="3" t="inlineStr">
        <is>
          <t>çizim okulu</t>
        </is>
      </c>
      <c r="M157" s="3" t="inlineStr">
        <is>
          <t>Çizim Okulu</t>
        </is>
      </c>
      <c r="N157" s="6" t="inlineStr">
        <is>
          <t>開く</t>
        </is>
      </c>
    </row>
    <row r="158">
      <c r="A158" s="2">
        <f>RANK(J158,$J$2:$J$489)</f>
        <v/>
      </c>
      <c r="B158" s="3" t="inlineStr">
        <is>
          <t>座標・測量・土木</t>
        </is>
      </c>
      <c r="C158" s="3" t="inlineStr">
        <is>
          <t>-</t>
        </is>
      </c>
      <c r="D158" s="4" t="inlineStr">
        <is>
          <t>GML Parcela-Edificio-Piscina</t>
        </is>
      </c>
      <c r="E158" s="4" t="inlineStr">
        <is>
          <t>スペイン地籍用GML（敷地・建物・プール）を作成（有料）</t>
        </is>
      </c>
      <c r="F158" s="2" t="n">
        <v>18</v>
      </c>
      <c r="G158" s="2" t="n">
        <v>11</v>
      </c>
      <c r="H158" s="2" t="n">
        <v>13</v>
      </c>
      <c r="I158" s="2" t="n">
        <v>3</v>
      </c>
      <c r="J158" s="5">
        <f>SUM(F158:I158)</f>
        <v/>
      </c>
      <c r="K158" s="4" t="inlineStr">
        <is>
          <t>西地籍GML（有料）</t>
        </is>
      </c>
      <c r="L158" s="3" t="inlineStr">
        <is>
          <t>Andrés S. del Toro</t>
        </is>
      </c>
      <c r="M158" s="3" t="inlineStr">
        <is>
          <t>andresdeltoro.es</t>
        </is>
      </c>
      <c r="N158" s="6" t="inlineStr">
        <is>
          <t>開く</t>
        </is>
      </c>
    </row>
    <row r="159">
      <c r="A159" s="2">
        <f>RANK(J159,$J$2:$J$489)</f>
        <v/>
      </c>
      <c r="B159" s="3" t="inlineStr">
        <is>
          <t>設備</t>
        </is>
      </c>
      <c r="C159" s="3" t="inlineStr">
        <is>
          <t>-</t>
        </is>
      </c>
      <c r="D159" s="4" t="inlineStr">
        <is>
          <t>Hava Kanalı Metraj</t>
        </is>
      </c>
      <c r="E159" s="4" t="inlineStr">
        <is>
          <t>ダクト数量を集計</t>
        </is>
      </c>
      <c r="F159" s="2" t="n">
        <v>15</v>
      </c>
      <c r="G159" s="2" t="n">
        <v>11</v>
      </c>
      <c r="H159" s="2" t="n">
        <v>13</v>
      </c>
      <c r="I159" s="2" t="n">
        <v>6</v>
      </c>
      <c r="J159" s="5">
        <f>SUM(F159:I159)</f>
        <v/>
      </c>
      <c r="K159" s="4" t="inlineStr">
        <is>
          <t>ダクト数量拾い</t>
        </is>
      </c>
      <c r="L159" s="3" t="inlineStr">
        <is>
          <t>çizim okulu</t>
        </is>
      </c>
      <c r="M159" s="3" t="inlineStr">
        <is>
          <t>Çizim Okulu</t>
        </is>
      </c>
      <c r="N159" s="6" t="inlineStr">
        <is>
          <t>開く</t>
        </is>
      </c>
    </row>
    <row r="160">
      <c r="A160" s="2">
        <f>RANK(J160,$J$2:$J$489)</f>
        <v/>
      </c>
      <c r="B160" s="3" t="inlineStr">
        <is>
          <t>座標・測量・土木</t>
        </is>
      </c>
      <c r="C160" s="3" t="inlineStr">
        <is>
          <t>-</t>
        </is>
      </c>
      <c r="D160" s="4" t="inlineStr">
        <is>
          <t>Insertar imagen WMS</t>
        </is>
      </c>
      <c r="E160" s="4" t="inlineStr">
        <is>
          <t>WMS地図画像を座標位置に挿入（有料）</t>
        </is>
      </c>
      <c r="F160" s="2" t="n">
        <v>17</v>
      </c>
      <c r="G160" s="2" t="n">
        <v>12</v>
      </c>
      <c r="H160" s="2" t="n">
        <v>10</v>
      </c>
      <c r="I160" s="2" t="n">
        <v>6</v>
      </c>
      <c r="J160" s="5">
        <f>SUM(F160:I160)</f>
        <v/>
      </c>
      <c r="K160" s="4" t="inlineStr">
        <is>
          <t>WMS画像挿入（有料）</t>
        </is>
      </c>
      <c r="L160" s="3" t="inlineStr">
        <is>
          <t>Andrés S. del Toro</t>
        </is>
      </c>
      <c r="M160" s="3" t="inlineStr">
        <is>
          <t>andresdeltoro.es</t>
        </is>
      </c>
      <c r="N160" s="6" t="inlineStr">
        <is>
          <t>開く</t>
        </is>
      </c>
    </row>
    <row r="161">
      <c r="A161" s="2">
        <f>RANK(J161,$J$2:$J$489)</f>
        <v/>
      </c>
      <c r="B161" s="3" t="inlineStr">
        <is>
          <t>画層</t>
        </is>
      </c>
      <c r="C161" s="3" t="inlineStr">
        <is>
          <t>-</t>
        </is>
      </c>
      <c r="D161" s="4" t="inlineStr">
        <is>
          <t>LayerList</t>
        </is>
      </c>
      <c r="E161" s="4" t="inlineStr">
        <is>
          <t>画層の色・線太さ・線種一覧をExcelへ出力</t>
        </is>
      </c>
      <c r="F161" s="2" t="n">
        <v>14</v>
      </c>
      <c r="G161" s="2" t="n">
        <v>9</v>
      </c>
      <c r="H161" s="2" t="n">
        <v>9</v>
      </c>
      <c r="I161" s="2" t="n">
        <v>13</v>
      </c>
      <c r="J161" s="5">
        <f>SUM(F161:I161)</f>
        <v/>
      </c>
      <c r="K161" s="4" t="inlineStr">
        <is>
          <t>画層一覧をExcel化</t>
        </is>
      </c>
      <c r="L161" s="3" t="inlineStr">
        <is>
          <t>Jörn Bosse</t>
        </is>
      </c>
      <c r="M161" s="3" t="inlineStr">
        <is>
          <t>Bosse Engineering</t>
        </is>
      </c>
      <c r="N161" s="6" t="inlineStr">
        <is>
          <t>開く</t>
        </is>
      </c>
    </row>
    <row r="162">
      <c r="A162" s="2">
        <f>RANK(J162,$J$2:$J$489)</f>
        <v/>
      </c>
      <c r="B162" s="3" t="inlineStr">
        <is>
          <t>外部参照・図面管理・一括処理</t>
        </is>
      </c>
      <c r="C162" s="3" t="inlineStr">
        <is>
          <t>-</t>
        </is>
      </c>
      <c r="D162" s="4" t="inlineStr">
        <is>
          <t>minsert</t>
        </is>
      </c>
      <c r="E162" s="4" t="inlineStr">
        <is>
          <t>複数DWGファイルを一度に現図面へ挿入</t>
        </is>
      </c>
      <c r="F162" s="2" t="n">
        <v>13</v>
      </c>
      <c r="G162" s="2" t="n">
        <v>9</v>
      </c>
      <c r="H162" s="2" t="n">
        <v>11</v>
      </c>
      <c r="I162" s="2" t="n">
        <v>12</v>
      </c>
      <c r="J162" s="5">
        <f>SUM(F162:I162)</f>
        <v/>
      </c>
      <c r="K162" s="4" t="inlineStr">
        <is>
          <t>複数DWG一括挿入</t>
        </is>
      </c>
      <c r="L162" s="3" t="inlineStr">
        <is>
          <t>CADwiesel</t>
        </is>
      </c>
      <c r="M162" s="3" t="inlineStr">
        <is>
          <t>CADwiesel</t>
        </is>
      </c>
      <c r="N162" s="6" t="inlineStr">
        <is>
          <t>開く</t>
        </is>
      </c>
    </row>
    <row r="163">
      <c r="A163" s="2">
        <f>RANK(J163,$J$2:$J$489)</f>
        <v/>
      </c>
      <c r="B163" s="3" t="inlineStr">
        <is>
          <t>作図</t>
        </is>
      </c>
      <c r="C163" s="3" t="inlineStr">
        <is>
          <t>MR3 / MS3</t>
        </is>
      </c>
      <c r="D163" s="4" t="inlineStr">
        <is>
          <t>Multi-Rotate3 / Multi-Scale3</t>
        </is>
      </c>
      <c r="E163" s="4" t="inlineStr">
        <is>
          <t>複数図形をそれぞれの基点で回転・尺度変更</t>
        </is>
      </c>
      <c r="F163" s="2" t="n">
        <v>11</v>
      </c>
      <c r="G163" s="2" t="n">
        <v>8</v>
      </c>
      <c r="H163" s="2" t="n">
        <v>12</v>
      </c>
      <c r="I163" s="2" t="n">
        <v>14</v>
      </c>
      <c r="J163" s="5">
        <f>SUM(F163:I163)</f>
        <v/>
      </c>
      <c r="K163" s="4" t="inlineStr">
        <is>
          <t>個別基点で回転尺度</t>
        </is>
      </c>
      <c r="L163" s="3" t="inlineStr">
        <is>
          <t>Christoph Spiegel</t>
        </is>
      </c>
      <c r="M163" s="3" t="inlineStr">
        <is>
          <t>CAD-Spiegel</t>
        </is>
      </c>
      <c r="N163" s="6" t="inlineStr">
        <is>
          <t>開く</t>
        </is>
      </c>
    </row>
    <row r="164">
      <c r="A164" s="2">
        <f>RANK(J164,$J$2:$J$489)</f>
        <v/>
      </c>
      <c r="B164" s="3" t="inlineStr">
        <is>
          <t>印刷・レイアウト・図枠</t>
        </is>
      </c>
      <c r="C164" s="3" t="inlineStr">
        <is>
          <t>ong</t>
        </is>
      </c>
      <c r="D164" s="4" t="inlineStr">
        <is>
          <t>ONG</t>
        </is>
      </c>
      <c r="E164" s="4" t="inlineStr">
        <is>
          <t>レイアウトタブの管理を使いやすいダイアログで</t>
        </is>
      </c>
      <c r="F164" s="2" t="n">
        <v>10</v>
      </c>
      <c r="G164" s="2" t="n">
        <v>9</v>
      </c>
      <c r="H164" s="2" t="n">
        <v>11</v>
      </c>
      <c r="I164" s="2" t="n">
        <v>15</v>
      </c>
      <c r="J164" s="5">
        <f>SUM(F164:I164)</f>
        <v/>
      </c>
      <c r="K164" s="4" t="inlineStr">
        <is>
          <t>レイアウト操作集約</t>
        </is>
      </c>
      <c r="L164" s="3" t="inlineStr">
        <is>
          <t>Patrick_35</t>
        </is>
      </c>
      <c r="M164" s="3" t="inlineStr">
        <is>
          <t>CADxp (Patrick_35)</t>
        </is>
      </c>
      <c r="N164" s="6" t="inlineStr">
        <is>
          <t>開く</t>
        </is>
      </c>
    </row>
    <row r="165">
      <c r="A165" s="2">
        <f>RANK(J165,$J$2:$J$489)</f>
        <v/>
      </c>
      <c r="B165" s="3" t="inlineStr">
        <is>
          <t>文字・テキスト</t>
        </is>
      </c>
      <c r="C165" s="3" t="inlineStr">
        <is>
          <t>-</t>
        </is>
      </c>
      <c r="D165" s="4" t="inlineStr">
        <is>
          <t>Optellen</t>
        </is>
      </c>
      <c r="E165" s="4" t="inlineStr">
        <is>
          <t>数値文字を指定値ずつ加算</t>
        </is>
      </c>
      <c r="F165" s="2" t="n">
        <v>12</v>
      </c>
      <c r="G165" s="2" t="n">
        <v>9</v>
      </c>
      <c r="H165" s="2" t="n">
        <v>11</v>
      </c>
      <c r="I165" s="2" t="n">
        <v>13</v>
      </c>
      <c r="J165" s="5">
        <f>SUM(F165:I165)</f>
        <v/>
      </c>
      <c r="K165" s="4" t="inlineStr">
        <is>
          <t>数値文字加算</t>
        </is>
      </c>
      <c r="L165" s="3" t="inlineStr">
        <is>
          <t>cadsite.be (Julien e.a.)</t>
        </is>
      </c>
      <c r="M165" s="3" t="inlineStr">
        <is>
          <t>juliens cadsite (BE)</t>
        </is>
      </c>
      <c r="N165" s="6" t="inlineStr">
        <is>
          <t>開く</t>
        </is>
      </c>
    </row>
    <row r="166">
      <c r="A166" s="2">
        <f>RANK(J166,$J$2:$J$489)</f>
        <v/>
      </c>
      <c r="B166" s="3" t="inlineStr">
        <is>
          <t>ブロック・属性</t>
        </is>
      </c>
      <c r="C166" s="3" t="inlineStr">
        <is>
          <t>-</t>
        </is>
      </c>
      <c r="D166" s="4" t="inlineStr">
        <is>
          <t>Pkt_blk</t>
        </is>
      </c>
      <c r="E166" s="4" t="inlineStr">
        <is>
          <t>点図形をブロックに置換</t>
        </is>
      </c>
      <c r="F166" s="2" t="n">
        <v>12</v>
      </c>
      <c r="G166" s="2" t="n">
        <v>9</v>
      </c>
      <c r="H166" s="2" t="n">
        <v>12</v>
      </c>
      <c r="I166" s="2" t="n">
        <v>12</v>
      </c>
      <c r="J166" s="5">
        <f>SUM(F166:I166)</f>
        <v/>
      </c>
      <c r="K166" s="4" t="inlineStr">
        <is>
          <t>点をブロックに置換</t>
        </is>
      </c>
      <c r="L166" s="3" t="inlineStr">
        <is>
          <t>CADwiesel</t>
        </is>
      </c>
      <c r="M166" s="3" t="inlineStr">
        <is>
          <t>CADwiesel</t>
        </is>
      </c>
      <c r="N166" s="6" t="inlineStr">
        <is>
          <t>開く</t>
        </is>
      </c>
    </row>
    <row r="167">
      <c r="A167" s="2">
        <f>RANK(J167,$J$2:$J$489)</f>
        <v/>
      </c>
      <c r="B167" s="3" t="inlineStr">
        <is>
          <t>ハッチ・面積・長さ集計</t>
        </is>
      </c>
      <c r="C167" s="3" t="inlineStr">
        <is>
          <t>-</t>
        </is>
      </c>
      <c r="D167" s="4" t="inlineStr">
        <is>
          <t>Pline alan (hakediş)</t>
        </is>
      </c>
      <c r="E167" s="4" t="inlineStr">
        <is>
          <t>ポリラインを閉じて全面積を算出（出来高用）</t>
        </is>
      </c>
      <c r="F167" s="2" t="n">
        <v>12</v>
      </c>
      <c r="G167" s="2" t="n">
        <v>9</v>
      </c>
      <c r="H167" s="2" t="n">
        <v>13</v>
      </c>
      <c r="I167" s="2" t="n">
        <v>11</v>
      </c>
      <c r="J167" s="5">
        <f>SUM(F167:I167)</f>
        <v/>
      </c>
      <c r="K167" s="4" t="inlineStr">
        <is>
          <t>出来高用面積算出</t>
        </is>
      </c>
      <c r="L167" s="3" t="inlineStr">
        <is>
          <t>freeMUST</t>
        </is>
      </c>
      <c r="M167" s="3" t="inlineStr">
        <is>
          <t>Çizim Okulu</t>
        </is>
      </c>
      <c r="N167" s="6" t="inlineStr">
        <is>
          <t>開く</t>
        </is>
      </c>
    </row>
    <row r="168">
      <c r="A168" s="2">
        <f>RANK(J168,$J$2:$J$489)</f>
        <v/>
      </c>
      <c r="B168" s="3" t="inlineStr">
        <is>
          <t>引出線・注記</t>
        </is>
      </c>
      <c r="C168" s="3" t="inlineStr">
        <is>
          <t>-</t>
        </is>
      </c>
      <c r="D168" s="4" t="inlineStr">
        <is>
          <t>Polyline üzerine uzunluk</t>
        </is>
      </c>
      <c r="E168" s="4" t="inlineStr">
        <is>
          <t>ポリライン上に長さを記入</t>
        </is>
      </c>
      <c r="F168" s="2" t="n">
        <v>12</v>
      </c>
      <c r="G168" s="2" t="n">
        <v>9</v>
      </c>
      <c r="H168" s="2" t="n">
        <v>12</v>
      </c>
      <c r="I168" s="2" t="n">
        <v>12</v>
      </c>
      <c r="J168" s="5">
        <f>SUM(F168:I168)</f>
        <v/>
      </c>
      <c r="K168" s="4" t="inlineStr">
        <is>
          <t>ポリ長さ記入</t>
        </is>
      </c>
      <c r="L168" s="3" t="inlineStr">
        <is>
          <t>çizim okulu</t>
        </is>
      </c>
      <c r="M168" s="3" t="inlineStr">
        <is>
          <t>Çizim Okulu</t>
        </is>
      </c>
      <c r="N168" s="6" t="inlineStr">
        <is>
          <t>開く</t>
        </is>
      </c>
    </row>
    <row r="169">
      <c r="A169" s="2">
        <f>RANK(J169,$J$2:$J$489)</f>
        <v/>
      </c>
      <c r="B169" s="3" t="inlineStr">
        <is>
          <t>構造・鉄骨・機械</t>
        </is>
      </c>
      <c r="C169" s="3" t="inlineStr">
        <is>
          <t>-</t>
        </is>
      </c>
      <c r="D169" s="4" t="inlineStr">
        <is>
          <t>Siatka konstrukcji</t>
        </is>
      </c>
      <c r="E169" s="4" t="inlineStr">
        <is>
          <t>構造通り芯グリッドを作成</t>
        </is>
      </c>
      <c r="F169" s="2" t="n">
        <v>14</v>
      </c>
      <c r="G169" s="2" t="n">
        <v>10</v>
      </c>
      <c r="H169" s="2" t="n">
        <v>11</v>
      </c>
      <c r="I169" s="2" t="n">
        <v>10</v>
      </c>
      <c r="J169" s="5">
        <f>SUM(F169:I169)</f>
        <v/>
      </c>
      <c r="K169" s="4" t="inlineStr">
        <is>
          <t>通り芯グリッド作成</t>
        </is>
      </c>
      <c r="L169" s="3" t="inlineStr">
        <is>
          <t>kojacek</t>
        </is>
      </c>
      <c r="M169" s="3" t="inlineStr">
        <is>
          <t>kojacek.wordpress.com</t>
        </is>
      </c>
      <c r="N169" s="6" t="inlineStr">
        <is>
          <t>開く</t>
        </is>
      </c>
    </row>
    <row r="170">
      <c r="A170" s="2">
        <f>RANK(J170,$J$2:$J$489)</f>
        <v/>
      </c>
      <c r="B170" s="3" t="inlineStr">
        <is>
          <t>選択・絞り込み</t>
        </is>
      </c>
      <c r="C170" s="3" t="inlineStr">
        <is>
          <t>-</t>
        </is>
      </c>
      <c r="D170" s="4" t="inlineStr">
        <is>
          <t>Smart eraser</t>
        </is>
      </c>
      <c r="E170" s="4" t="inlineStr">
        <is>
          <t>画層・種類で絞込んだ図形のみ削除</t>
        </is>
      </c>
      <c r="F170" s="2" t="n">
        <v>11</v>
      </c>
      <c r="G170" s="2" t="n">
        <v>10</v>
      </c>
      <c r="H170" s="2" t="n">
        <v>10</v>
      </c>
      <c r="I170" s="2" t="n">
        <v>14</v>
      </c>
      <c r="J170" s="5">
        <f>SUM(F170:I170)</f>
        <v/>
      </c>
      <c r="K170" s="4" t="inlineStr">
        <is>
          <t>絞込み削除</t>
        </is>
      </c>
      <c r="L170" s="3" t="inlineStr">
        <is>
          <t>kojacek</t>
        </is>
      </c>
      <c r="M170" s="3" t="inlineStr">
        <is>
          <t>kojacek.wordpress.com</t>
        </is>
      </c>
      <c r="N170" s="6" t="inlineStr">
        <is>
          <t>開く</t>
        </is>
      </c>
    </row>
    <row r="171">
      <c r="A171" s="2">
        <f>RANK(J171,$J$2:$J$489)</f>
        <v/>
      </c>
      <c r="B171" s="3" t="inlineStr">
        <is>
          <t>寸法</t>
        </is>
      </c>
      <c r="C171" s="3" t="inlineStr">
        <is>
          <t>-</t>
        </is>
      </c>
      <c r="D171" s="4" t="inlineStr">
        <is>
          <t>Suma wymiarów</t>
        </is>
      </c>
      <c r="E171" s="4" t="inlineStr">
        <is>
          <t>選択寸法の値を合計</t>
        </is>
      </c>
      <c r="F171" s="2" t="n">
        <v>13</v>
      </c>
      <c r="G171" s="2" t="n">
        <v>10</v>
      </c>
      <c r="H171" s="2" t="n">
        <v>10</v>
      </c>
      <c r="I171" s="2" t="n">
        <v>12</v>
      </c>
      <c r="J171" s="5">
        <f>SUM(F171:I171)</f>
        <v/>
      </c>
      <c r="K171" s="4" t="inlineStr">
        <is>
          <t>寸法値合計</t>
        </is>
      </c>
      <c r="L171" s="3" t="inlineStr">
        <is>
          <t>kojacek</t>
        </is>
      </c>
      <c r="M171" s="3" t="inlineStr">
        <is>
          <t>kojacek.wordpress.com</t>
        </is>
      </c>
      <c r="N171" s="6" t="inlineStr">
        <is>
          <t>開く</t>
        </is>
      </c>
    </row>
    <row r="172">
      <c r="A172" s="2">
        <f>RANK(J172,$J$2:$J$489)</f>
        <v/>
      </c>
      <c r="B172" s="3" t="inlineStr">
        <is>
          <t>外部参照・図面管理・一括処理</t>
        </is>
      </c>
      <c r="C172" s="3" t="inlineStr">
        <is>
          <t>-</t>
        </is>
      </c>
      <c r="D172" s="4" t="inlineStr">
        <is>
          <t>SW_NettoyerDXF</t>
        </is>
      </c>
      <c r="E172" s="4" t="inlineStr">
        <is>
          <t>SolidWorks出力DXFの不要要素を整理</t>
        </is>
      </c>
      <c r="F172" s="2" t="n">
        <v>15</v>
      </c>
      <c r="G172" s="2" t="n">
        <v>11</v>
      </c>
      <c r="H172" s="2" t="n">
        <v>11</v>
      </c>
      <c r="I172" s="2" t="n">
        <v>8</v>
      </c>
      <c r="J172" s="5">
        <f>SUM(F172:I172)</f>
        <v/>
      </c>
      <c r="K172" s="4" t="inlineStr">
        <is>
          <t>SolidWorks DXF整理</t>
        </is>
      </c>
      <c r="L172" s="3" t="inlineStr">
        <is>
          <t>chenhaibin (Pascal, gile ほか)</t>
        </is>
      </c>
      <c r="M172" s="3" t="inlineStr">
        <is>
          <t>GitHub: chenhaibin/Utilitaires_AutoLisp</t>
        </is>
      </c>
      <c r="N172" s="6" t="inlineStr">
        <is>
          <t>開く</t>
        </is>
      </c>
    </row>
    <row r="173">
      <c r="A173" s="2">
        <f>RANK(J173,$J$2:$J$489)</f>
        <v/>
      </c>
      <c r="B173" s="3" t="inlineStr">
        <is>
          <t>選択・絞り込み</t>
        </is>
      </c>
      <c r="C173" s="3" t="inlineStr">
        <is>
          <t>-</t>
        </is>
      </c>
      <c r="D173" s="4" t="inlineStr">
        <is>
          <t>Texte mit Wildcards suchen</t>
        </is>
      </c>
      <c r="E173" s="4" t="inlineStr">
        <is>
          <t>ワイルドカードで文字を検索し選択セット作成</t>
        </is>
      </c>
      <c r="F173" s="2" t="n">
        <v>13</v>
      </c>
      <c r="G173" s="2" t="n">
        <v>10</v>
      </c>
      <c r="H173" s="2" t="n">
        <v>9</v>
      </c>
      <c r="I173" s="2" t="n">
        <v>13</v>
      </c>
      <c r="J173" s="5">
        <f>SUM(F173:I173)</f>
        <v/>
      </c>
      <c r="K173" s="4" t="inlineStr">
        <is>
          <t>ワイルドカード文字選択</t>
        </is>
      </c>
      <c r="L173" s="3" t="inlineStr">
        <is>
          <t>Uwe Hübner</t>
        </is>
      </c>
      <c r="M173" s="3" t="inlineStr">
        <is>
          <t>CAD-Huebner</t>
        </is>
      </c>
      <c r="N173" s="6" t="inlineStr">
        <is>
          <t>開く</t>
        </is>
      </c>
    </row>
    <row r="174">
      <c r="A174" s="2">
        <f>RANK(J174,$J$2:$J$489)</f>
        <v/>
      </c>
      <c r="B174" s="3" t="inlineStr">
        <is>
          <t>線・ポリライン編集</t>
        </is>
      </c>
      <c r="C174" s="3" t="inlineStr">
        <is>
          <t>-</t>
        </is>
      </c>
      <c r="D174" s="4" t="inlineStr">
        <is>
          <t>Trim okręgiem</t>
        </is>
      </c>
      <c r="E174" s="4" t="inlineStr">
        <is>
          <t>円を描いて内側を一発トリム</t>
        </is>
      </c>
      <c r="F174" s="2" t="n">
        <v>13</v>
      </c>
      <c r="G174" s="2" t="n">
        <v>10</v>
      </c>
      <c r="H174" s="2" t="n">
        <v>10</v>
      </c>
      <c r="I174" s="2" t="n">
        <v>12</v>
      </c>
      <c r="J174" s="5">
        <f>SUM(F174:I174)</f>
        <v/>
      </c>
      <c r="K174" s="4" t="inlineStr">
        <is>
          <t>円で一発トリム</t>
        </is>
      </c>
      <c r="L174" s="3" t="inlineStr">
        <is>
          <t>kojacek</t>
        </is>
      </c>
      <c r="M174" s="3" t="inlineStr">
        <is>
          <t>kojacek.wordpress.com</t>
        </is>
      </c>
      <c r="N174" s="6" t="inlineStr">
        <is>
          <t>開く</t>
        </is>
      </c>
    </row>
    <row r="175">
      <c r="A175" s="2">
        <f>RANK(J175,$J$2:$J$489)</f>
        <v/>
      </c>
      <c r="B175" s="3" t="inlineStr">
        <is>
          <t>3D</t>
        </is>
      </c>
      <c r="C175" s="3" t="inlineStr">
        <is>
          <t>-</t>
        </is>
      </c>
      <c r="D175" s="4" t="inlineStr">
        <is>
          <t>UHFACE2SOLID</t>
        </is>
      </c>
      <c r="E175" s="4" t="inlineStr">
        <is>
          <t>3D面の地形モデルを基準面までのソリッドに変換</t>
        </is>
      </c>
      <c r="F175" s="2" t="n">
        <v>18</v>
      </c>
      <c r="G175" s="2" t="n">
        <v>14</v>
      </c>
      <c r="H175" s="2" t="n">
        <v>7</v>
      </c>
      <c r="I175" s="2" t="n">
        <v>6</v>
      </c>
      <c r="J175" s="5">
        <f>SUM(F175:I175)</f>
        <v/>
      </c>
      <c r="K175" s="4" t="inlineStr">
        <is>
          <t>地形面のソリッド化</t>
        </is>
      </c>
      <c r="L175" s="3" t="inlineStr">
        <is>
          <t>Uwe Hübner</t>
        </is>
      </c>
      <c r="M175" s="3" t="inlineStr">
        <is>
          <t>CAD-Huebner</t>
        </is>
      </c>
      <c r="N175" s="6" t="inlineStr">
        <is>
          <t>開く</t>
        </is>
      </c>
    </row>
    <row r="176">
      <c r="A176" s="2">
        <f>RANK(J176,$J$2:$J$489)</f>
        <v/>
      </c>
      <c r="B176" s="3" t="inlineStr">
        <is>
          <t>選択・絞り込み</t>
        </is>
      </c>
      <c r="C176" s="3" t="inlineStr">
        <is>
          <t>3dp0</t>
        </is>
      </c>
      <c r="D176" s="4" t="inlineStr">
        <is>
          <t>3dp0</t>
        </is>
      </c>
      <c r="E176" s="4" t="inlineStr">
        <is>
          <t>全頂点Z=0の3Dポリラインを抽出選択</t>
        </is>
      </c>
      <c r="F176" s="2" t="n">
        <v>17</v>
      </c>
      <c r="G176" s="2" t="n">
        <v>13</v>
      </c>
      <c r="H176" s="2" t="n">
        <v>7</v>
      </c>
      <c r="I176" s="2" t="n">
        <v>7</v>
      </c>
      <c r="J176" s="5">
        <f>SUM(F176:I176)</f>
        <v/>
      </c>
      <c r="K176" s="4" t="inlineStr">
        <is>
          <t>Z=0の3Dポリ抽出</t>
        </is>
      </c>
      <c r="L176" s="3" t="inlineStr">
        <is>
          <t>Jörn Bosse</t>
        </is>
      </c>
      <c r="M176" s="3" t="inlineStr">
        <is>
          <t>Bosse Engineering</t>
        </is>
      </c>
      <c r="N176" s="6" t="inlineStr">
        <is>
          <t>開く</t>
        </is>
      </c>
    </row>
    <row r="177">
      <c r="A177" s="2">
        <f>RANK(J177,$J$2:$J$489)</f>
        <v/>
      </c>
      <c r="B177" s="3" t="inlineStr">
        <is>
          <t>文字・テキスト</t>
        </is>
      </c>
      <c r="C177" s="3" t="inlineStr">
        <is>
          <t>ADA / ADAF / ADAE / ADAA</t>
        </is>
      </c>
      <c r="D177" s="4" t="inlineStr">
        <is>
          <t>ApplyDate</t>
        </is>
      </c>
      <c r="E177" s="4" t="inlineStr">
        <is>
          <t>属性・文字に日付を書式指定で挿入</t>
        </is>
      </c>
      <c r="F177" s="2" t="n">
        <v>12</v>
      </c>
      <c r="G177" s="2" t="n">
        <v>9</v>
      </c>
      <c r="H177" s="2" t="n">
        <v>10</v>
      </c>
      <c r="I177" s="2" t="n">
        <v>13</v>
      </c>
      <c r="J177" s="5">
        <f>SUM(F177:I177)</f>
        <v/>
      </c>
      <c r="K177" s="4" t="inlineStr">
        <is>
          <t>日付挿入（FIELDで一部代替）</t>
        </is>
      </c>
      <c r="L177" s="3" t="inlineStr">
        <is>
          <t>CADPL (kojacek, kruuger et al.)</t>
        </is>
      </c>
      <c r="M177" s="3" t="inlineStr">
        <is>
          <t>GitHub: kruuger/CADPL-Pack-v1</t>
        </is>
      </c>
      <c r="N177" s="6" t="inlineStr">
        <is>
          <t>開く</t>
        </is>
      </c>
    </row>
    <row r="178">
      <c r="A178" s="2">
        <f>RANK(J178,$J$2:$J$489)</f>
        <v/>
      </c>
      <c r="B178" s="3" t="inlineStr">
        <is>
          <t>ブロック・属性</t>
        </is>
      </c>
      <c r="C178" s="3" t="inlineStr">
        <is>
          <t>ATTA</t>
        </is>
      </c>
      <c r="D178" s="4" t="inlineStr">
        <is>
          <t>ATTA</t>
        </is>
      </c>
      <c r="E178" s="4" t="inlineStr">
        <is>
          <t>複数ブロックの同一属性を一括編集</t>
        </is>
      </c>
      <c r="F178" s="2" t="n">
        <v>10</v>
      </c>
      <c r="G178" s="2" t="n">
        <v>8</v>
      </c>
      <c r="H178" s="2" t="n">
        <v>12</v>
      </c>
      <c r="I178" s="2" t="n">
        <v>14</v>
      </c>
      <c r="J178" s="5">
        <f>SUM(F178:I178)</f>
        <v/>
      </c>
      <c r="K178" s="4" t="inlineStr">
        <is>
          <t>GATTEで一部代替</t>
        </is>
      </c>
      <c r="L178" s="3" t="inlineStr">
        <is>
          <t>kojacek</t>
        </is>
      </c>
      <c r="M178" s="3" t="inlineStr">
        <is>
          <t>kojacek.wordpress.com</t>
        </is>
      </c>
      <c r="N178" s="6" t="inlineStr">
        <is>
          <t>開く</t>
        </is>
      </c>
    </row>
    <row r="179">
      <c r="A179" s="2">
        <f>RANK(J179,$J$2:$J$489)</f>
        <v/>
      </c>
      <c r="B179" s="3" t="inlineStr">
        <is>
          <t>座標・測量・土木</t>
        </is>
      </c>
      <c r="C179" s="3" t="inlineStr">
        <is>
          <t>-</t>
        </is>
      </c>
      <c r="D179" s="4" t="inlineStr">
        <is>
          <t>Attributwert als Z-Höhe</t>
        </is>
      </c>
      <c r="E179" s="4" t="inlineStr">
        <is>
          <t>属性値をブロック挿入点のZ座標に反映</t>
        </is>
      </c>
      <c r="F179" s="2" t="n">
        <v>15</v>
      </c>
      <c r="G179" s="2" t="n">
        <v>12</v>
      </c>
      <c r="H179" s="2" t="n">
        <v>10</v>
      </c>
      <c r="I179" s="2" t="n">
        <v>7</v>
      </c>
      <c r="J179" s="5">
        <f>SUM(F179:I179)</f>
        <v/>
      </c>
      <c r="K179" s="4" t="inlineStr">
        <is>
          <t>属性値をZに反映</t>
        </is>
      </c>
      <c r="L179" s="3" t="inlineStr">
        <is>
          <t>Uwe Hübner</t>
        </is>
      </c>
      <c r="M179" s="3" t="inlineStr">
        <is>
          <t>CAD-Huebner</t>
        </is>
      </c>
      <c r="N179" s="6" t="inlineStr">
        <is>
          <t>開く</t>
        </is>
      </c>
    </row>
    <row r="180">
      <c r="A180" s="2">
        <f>RANK(J180,$J$2:$J$489)</f>
        <v/>
      </c>
      <c r="B180" s="3" t="inlineStr">
        <is>
          <t>座標・測量・土木</t>
        </is>
      </c>
      <c r="C180" s="3" t="inlineStr">
        <is>
          <t>-</t>
        </is>
      </c>
      <c r="D180" s="4" t="inlineStr">
        <is>
          <t>Böschung 3D</t>
        </is>
      </c>
      <c r="E180" s="4" t="inlineStr">
        <is>
          <t>3D法面記号（ハッチ）を作成</t>
        </is>
      </c>
      <c r="F180" s="2" t="n">
        <v>15</v>
      </c>
      <c r="G180" s="2" t="n">
        <v>12</v>
      </c>
      <c r="H180" s="2" t="n">
        <v>10</v>
      </c>
      <c r="I180" s="2" t="n">
        <v>7</v>
      </c>
      <c r="J180" s="5">
        <f>SUM(F180:I180)</f>
        <v/>
      </c>
      <c r="K180" s="4" t="inlineStr">
        <is>
          <t>3D法面記号</t>
        </is>
      </c>
      <c r="L180" s="3" t="inlineStr">
        <is>
          <t>Christoph Candio</t>
        </is>
      </c>
      <c r="M180" s="3" t="inlineStr">
        <is>
          <t>CAD-Spiegel</t>
        </is>
      </c>
      <c r="N180" s="6" t="inlineStr">
        <is>
          <t>開く</t>
        </is>
      </c>
    </row>
    <row r="181">
      <c r="A181" s="2">
        <f>RANK(J181,$J$2:$J$489)</f>
        <v/>
      </c>
      <c r="B181" s="3" t="inlineStr">
        <is>
          <t>選択・絞り込み</t>
        </is>
      </c>
      <c r="C181" s="3" t="inlineStr">
        <is>
          <t>jsd</t>
        </is>
      </c>
      <c r="D181" s="4" t="inlineStr">
        <is>
          <t>JSD</t>
        </is>
      </c>
      <c r="E181" s="4" t="inlineStr">
        <is>
          <t>直前に複写した図形の選択セットを作成</t>
        </is>
      </c>
      <c r="F181" s="2" t="n">
        <v>11</v>
      </c>
      <c r="G181" s="2" t="n">
        <v>12</v>
      </c>
      <c r="H181" s="2" t="n">
        <v>7</v>
      </c>
      <c r="I181" s="2" t="n">
        <v>14</v>
      </c>
      <c r="J181" s="5">
        <f>SUM(F181:I181)</f>
        <v/>
      </c>
      <c r="K181" s="4" t="inlineStr">
        <is>
          <t>複写結果の選択セット</t>
        </is>
      </c>
      <c r="L181" s="3" t="inlineStr">
        <is>
          <t>Patrick_35</t>
        </is>
      </c>
      <c r="M181" s="3" t="inlineStr">
        <is>
          <t>CADxp (Patrick_35)</t>
        </is>
      </c>
      <c r="N181" s="6" t="inlineStr">
        <is>
          <t>開く</t>
        </is>
      </c>
    </row>
    <row r="182">
      <c r="A182" s="2">
        <f>RANK(J182,$J$2:$J$489)</f>
        <v/>
      </c>
      <c r="B182" s="3" t="inlineStr">
        <is>
          <t>設定・環境</t>
        </is>
      </c>
      <c r="C182" s="3" t="inlineStr">
        <is>
          <t>-</t>
        </is>
      </c>
      <c r="D182" s="4" t="inlineStr">
        <is>
          <t>Kontextmenü</t>
        </is>
      </c>
      <c r="E182" s="4" t="inlineStr">
        <is>
          <t>右クリックメニューに独自項目を追加</t>
        </is>
      </c>
      <c r="F182" s="2" t="n">
        <v>14</v>
      </c>
      <c r="G182" s="2" t="n">
        <v>11</v>
      </c>
      <c r="H182" s="2" t="n">
        <v>7</v>
      </c>
      <c r="I182" s="2" t="n">
        <v>12</v>
      </c>
      <c r="J182" s="5">
        <f>SUM(F182:I182)</f>
        <v/>
      </c>
      <c r="K182" s="4" t="inlineStr">
        <is>
          <t>右クリックメニュー拡張</t>
        </is>
      </c>
      <c r="L182" s="3" t="inlineStr">
        <is>
          <t>CADwiesel</t>
        </is>
      </c>
      <c r="M182" s="3" t="inlineStr">
        <is>
          <t>CADwiesel</t>
        </is>
      </c>
      <c r="N182" s="6" t="inlineStr">
        <is>
          <t>開く</t>
        </is>
      </c>
    </row>
    <row r="183">
      <c r="A183" s="2">
        <f>RANK(J183,$J$2:$J$489)</f>
        <v/>
      </c>
      <c r="B183" s="3" t="inlineStr">
        <is>
          <t>座標・測量・土木</t>
        </is>
      </c>
      <c r="C183" s="3" t="inlineStr">
        <is>
          <t>-</t>
        </is>
      </c>
      <c r="D183" s="4" t="inlineStr">
        <is>
          <t>Koordinat, Alan ve Çevre Tablosu</t>
        </is>
      </c>
      <c r="E183" s="4" t="inlineStr">
        <is>
          <t>座標・面積・周長を表形式で記入</t>
        </is>
      </c>
      <c r="F183" s="2" t="n">
        <v>13</v>
      </c>
      <c r="G183" s="2" t="n">
        <v>9</v>
      </c>
      <c r="H183" s="2" t="n">
        <v>13</v>
      </c>
      <c r="I183" s="2" t="n">
        <v>9</v>
      </c>
      <c r="J183" s="5">
        <f>SUM(F183:I183)</f>
        <v/>
      </c>
      <c r="K183" s="4" t="inlineStr">
        <is>
          <t>座標面積表</t>
        </is>
      </c>
      <c r="L183" s="3" t="inlineStr">
        <is>
          <t>çizim okulu</t>
        </is>
      </c>
      <c r="M183" s="3" t="inlineStr">
        <is>
          <t>Çizim Okulu</t>
        </is>
      </c>
      <c r="N183" s="6" t="inlineStr">
        <is>
          <t>開く</t>
        </is>
      </c>
    </row>
    <row r="184">
      <c r="A184" s="2">
        <f>RANK(J184,$J$2:$J$489)</f>
        <v/>
      </c>
      <c r="B184" s="3" t="inlineStr">
        <is>
          <t>ハッチ・面積・長さ集計</t>
        </is>
      </c>
      <c r="C184" s="3" t="inlineStr">
        <is>
          <t>-</t>
        </is>
      </c>
      <c r="D184" s="4" t="inlineStr">
        <is>
          <t>LayerLfdm</t>
        </is>
      </c>
      <c r="E184" s="4" t="inlineStr">
        <is>
          <t>指定画層上の全線要素の長さ合計</t>
        </is>
      </c>
      <c r="F184" s="2" t="n">
        <v>12</v>
      </c>
      <c r="G184" s="2" t="n">
        <v>8</v>
      </c>
      <c r="H184" s="2" t="n">
        <v>12</v>
      </c>
      <c r="I184" s="2" t="n">
        <v>12</v>
      </c>
      <c r="J184" s="5">
        <f>SUM(F184:I184)</f>
        <v/>
      </c>
      <c r="K184" s="4" t="inlineStr">
        <is>
          <t>画層別長さ合計</t>
        </is>
      </c>
      <c r="L184" s="3" t="inlineStr">
        <is>
          <t>Jörn Bosse</t>
        </is>
      </c>
      <c r="M184" s="3" t="inlineStr">
        <is>
          <t>Bosse Engineering</t>
        </is>
      </c>
      <c r="N184" s="6" t="inlineStr">
        <is>
          <t>開く</t>
        </is>
      </c>
    </row>
    <row r="185">
      <c r="A185" s="2">
        <f>RANK(J185,$J$2:$J$489)</f>
        <v/>
      </c>
      <c r="B185" s="3" t="inlineStr">
        <is>
          <t>設備</t>
        </is>
      </c>
      <c r="C185" s="3" t="inlineStr">
        <is>
          <t>-</t>
        </is>
      </c>
      <c r="D185" s="4" t="inlineStr">
        <is>
          <t>Linie łamane</t>
        </is>
      </c>
      <c r="E185" s="4" t="inlineStr">
        <is>
          <t>系統図用の折れ線コネクタを作図</t>
        </is>
      </c>
      <c r="F185" s="2" t="n">
        <v>13</v>
      </c>
      <c r="G185" s="2" t="n">
        <v>11</v>
      </c>
      <c r="H185" s="2" t="n">
        <v>11</v>
      </c>
      <c r="I185" s="2" t="n">
        <v>9</v>
      </c>
      <c r="J185" s="5">
        <f>SUM(F185:I185)</f>
        <v/>
      </c>
      <c r="K185" s="4" t="inlineStr">
        <is>
          <t>折れ線コネクタ作図</t>
        </is>
      </c>
      <c r="L185" s="3" t="inlineStr">
        <is>
          <t>kojacek</t>
        </is>
      </c>
      <c r="M185" s="3" t="inlineStr">
        <is>
          <t>kojacek.wordpress.com</t>
        </is>
      </c>
      <c r="N185" s="6" t="inlineStr">
        <is>
          <t>開く</t>
        </is>
      </c>
    </row>
    <row r="186">
      <c r="A186" s="2">
        <f>RANK(J186,$J$2:$J$489)</f>
        <v/>
      </c>
      <c r="B186" s="3" t="inlineStr">
        <is>
          <t>文字・テキスト</t>
        </is>
      </c>
      <c r="C186" s="3" t="inlineStr">
        <is>
          <t>-</t>
        </is>
      </c>
      <c r="D186" s="4" t="inlineStr">
        <is>
          <t>Mover en un Toque</t>
        </is>
      </c>
      <c r="E186" s="4" t="inlineStr">
        <is>
          <t>CYPE出力図の文字をワンクリックで移動</t>
        </is>
      </c>
      <c r="F186" s="2" t="n">
        <v>15</v>
      </c>
      <c r="G186" s="2" t="n">
        <v>12</v>
      </c>
      <c r="H186" s="2" t="n">
        <v>12</v>
      </c>
      <c r="I186" s="2" t="n">
        <v>5</v>
      </c>
      <c r="J186" s="5">
        <f>SUM(F186:I186)</f>
        <v/>
      </c>
      <c r="K186" s="4" t="inlineStr">
        <is>
          <t>CYPE図の文字整理</t>
        </is>
      </c>
      <c r="L186" s="3" t="inlineStr">
        <is>
          <t>Andrés S. del Toro</t>
        </is>
      </c>
      <c r="M186" s="3" t="inlineStr">
        <is>
          <t>andresdeltoro.es</t>
        </is>
      </c>
      <c r="N186" s="6" t="inlineStr">
        <is>
          <t>開く</t>
        </is>
      </c>
    </row>
    <row r="187">
      <c r="A187" s="2">
        <f>RANK(J187,$J$2:$J$489)</f>
        <v/>
      </c>
      <c r="B187" s="3" t="inlineStr">
        <is>
          <t>ブロック・属性</t>
        </is>
      </c>
      <c r="C187" s="3" t="inlineStr">
        <is>
          <t>-</t>
        </is>
      </c>
      <c r="D187" s="4" t="inlineStr">
        <is>
          <t>Nuke</t>
        </is>
      </c>
      <c r="E187" s="4" t="inlineStr">
        <is>
          <t>ブロック定義内の全図形を画層0へ</t>
        </is>
      </c>
      <c r="F187" s="2" t="n">
        <v>11</v>
      </c>
      <c r="G187" s="2" t="n">
        <v>6</v>
      </c>
      <c r="H187" s="2" t="n">
        <v>12</v>
      </c>
      <c r="I187" s="2" t="n">
        <v>15</v>
      </c>
      <c r="J187" s="5">
        <f>SUM(F187:I187)</f>
        <v/>
      </c>
      <c r="K187" s="4" t="inlineStr">
        <is>
          <t>ブロック内画層0化</t>
        </is>
      </c>
      <c r="L187" s="3" t="inlineStr">
        <is>
          <t>CADwiesel</t>
        </is>
      </c>
      <c r="M187" s="3" t="inlineStr">
        <is>
          <t>CADwiesel</t>
        </is>
      </c>
      <c r="N187" s="6" t="inlineStr">
        <is>
          <t>開く</t>
        </is>
      </c>
    </row>
    <row r="188">
      <c r="A188" s="2">
        <f>RANK(J188,$J$2:$J$489)</f>
        <v/>
      </c>
      <c r="B188" s="3" t="inlineStr">
        <is>
          <t>作図</t>
        </is>
      </c>
      <c r="C188" s="3" t="inlineStr">
        <is>
          <t>ob2wo</t>
        </is>
      </c>
      <c r="D188" s="4" t="inlineStr">
        <is>
          <t>Obj2wipeout</t>
        </is>
      </c>
      <c r="E188" s="4" t="inlineStr">
        <is>
          <t>円・楕円・円弧付きポリラインからワイプアウト作成</t>
        </is>
      </c>
      <c r="F188" s="2" t="n">
        <v>12</v>
      </c>
      <c r="G188" s="2" t="n">
        <v>11</v>
      </c>
      <c r="H188" s="2" t="n">
        <v>9</v>
      </c>
      <c r="I188" s="2" t="n">
        <v>12</v>
      </c>
      <c r="J188" s="5">
        <f>SUM(F188:I188)</f>
        <v/>
      </c>
      <c r="K188" s="4" t="inlineStr">
        <is>
          <t>曲線形状ワイプアウト</t>
        </is>
      </c>
      <c r="L188" s="3" t="inlineStr">
        <is>
          <t>(gile)</t>
        </is>
      </c>
      <c r="M188" s="3" t="inlineStr">
        <is>
          <t>gileCAD</t>
        </is>
      </c>
      <c r="N188" s="6" t="inlineStr">
        <is>
          <t>開く</t>
        </is>
      </c>
    </row>
    <row r="189">
      <c r="A189" s="2">
        <f>RANK(J189,$J$2:$J$489)</f>
        <v/>
      </c>
      <c r="B189" s="3" t="inlineStr">
        <is>
          <t>印刷・レイアウト・図枠</t>
        </is>
      </c>
      <c r="C189" s="3" t="inlineStr">
        <is>
          <t>RuotaWP90 / RuotaIntWP</t>
        </is>
      </c>
      <c r="D189" s="4" t="inlineStr">
        <is>
          <t>Ruota finestra</t>
        </is>
      </c>
      <c r="E189" s="4" t="inlineStr">
        <is>
          <t>ビューポートを内容ごと/内容のみ回転</t>
        </is>
      </c>
      <c r="F189" s="2" t="n">
        <v>14</v>
      </c>
      <c r="G189" s="2" t="n">
        <v>11</v>
      </c>
      <c r="H189" s="2" t="n">
        <v>8</v>
      </c>
      <c r="I189" s="2" t="n">
        <v>11</v>
      </c>
      <c r="J189" s="5">
        <f>SUM(F189:I189)</f>
        <v/>
      </c>
      <c r="K189" s="4" t="inlineStr">
        <is>
          <t>VP内容回転</t>
        </is>
      </c>
      <c r="L189" s="3" t="inlineStr">
        <is>
          <t>EmiCAD</t>
        </is>
      </c>
      <c r="M189" s="3" t="inlineStr">
        <is>
          <t>EmiLISP Free (emicad.it)</t>
        </is>
      </c>
      <c r="N189" s="6" t="inlineStr">
        <is>
          <t>開く</t>
        </is>
      </c>
    </row>
    <row r="190">
      <c r="A190" s="2">
        <f>RANK(J190,$J$2:$J$489)</f>
        <v/>
      </c>
      <c r="B190" s="3" t="inlineStr">
        <is>
          <t>画層</t>
        </is>
      </c>
      <c r="C190" s="3" t="inlineStr">
        <is>
          <t>Tuttosu0</t>
        </is>
      </c>
      <c r="D190" s="4" t="inlineStr">
        <is>
          <t>Sposta tutto nel layer 0</t>
        </is>
      </c>
      <c r="E190" s="4" t="inlineStr">
        <is>
          <t>ブロック入れ子含め全図形を画層0へ</t>
        </is>
      </c>
      <c r="F190" s="2" t="n">
        <v>11</v>
      </c>
      <c r="G190" s="2" t="n">
        <v>7</v>
      </c>
      <c r="H190" s="2" t="n">
        <v>12</v>
      </c>
      <c r="I190" s="2" t="n">
        <v>14</v>
      </c>
      <c r="J190" s="5">
        <f>SUM(F190:I190)</f>
        <v/>
      </c>
      <c r="K190" s="4" t="inlineStr">
        <is>
          <t>入れ子まで画層0化</t>
        </is>
      </c>
      <c r="L190" s="3" t="inlineStr">
        <is>
          <t>EmiCAD</t>
        </is>
      </c>
      <c r="M190" s="3" t="inlineStr">
        <is>
          <t>EmiLISP Free (emicad.it)</t>
        </is>
      </c>
      <c r="N190" s="6" t="inlineStr">
        <is>
          <t>開く</t>
        </is>
      </c>
    </row>
    <row r="191">
      <c r="A191" s="2">
        <f>RANK(J191,$J$2:$J$489)</f>
        <v/>
      </c>
      <c r="B191" s="3" t="inlineStr">
        <is>
          <t>座標・測量・土木</t>
        </is>
      </c>
      <c r="C191" s="3" t="inlineStr">
        <is>
          <t>-</t>
        </is>
      </c>
      <c r="D191" s="4" t="inlineStr">
        <is>
          <t>Stationierung</t>
        </is>
      </c>
      <c r="E191" s="4" t="inlineStr">
        <is>
          <t>ポリラインに測点(ステーション)を記入（有料）</t>
        </is>
      </c>
      <c r="F191" s="2" t="n">
        <v>15</v>
      </c>
      <c r="G191" s="2" t="n">
        <v>10</v>
      </c>
      <c r="H191" s="2" t="n">
        <v>12</v>
      </c>
      <c r="I191" s="2" t="n">
        <v>7</v>
      </c>
      <c r="J191" s="5">
        <f>SUM(F191:I191)</f>
        <v/>
      </c>
      <c r="K191" s="4" t="inlineStr">
        <is>
          <t>測点記入（有料）</t>
        </is>
      </c>
      <c r="L191" s="3" t="inlineStr">
        <is>
          <t>Uwe Hübner</t>
        </is>
      </c>
      <c r="M191" s="3" t="inlineStr">
        <is>
          <t>CAD-Huebner</t>
        </is>
      </c>
      <c r="N191" s="6" t="inlineStr">
        <is>
          <t>開く</t>
        </is>
      </c>
    </row>
    <row r="192">
      <c r="A192" s="2">
        <f>RANK(J192,$J$2:$J$489)</f>
        <v/>
      </c>
      <c r="B192" s="3" t="inlineStr">
        <is>
          <t>文字・テキスト</t>
        </is>
      </c>
      <c r="C192" s="3" t="inlineStr">
        <is>
          <t>num</t>
        </is>
      </c>
      <c r="D192" s="4" t="inlineStr">
        <is>
          <t>Testo progressivo</t>
        </is>
      </c>
      <c r="E192" s="4" t="inlineStr">
        <is>
          <t>連番数字を配置</t>
        </is>
      </c>
      <c r="F192" s="2" t="n">
        <v>9</v>
      </c>
      <c r="G192" s="2" t="n">
        <v>6</v>
      </c>
      <c r="H192" s="2" t="n">
        <v>13</v>
      </c>
      <c r="I192" s="2" t="n">
        <v>16</v>
      </c>
      <c r="J192" s="5">
        <f>SUM(F192:I192)</f>
        <v/>
      </c>
      <c r="K192" s="4" t="inlineStr">
        <is>
          <t>連番配置</t>
        </is>
      </c>
      <c r="L192" s="3" t="inlineStr">
        <is>
          <t>EmiCAD</t>
        </is>
      </c>
      <c r="M192" s="3" t="inlineStr">
        <is>
          <t>EmiLISP Free (emicad.it)</t>
        </is>
      </c>
      <c r="N192" s="6" t="inlineStr">
        <is>
          <t>開く</t>
        </is>
      </c>
    </row>
    <row r="193">
      <c r="A193" s="2">
        <f>RANK(J193,$J$2:$J$489)</f>
        <v/>
      </c>
      <c r="B193" s="3" t="inlineStr">
        <is>
          <t>画層</t>
        </is>
      </c>
      <c r="C193" s="3" t="inlineStr">
        <is>
          <t>-</t>
        </is>
      </c>
      <c r="D193" s="4" t="inlineStr">
        <is>
          <t>VPLAYER samopowtarzalny</t>
        </is>
      </c>
      <c r="E193" s="4" t="inlineStr">
        <is>
          <t>ビューポート画層凍結を連続実行</t>
        </is>
      </c>
      <c r="F193" s="2" t="n">
        <v>12</v>
      </c>
      <c r="G193" s="2" t="n">
        <v>10</v>
      </c>
      <c r="H193" s="2" t="n">
        <v>11</v>
      </c>
      <c r="I193" s="2" t="n">
        <v>11</v>
      </c>
      <c r="J193" s="5">
        <f>SUM(F193:I193)</f>
        <v/>
      </c>
      <c r="K193" s="4" t="inlineStr">
        <is>
          <t>VPLAYER連続実行</t>
        </is>
      </c>
      <c r="L193" s="3" t="inlineStr">
        <is>
          <t>kojacek</t>
        </is>
      </c>
      <c r="M193" s="3" t="inlineStr">
        <is>
          <t>kojacek.wordpress.com</t>
        </is>
      </c>
      <c r="N193" s="6" t="inlineStr">
        <is>
          <t>開く</t>
        </is>
      </c>
    </row>
    <row r="194">
      <c r="A194" s="2">
        <f>RANK(J194,$J$2:$J$489)</f>
        <v/>
      </c>
      <c r="B194" s="3" t="inlineStr">
        <is>
          <t>寸法</t>
        </is>
      </c>
      <c r="C194" s="3" t="inlineStr">
        <is>
          <t>-</t>
        </is>
      </c>
      <c r="D194" s="4" t="inlineStr">
        <is>
          <t>Wymiar półprzekrój</t>
        </is>
      </c>
      <c r="E194" s="4" t="inlineStr">
        <is>
          <t>半断面図の直径寸法（片側寸法）を作成</t>
        </is>
      </c>
      <c r="F194" s="2" t="n">
        <v>15</v>
      </c>
      <c r="G194" s="2" t="n">
        <v>12</v>
      </c>
      <c r="H194" s="2" t="n">
        <v>9</v>
      </c>
      <c r="I194" s="2" t="n">
        <v>8</v>
      </c>
      <c r="J194" s="5">
        <f>SUM(F194:I194)</f>
        <v/>
      </c>
      <c r="K194" s="4" t="inlineStr">
        <is>
          <t>半断面直径寸法</t>
        </is>
      </c>
      <c r="L194" s="3" t="inlineStr">
        <is>
          <t>kojacek</t>
        </is>
      </c>
      <c r="M194" s="3" t="inlineStr">
        <is>
          <t>kojacek.wordpress.com</t>
        </is>
      </c>
      <c r="N194" s="6" t="inlineStr">
        <is>
          <t>開く</t>
        </is>
      </c>
    </row>
    <row r="195">
      <c r="A195" s="2">
        <f>RANK(J195,$J$2:$J$489)</f>
        <v/>
      </c>
      <c r="B195" s="3" t="inlineStr">
        <is>
          <t>文字・テキスト</t>
        </is>
      </c>
      <c r="C195" s="3" t="inlineStr">
        <is>
          <t>-</t>
        </is>
      </c>
      <c r="D195" s="4" t="inlineStr">
        <is>
          <t>Zahlen</t>
        </is>
      </c>
      <c r="E195" s="4" t="inlineStr">
        <is>
          <t>番号を自動で1ずつ増やして配置</t>
        </is>
      </c>
      <c r="F195" s="2" t="n">
        <v>9</v>
      </c>
      <c r="G195" s="2" t="n">
        <v>6</v>
      </c>
      <c r="H195" s="2" t="n">
        <v>13</v>
      </c>
      <c r="I195" s="2" t="n">
        <v>16</v>
      </c>
      <c r="J195" s="5">
        <f>SUM(F195:I195)</f>
        <v/>
      </c>
      <c r="K195" s="4" t="inlineStr">
        <is>
          <t>連番配置の基本</t>
        </is>
      </c>
      <c r="L195" s="3" t="inlineStr">
        <is>
          <t>CADwiesel</t>
        </is>
      </c>
      <c r="M195" s="3" t="inlineStr">
        <is>
          <t>CADwiesel</t>
        </is>
      </c>
      <c r="N195" s="6" t="inlineStr">
        <is>
          <t>開く</t>
        </is>
      </c>
    </row>
    <row r="196">
      <c r="A196" s="2">
        <f>RANK(J196,$J$2:$J$489)</f>
        <v/>
      </c>
      <c r="B196" s="3" t="inlineStr">
        <is>
          <t>表示・UCS・ビュー</t>
        </is>
      </c>
      <c r="C196" s="3" t="inlineStr">
        <is>
          <t>Zop</t>
        </is>
      </c>
      <c r="D196" s="4" t="inlineStr">
        <is>
          <t>Zoom tipo entità</t>
        </is>
      </c>
      <c r="E196" s="4" t="inlineStr">
        <is>
          <t>指定種類の図形を探してズーム</t>
        </is>
      </c>
      <c r="F196" s="2" t="n">
        <v>14</v>
      </c>
      <c r="G196" s="2" t="n">
        <v>11</v>
      </c>
      <c r="H196" s="2" t="n">
        <v>7</v>
      </c>
      <c r="I196" s="2" t="n">
        <v>12</v>
      </c>
      <c r="J196" s="5">
        <f>SUM(F196:I196)</f>
        <v/>
      </c>
      <c r="K196" s="4" t="inlineStr">
        <is>
          <t>種類別ズーム探索</t>
        </is>
      </c>
      <c r="L196" s="3" t="inlineStr">
        <is>
          <t>EmiCAD</t>
        </is>
      </c>
      <c r="M196" s="3" t="inlineStr">
        <is>
          <t>EmiLISP Free (emicad.it)</t>
        </is>
      </c>
      <c r="N196" s="6" t="inlineStr">
        <is>
          <t>開く</t>
        </is>
      </c>
    </row>
    <row r="197">
      <c r="A197" s="2">
        <f>RANK(J197,$J$2:$J$489)</f>
        <v/>
      </c>
      <c r="B197" s="3" t="inlineStr">
        <is>
          <t>線・ポリライン編集</t>
        </is>
      </c>
      <c r="C197" s="3" t="inlineStr">
        <is>
          <t>-</t>
        </is>
      </c>
      <c r="D197" s="4" t="inlineStr">
        <is>
          <t>Çoklu Fillet</t>
        </is>
      </c>
      <c r="E197" s="4" t="inlineStr">
        <is>
          <t>複数箇所を一括フィレット</t>
        </is>
      </c>
      <c r="F197" s="2" t="n">
        <v>13</v>
      </c>
      <c r="G197" s="2" t="n">
        <v>10</v>
      </c>
      <c r="H197" s="2" t="n">
        <v>10</v>
      </c>
      <c r="I197" s="2" t="n">
        <v>11</v>
      </c>
      <c r="J197" s="5">
        <f>SUM(F197:I197)</f>
        <v/>
      </c>
      <c r="K197" s="4" t="inlineStr">
        <is>
          <t>一括フィレット</t>
        </is>
      </c>
      <c r="L197" s="3" t="inlineStr">
        <is>
          <t>çizim okulu</t>
        </is>
      </c>
      <c r="M197" s="3" t="inlineStr">
        <is>
          <t>Çizim Okulu</t>
        </is>
      </c>
      <c r="N197" s="6" t="inlineStr">
        <is>
          <t>開く</t>
        </is>
      </c>
    </row>
    <row r="198">
      <c r="A198" s="2">
        <f>RANK(J198,$J$2:$J$489)</f>
        <v/>
      </c>
      <c r="B198" s="3" t="inlineStr">
        <is>
          <t>設定・環境</t>
        </is>
      </c>
      <c r="C198" s="3" t="inlineStr">
        <is>
          <t>-</t>
        </is>
      </c>
      <c r="D198" s="4" t="inlineStr">
        <is>
          <t>ADC-Special</t>
        </is>
      </c>
      <c r="E198" s="4" t="inlineStr">
        <is>
          <t>社内標準をDesignCenter経由で配布・利用</t>
        </is>
      </c>
      <c r="F198" s="2" t="n">
        <v>13</v>
      </c>
      <c r="G198" s="2" t="n">
        <v>11</v>
      </c>
      <c r="H198" s="2" t="n">
        <v>10</v>
      </c>
      <c r="I198" s="2" t="n">
        <v>9</v>
      </c>
      <c r="J198" s="5">
        <f>SUM(F198:I198)</f>
        <v/>
      </c>
      <c r="K198" s="4" t="inlineStr">
        <is>
          <t>DesignCenterで標準配布</t>
        </is>
      </c>
      <c r="L198" s="3" t="inlineStr">
        <is>
          <t>CADwiesel</t>
        </is>
      </c>
      <c r="M198" s="3" t="inlineStr">
        <is>
          <t>CADwiesel</t>
        </is>
      </c>
      <c r="N198" s="6" t="inlineStr">
        <is>
          <t>開く</t>
        </is>
      </c>
    </row>
    <row r="199">
      <c r="A199" s="2">
        <f>RANK(J199,$J$2:$J$489)</f>
        <v/>
      </c>
      <c r="B199" s="3" t="inlineStr">
        <is>
          <t>線・ポリライン編集</t>
        </is>
      </c>
      <c r="C199" s="3" t="inlineStr">
        <is>
          <t>ac2seg</t>
        </is>
      </c>
      <c r="D199" s="4" t="inlineStr">
        <is>
          <t>Arc2seg</t>
        </is>
      </c>
      <c r="E199" s="4" t="inlineStr">
        <is>
          <t>円弧・円・ポリライン円弧を線分に分割（Xdata保持）</t>
        </is>
      </c>
      <c r="F199" s="2" t="n">
        <v>14</v>
      </c>
      <c r="G199" s="2" t="n">
        <v>10</v>
      </c>
      <c r="H199" s="2" t="n">
        <v>8</v>
      </c>
      <c r="I199" s="2" t="n">
        <v>11</v>
      </c>
      <c r="J199" s="5">
        <f>SUM(F199:I199)</f>
        <v/>
      </c>
      <c r="K199" s="4" t="inlineStr">
        <is>
          <t>Xdata保持で線分化が利点</t>
        </is>
      </c>
      <c r="L199" s="3" t="inlineStr">
        <is>
          <t>(gile)</t>
        </is>
      </c>
      <c r="M199" s="3" t="inlineStr">
        <is>
          <t>gileCAD</t>
        </is>
      </c>
      <c r="N199" s="6" t="inlineStr">
        <is>
          <t>開く</t>
        </is>
      </c>
    </row>
    <row r="200">
      <c r="A200" s="2">
        <f>RANK(J200,$J$2:$J$489)</f>
        <v/>
      </c>
      <c r="B200" s="3" t="inlineStr">
        <is>
          <t>印刷・レイアウト・図枠</t>
        </is>
      </c>
      <c r="C200" s="3" t="inlineStr">
        <is>
          <t>ast</t>
        </is>
      </c>
      <c r="D200" s="4" t="inlineStr">
        <is>
          <t>AST</t>
        </is>
      </c>
      <c r="E200" s="4" t="inlineStr">
        <is>
          <t>印刷スタイル通りに図面を画面表示</t>
        </is>
      </c>
      <c r="F200" s="2" t="n">
        <v>12</v>
      </c>
      <c r="G200" s="2" t="n">
        <v>11</v>
      </c>
      <c r="H200" s="2" t="n">
        <v>8</v>
      </c>
      <c r="I200" s="2" t="n">
        <v>12</v>
      </c>
      <c r="J200" s="5">
        <f>SUM(F200:I200)</f>
        <v/>
      </c>
      <c r="K200" s="4" t="inlineStr">
        <is>
          <t>印刷スタイル表示切替</t>
        </is>
      </c>
      <c r="L200" s="3" t="inlineStr">
        <is>
          <t>Patrick_35</t>
        </is>
      </c>
      <c r="M200" s="3" t="inlineStr">
        <is>
          <t>CADxp (Patrick_35)</t>
        </is>
      </c>
      <c r="N200" s="6" t="inlineStr">
        <is>
          <t>開く</t>
        </is>
      </c>
    </row>
    <row r="201">
      <c r="A201" s="2">
        <f>RANK(J201,$J$2:$J$489)</f>
        <v/>
      </c>
      <c r="B201" s="3" t="inlineStr">
        <is>
          <t>座標・測量・土木</t>
        </is>
      </c>
      <c r="C201" s="3" t="inlineStr">
        <is>
          <t>-</t>
        </is>
      </c>
      <c r="D201" s="4" t="inlineStr">
        <is>
          <t>BS3 Böschungsschraffur</t>
        </is>
      </c>
      <c r="E201" s="4" t="inlineStr">
        <is>
          <t>2本のポリライン間に法面記号(V/Y字も)を作成（有料）</t>
        </is>
      </c>
      <c r="F201" s="2" t="n">
        <v>13</v>
      </c>
      <c r="G201" s="2" t="n">
        <v>11</v>
      </c>
      <c r="H201" s="2" t="n">
        <v>12</v>
      </c>
      <c r="I201" s="2" t="n">
        <v>7</v>
      </c>
      <c r="J201" s="5">
        <f>SUM(F201:I201)</f>
        <v/>
      </c>
      <c r="K201" s="4" t="inlineStr">
        <is>
          <t>法面記号（有料）</t>
        </is>
      </c>
      <c r="L201" s="3" t="inlineStr">
        <is>
          <t>Uwe Hübner</t>
        </is>
      </c>
      <c r="M201" s="3" t="inlineStr">
        <is>
          <t>CAD-Huebner</t>
        </is>
      </c>
      <c r="N201" s="6" t="inlineStr">
        <is>
          <t>開く</t>
        </is>
      </c>
    </row>
    <row r="202">
      <c r="A202" s="2">
        <f>RANK(J202,$J$2:$J$489)</f>
        <v/>
      </c>
      <c r="B202" s="3" t="inlineStr">
        <is>
          <t>線・ポリライン編集</t>
        </is>
      </c>
      <c r="C202" s="3" t="inlineStr">
        <is>
          <t>CHMALL</t>
        </is>
      </c>
      <c r="D202" s="4" t="inlineStr">
        <is>
          <t>ChamferMulti</t>
        </is>
      </c>
      <c r="E202" s="4" t="inlineStr">
        <is>
          <t>ポリラインの全頂点に一括面取り</t>
        </is>
      </c>
      <c r="F202" s="2" t="n">
        <v>12</v>
      </c>
      <c r="G202" s="2" t="n">
        <v>10</v>
      </c>
      <c r="H202" s="2" t="n">
        <v>10</v>
      </c>
      <c r="I202" s="2" t="n">
        <v>11</v>
      </c>
      <c r="J202" s="5">
        <f>SUM(F202:I202)</f>
        <v/>
      </c>
      <c r="K202" s="4" t="inlineStr">
        <is>
          <t>全頂点一括面取り</t>
        </is>
      </c>
      <c r="L202" s="3" t="inlineStr"/>
      <c r="M202" s="3" t="inlineStr">
        <is>
          <t>CADthèque</t>
        </is>
      </c>
      <c r="N202" s="6" t="inlineStr">
        <is>
          <t>開く</t>
        </is>
      </c>
    </row>
    <row r="203">
      <c r="A203" s="2">
        <f>RANK(J203,$J$2:$J$489)</f>
        <v/>
      </c>
      <c r="B203" s="3" t="inlineStr">
        <is>
          <t>ブロック・属性</t>
        </is>
      </c>
      <c r="C203" s="3" t="inlineStr">
        <is>
          <t>-</t>
        </is>
      </c>
      <c r="D203" s="4" t="inlineStr">
        <is>
          <t>Countblocks</t>
        </is>
      </c>
      <c r="E203" s="4" t="inlineStr">
        <is>
          <t>ブロック数と属性値をテキスト出力しExcelで集計</t>
        </is>
      </c>
      <c r="F203" s="2" t="n">
        <v>9</v>
      </c>
      <c r="G203" s="2" t="n">
        <v>7</v>
      </c>
      <c r="H203" s="2" t="n">
        <v>13</v>
      </c>
      <c r="I203" s="2" t="n">
        <v>14</v>
      </c>
      <c r="J203" s="5">
        <f>SUM(F203:I203)</f>
        <v/>
      </c>
      <c r="K203" s="4" t="inlineStr">
        <is>
          <t>COUNT/抽出で代替可</t>
        </is>
      </c>
      <c r="L203" s="3" t="inlineStr">
        <is>
          <t>CADwiesel</t>
        </is>
      </c>
      <c r="M203" s="3" t="inlineStr">
        <is>
          <t>CADwiesel</t>
        </is>
      </c>
      <c r="N203" s="6" t="inlineStr">
        <is>
          <t>開く</t>
        </is>
      </c>
    </row>
    <row r="204">
      <c r="A204" s="2">
        <f>RANK(J204,$J$2:$J$489)</f>
        <v/>
      </c>
      <c r="B204" s="3" t="inlineStr">
        <is>
          <t>構造・鉄骨・機械</t>
        </is>
      </c>
      <c r="C204" s="3" t="inlineStr">
        <is>
          <t>desesfera</t>
        </is>
      </c>
      <c r="D204" s="4" t="inlineStr">
        <is>
          <t>Desarrollo de esfera</t>
        </is>
      </c>
      <c r="E204" s="4" t="inlineStr">
        <is>
          <t>球の舟形展開図を作図</t>
        </is>
      </c>
      <c r="F204" s="2" t="n">
        <v>18</v>
      </c>
      <c r="G204" s="2" t="n">
        <v>14</v>
      </c>
      <c r="H204" s="2" t="n">
        <v>6</v>
      </c>
      <c r="I204" s="2" t="n">
        <v>5</v>
      </c>
      <c r="J204" s="5">
        <f>SUM(F204:I204)</f>
        <v/>
      </c>
      <c r="K204" s="4" t="inlineStr">
        <is>
          <t>球の舟形展開</t>
        </is>
      </c>
      <c r="L204" s="3" t="inlineStr">
        <is>
          <t>J.A.M.G.P.A.</t>
        </is>
      </c>
      <c r="M204" s="3" t="inlineStr">
        <is>
          <t>jamgpa.com</t>
        </is>
      </c>
      <c r="N204" s="6" t="inlineStr">
        <is>
          <t>開く</t>
        </is>
      </c>
    </row>
    <row r="205">
      <c r="A205" s="2">
        <f>RANK(J205,$J$2:$J$489)</f>
        <v/>
      </c>
      <c r="B205" s="3" t="inlineStr">
        <is>
          <t>ハッチ・面積・長さ集計</t>
        </is>
      </c>
      <c r="C205" s="3" t="inlineStr">
        <is>
          <t>-</t>
        </is>
      </c>
      <c r="D205" s="4" t="inlineStr">
        <is>
          <t>Etiqueta Superficie</t>
        </is>
      </c>
      <c r="E205" s="4" t="inlineStr">
        <is>
          <t>部屋名と面積のラベルを作成</t>
        </is>
      </c>
      <c r="F205" s="2" t="n">
        <v>11</v>
      </c>
      <c r="G205" s="2" t="n">
        <v>9</v>
      </c>
      <c r="H205" s="2" t="n">
        <v>13</v>
      </c>
      <c r="I205" s="2" t="n">
        <v>10</v>
      </c>
      <c r="J205" s="5">
        <f>SUM(F205:I205)</f>
        <v/>
      </c>
      <c r="K205" s="4" t="inlineStr">
        <is>
          <t>室名面積ラベル</t>
        </is>
      </c>
      <c r="L205" s="3" t="inlineStr">
        <is>
          <t>Andrés S. del Toro</t>
        </is>
      </c>
      <c r="M205" s="3" t="inlineStr">
        <is>
          <t>andresdeltoro.es</t>
        </is>
      </c>
      <c r="N205" s="6" t="inlineStr">
        <is>
          <t>開く</t>
        </is>
      </c>
    </row>
    <row r="206">
      <c r="A206" s="2">
        <f>RANK(J206,$J$2:$J$489)</f>
        <v/>
      </c>
      <c r="B206" s="3" t="inlineStr">
        <is>
          <t>線・ポリライン編集</t>
        </is>
      </c>
      <c r="C206" s="3" t="inlineStr">
        <is>
          <t>-</t>
        </is>
      </c>
      <c r="D206" s="4" t="inlineStr">
        <is>
          <t>Heilen</t>
        </is>
      </c>
      <c r="E206" s="4" t="inlineStr">
        <is>
          <t>一直線上に分断された線を1本に修復</t>
        </is>
      </c>
      <c r="F206" s="2" t="n">
        <v>11</v>
      </c>
      <c r="G206" s="2" t="n">
        <v>8</v>
      </c>
      <c r="H206" s="2" t="n">
        <v>11</v>
      </c>
      <c r="I206" s="2" t="n">
        <v>13</v>
      </c>
      <c r="J206" s="5">
        <f>SUM(F206:I206)</f>
        <v/>
      </c>
      <c r="K206" s="4" t="inlineStr">
        <is>
          <t>分断線の修復</t>
        </is>
      </c>
      <c r="L206" s="3" t="inlineStr">
        <is>
          <t>CADwiesel</t>
        </is>
      </c>
      <c r="M206" s="3" t="inlineStr">
        <is>
          <t>CADwiesel</t>
        </is>
      </c>
      <c r="N206" s="6" t="inlineStr">
        <is>
          <t>開く</t>
        </is>
      </c>
    </row>
    <row r="207">
      <c r="A207" s="2">
        <f>RANK(J207,$J$2:$J$489)</f>
        <v/>
      </c>
      <c r="B207" s="3" t="inlineStr">
        <is>
          <t>画層</t>
        </is>
      </c>
      <c r="C207" s="3" t="inlineStr">
        <is>
          <t>LSTOG</t>
        </is>
      </c>
      <c r="D207" s="4" t="inlineStr">
        <is>
          <t>LayerStateToggle</t>
        </is>
      </c>
      <c r="E207" s="4" t="inlineStr">
        <is>
          <t>保存済み画層状態を素早く切替</t>
        </is>
      </c>
      <c r="F207" s="2" t="n">
        <v>9</v>
      </c>
      <c r="G207" s="2" t="n">
        <v>9</v>
      </c>
      <c r="H207" s="2" t="n">
        <v>11</v>
      </c>
      <c r="I207" s="2" t="n">
        <v>14</v>
      </c>
      <c r="J207" s="5">
        <f>SUM(F207:I207)</f>
        <v/>
      </c>
      <c r="K207" s="4" t="inlineStr">
        <is>
          <t>画層状態切替を簡便化</t>
        </is>
      </c>
      <c r="L207" s="3" t="inlineStr"/>
      <c r="M207" s="3" t="inlineStr">
        <is>
          <t>CADthèque</t>
        </is>
      </c>
      <c r="N207" s="6" t="inlineStr">
        <is>
          <t>開く</t>
        </is>
      </c>
    </row>
    <row r="208">
      <c r="A208" s="2">
        <f>RANK(J208,$J$2:$J$489)</f>
        <v/>
      </c>
      <c r="B208" s="3" t="inlineStr">
        <is>
          <t>設定・環境</t>
        </is>
      </c>
      <c r="C208" s="3" t="inlineStr">
        <is>
          <t>-</t>
        </is>
      </c>
      <c r="D208" s="4" t="inlineStr">
        <is>
          <t>Ltdump</t>
        </is>
      </c>
      <c r="E208" s="4" t="inlineStr">
        <is>
          <t>図面の全線種をLINファイルへ抽出</t>
        </is>
      </c>
      <c r="F208" s="2" t="n">
        <v>16</v>
      </c>
      <c r="G208" s="2" t="n">
        <v>10</v>
      </c>
      <c r="H208" s="2" t="n">
        <v>7</v>
      </c>
      <c r="I208" s="2" t="n">
        <v>10</v>
      </c>
      <c r="J208" s="5">
        <f>SUM(F208:I208)</f>
        <v/>
      </c>
      <c r="K208" s="4" t="inlineStr">
        <is>
          <t>図面線種をLIN化</t>
        </is>
      </c>
      <c r="L208" s="3" t="inlineStr">
        <is>
          <t>CADwiesel</t>
        </is>
      </c>
      <c r="M208" s="3" t="inlineStr">
        <is>
          <t>CADwiesel</t>
        </is>
      </c>
      <c r="N208" s="6" t="inlineStr">
        <is>
          <t>開く</t>
        </is>
      </c>
    </row>
    <row r="209">
      <c r="A209" s="2">
        <f>RANK(J209,$J$2:$J$489)</f>
        <v/>
      </c>
      <c r="B209" s="3" t="inlineStr">
        <is>
          <t>寸法</t>
        </is>
      </c>
      <c r="C209" s="3" t="inlineStr">
        <is>
          <t>-</t>
        </is>
      </c>
      <c r="D209" s="4" t="inlineStr">
        <is>
          <t>Match dimension text</t>
        </is>
      </c>
      <c r="E209" s="4" t="inlineStr">
        <is>
          <t>寸法値の上書き文字を他寸法へコピー</t>
        </is>
      </c>
      <c r="F209" s="2" t="n">
        <v>13</v>
      </c>
      <c r="G209" s="2" t="n">
        <v>9</v>
      </c>
      <c r="H209" s="2" t="n">
        <v>9</v>
      </c>
      <c r="I209" s="2" t="n">
        <v>12</v>
      </c>
      <c r="J209" s="5">
        <f>SUM(F209:I209)</f>
        <v/>
      </c>
      <c r="K209" s="4" t="inlineStr">
        <is>
          <t>寸法上書き文字転写</t>
        </is>
      </c>
      <c r="L209" s="3" t="inlineStr">
        <is>
          <t>kojacek</t>
        </is>
      </c>
      <c r="M209" s="3" t="inlineStr">
        <is>
          <t>kojacek.wordpress.com</t>
        </is>
      </c>
      <c r="N209" s="6" t="inlineStr">
        <is>
          <t>開く</t>
        </is>
      </c>
    </row>
    <row r="210">
      <c r="A210" s="2">
        <f>RANK(J210,$J$2:$J$489)</f>
        <v/>
      </c>
      <c r="B210" s="3" t="inlineStr">
        <is>
          <t>印刷・レイアウト・図枠</t>
        </is>
      </c>
      <c r="C210" s="3" t="inlineStr">
        <is>
          <t>mpl</t>
        </is>
      </c>
      <c r="D210" s="4" t="inlineStr">
        <is>
          <t>MPL</t>
        </is>
      </c>
      <c r="E210" s="4" t="inlineStr">
        <is>
          <t>ページ設定を選択レイアウトへコピー</t>
        </is>
      </c>
      <c r="F210" s="2" t="n">
        <v>9</v>
      </c>
      <c r="G210" s="2" t="n">
        <v>7</v>
      </c>
      <c r="H210" s="2" t="n">
        <v>13</v>
      </c>
      <c r="I210" s="2" t="n">
        <v>14</v>
      </c>
      <c r="J210" s="5">
        <f>SUM(F210:I210)</f>
        <v/>
      </c>
      <c r="K210" s="4" t="inlineStr">
        <is>
          <t>PAGESETUP読込で代替可</t>
        </is>
      </c>
      <c r="L210" s="3" t="inlineStr">
        <is>
          <t>Patrick_35</t>
        </is>
      </c>
      <c r="M210" s="3" t="inlineStr">
        <is>
          <t>CADxp (Patrick_35)</t>
        </is>
      </c>
      <c r="N210" s="6" t="inlineStr">
        <is>
          <t>開く</t>
        </is>
      </c>
    </row>
    <row r="211">
      <c r="A211" s="2">
        <f>RANK(J211,$J$2:$J$489)</f>
        <v/>
      </c>
      <c r="B211" s="3" t="inlineStr">
        <is>
          <t>寸法</t>
        </is>
      </c>
      <c r="C211" s="3" t="inlineStr">
        <is>
          <t>-</t>
        </is>
      </c>
      <c r="D211" s="4" t="inlineStr">
        <is>
          <t>Narożnik wymiarów</t>
        </is>
      </c>
      <c r="E211" s="4" t="inlineStr">
        <is>
          <t>角部の寸法を一括作成</t>
        </is>
      </c>
      <c r="F211" s="2" t="n">
        <v>14</v>
      </c>
      <c r="G211" s="2" t="n">
        <v>11</v>
      </c>
      <c r="H211" s="2" t="n">
        <v>9</v>
      </c>
      <c r="I211" s="2" t="n">
        <v>9</v>
      </c>
      <c r="J211" s="5">
        <f>SUM(F211:I211)</f>
        <v/>
      </c>
      <c r="K211" s="4" t="inlineStr">
        <is>
          <t>角部寸法一括</t>
        </is>
      </c>
      <c r="L211" s="3" t="inlineStr">
        <is>
          <t>kojacek</t>
        </is>
      </c>
      <c r="M211" s="3" t="inlineStr">
        <is>
          <t>kojacek.wordpress.com</t>
        </is>
      </c>
      <c r="N211" s="6" t="inlineStr">
        <is>
          <t>開く</t>
        </is>
      </c>
    </row>
    <row r="212">
      <c r="A212" s="2">
        <f>RANK(J212,$J$2:$J$489)</f>
        <v/>
      </c>
      <c r="B212" s="3" t="inlineStr">
        <is>
          <t>ブロック・属性</t>
        </is>
      </c>
      <c r="C212" s="3" t="inlineStr">
        <is>
          <t>-</t>
        </is>
      </c>
      <c r="D212" s="4" t="inlineStr">
        <is>
          <t>Opis bloku</t>
        </is>
      </c>
      <c r="E212" s="4" t="inlineStr">
        <is>
          <t>ブロック名等をラベル表示</t>
        </is>
      </c>
      <c r="F212" s="2" t="n">
        <v>13</v>
      </c>
      <c r="G212" s="2" t="n">
        <v>10</v>
      </c>
      <c r="H212" s="2" t="n">
        <v>8</v>
      </c>
      <c r="I212" s="2" t="n">
        <v>12</v>
      </c>
      <c r="J212" s="5">
        <f>SUM(F212:I212)</f>
        <v/>
      </c>
      <c r="K212" s="4" t="inlineStr">
        <is>
          <t>ブロック名ラベル</t>
        </is>
      </c>
      <c r="L212" s="3" t="inlineStr">
        <is>
          <t>kojacek</t>
        </is>
      </c>
      <c r="M212" s="3" t="inlineStr">
        <is>
          <t>kojacek.wordpress.com</t>
        </is>
      </c>
      <c r="N212" s="6" t="inlineStr">
        <is>
          <t>開く</t>
        </is>
      </c>
    </row>
    <row r="213">
      <c r="A213" s="2">
        <f>RANK(J213,$J$2:$J$489)</f>
        <v/>
      </c>
      <c r="B213" s="3" t="inlineStr">
        <is>
          <t>線・ポリライン編集</t>
        </is>
      </c>
      <c r="C213" s="3" t="inlineStr">
        <is>
          <t>plineorg</t>
        </is>
      </c>
      <c r="D213" s="4" t="inlineStr">
        <is>
          <t>PlineOrg</t>
        </is>
      </c>
      <c r="E213" s="4" t="inlineStr">
        <is>
          <t>閉じたポリラインの始点を任意位置に変更</t>
        </is>
      </c>
      <c r="F213" s="2" t="n">
        <v>13</v>
      </c>
      <c r="G213" s="2" t="n">
        <v>11</v>
      </c>
      <c r="H213" s="2" t="n">
        <v>8</v>
      </c>
      <c r="I213" s="2" t="n">
        <v>11</v>
      </c>
      <c r="J213" s="5">
        <f>SUM(F213:I213)</f>
        <v/>
      </c>
      <c r="K213" s="4" t="inlineStr">
        <is>
          <t>閉ポリの始点変更</t>
        </is>
      </c>
      <c r="L213" s="3" t="inlineStr">
        <is>
          <t>(gile)</t>
        </is>
      </c>
      <c r="M213" s="3" t="inlineStr">
        <is>
          <t>GitHub: chenhaibin/Utilitaires_AutoLisp</t>
        </is>
      </c>
      <c r="N213" s="6" t="inlineStr">
        <is>
          <t>開く</t>
        </is>
      </c>
    </row>
    <row r="214">
      <c r="A214" s="2">
        <f>RANK(J214,$J$2:$J$489)</f>
        <v/>
      </c>
      <c r="B214" s="3" t="inlineStr">
        <is>
          <t>線・ポリライン編集</t>
        </is>
      </c>
      <c r="C214" s="3" t="inlineStr">
        <is>
          <t>-</t>
        </is>
      </c>
      <c r="D214" s="4" t="inlineStr">
        <is>
          <t>Podział zamkniętej polilinii</t>
        </is>
      </c>
      <c r="E214" s="4" t="inlineStr">
        <is>
          <t>閉じたポリラインを2点の直線で2分割</t>
        </is>
      </c>
      <c r="F214" s="2" t="n">
        <v>14</v>
      </c>
      <c r="G214" s="2" t="n">
        <v>11</v>
      </c>
      <c r="H214" s="2" t="n">
        <v>8</v>
      </c>
      <c r="I214" s="2" t="n">
        <v>10</v>
      </c>
      <c r="J214" s="5">
        <f>SUM(F214:I214)</f>
        <v/>
      </c>
      <c r="K214" s="4" t="inlineStr">
        <is>
          <t>閉ポリを線で2分割</t>
        </is>
      </c>
      <c r="L214" s="3" t="inlineStr">
        <is>
          <t>kojacek</t>
        </is>
      </c>
      <c r="M214" s="3" t="inlineStr">
        <is>
          <t>kojacek.wordpress.com</t>
        </is>
      </c>
      <c r="N214" s="6" t="inlineStr">
        <is>
          <t>開く</t>
        </is>
      </c>
    </row>
    <row r="215">
      <c r="A215" s="2">
        <f>RANK(J215,$J$2:$J$489)</f>
        <v/>
      </c>
      <c r="B215" s="3" t="inlineStr">
        <is>
          <t>座標・測量・土木</t>
        </is>
      </c>
      <c r="C215" s="3" t="inlineStr">
        <is>
          <t>Cor</t>
        </is>
      </c>
      <c r="D215" s="4" t="inlineStr">
        <is>
          <t>Punto su linea con Z</t>
        </is>
      </c>
      <c r="E215" s="4" t="inlineStr">
        <is>
          <t>3D線上の平面位置からZを補間して点配置</t>
        </is>
      </c>
      <c r="F215" s="2" t="n">
        <v>16</v>
      </c>
      <c r="G215" s="2" t="n">
        <v>11</v>
      </c>
      <c r="H215" s="2" t="n">
        <v>9</v>
      </c>
      <c r="I215" s="2" t="n">
        <v>7</v>
      </c>
      <c r="J215" s="5">
        <f>SUM(F215:I215)</f>
        <v/>
      </c>
      <c r="K215" s="4" t="inlineStr">
        <is>
          <t>Z補間の点配置</t>
        </is>
      </c>
      <c r="L215" s="3" t="inlineStr">
        <is>
          <t>EmiCAD</t>
        </is>
      </c>
      <c r="M215" s="3" t="inlineStr">
        <is>
          <t>EmiLISP Free (emicad.it)</t>
        </is>
      </c>
      <c r="N215" s="6" t="inlineStr">
        <is>
          <t>開く</t>
        </is>
      </c>
    </row>
    <row r="216">
      <c r="A216" s="2">
        <f>RANK(J216,$J$2:$J$489)</f>
        <v/>
      </c>
      <c r="B216" s="3" t="inlineStr">
        <is>
          <t>座標・測量・土木</t>
        </is>
      </c>
      <c r="C216" s="3" t="inlineStr">
        <is>
          <t>-</t>
        </is>
      </c>
      <c r="D216" s="4" t="inlineStr">
        <is>
          <t>REB DGM Import/Export</t>
        </is>
      </c>
      <c r="E216" s="4" t="inlineStr">
        <is>
          <t>ドイツREB形式のDTMを破線込みで入出力（有料）</t>
        </is>
      </c>
      <c r="F216" s="2" t="n">
        <v>18</v>
      </c>
      <c r="G216" s="2" t="n">
        <v>10</v>
      </c>
      <c r="H216" s="2" t="n">
        <v>12</v>
      </c>
      <c r="I216" s="2" t="n">
        <v>3</v>
      </c>
      <c r="J216" s="5">
        <f>SUM(F216:I216)</f>
        <v/>
      </c>
      <c r="K216" s="4" t="inlineStr">
        <is>
          <t>独REB形式（有料）</t>
        </is>
      </c>
      <c r="L216" s="3" t="inlineStr">
        <is>
          <t>Uwe Hübner</t>
        </is>
      </c>
      <c r="M216" s="3" t="inlineStr">
        <is>
          <t>CAD-Huebner</t>
        </is>
      </c>
      <c r="N216" s="6" t="inlineStr">
        <is>
          <t>開く</t>
        </is>
      </c>
    </row>
    <row r="217">
      <c r="A217" s="2">
        <f>RANK(J217,$J$2:$J$489)</f>
        <v/>
      </c>
      <c r="B217" s="3" t="inlineStr">
        <is>
          <t>ブロック・属性</t>
        </is>
      </c>
      <c r="C217" s="3" t="inlineStr">
        <is>
          <t>-</t>
        </is>
      </c>
      <c r="D217" s="4" t="inlineStr">
        <is>
          <t>Redefinicja bloku inaczej</t>
        </is>
      </c>
      <c r="E217" s="4" t="inlineStr">
        <is>
          <t>既存ブロックの定義を図形から再構築</t>
        </is>
      </c>
      <c r="F217" s="2" t="n">
        <v>13</v>
      </c>
      <c r="G217" s="2" t="n">
        <v>11</v>
      </c>
      <c r="H217" s="2" t="n">
        <v>8</v>
      </c>
      <c r="I217" s="2" t="n">
        <v>11</v>
      </c>
      <c r="J217" s="5">
        <f>SUM(F217:I217)</f>
        <v/>
      </c>
      <c r="K217" s="4" t="inlineStr">
        <is>
          <t>ブロック再定義補助</t>
        </is>
      </c>
      <c r="L217" s="3" t="inlineStr">
        <is>
          <t>kojacek</t>
        </is>
      </c>
      <c r="M217" s="3" t="inlineStr">
        <is>
          <t>kojacek.wordpress.com</t>
        </is>
      </c>
      <c r="N217" s="6" t="inlineStr">
        <is>
          <t>開く</t>
        </is>
      </c>
    </row>
    <row r="218">
      <c r="A218" s="2">
        <f>RANK(J218,$J$2:$J$489)</f>
        <v/>
      </c>
      <c r="B218" s="3" t="inlineStr">
        <is>
          <t>座標・測量・土木</t>
        </is>
      </c>
      <c r="C218" s="3" t="inlineStr">
        <is>
          <t>sost_blc_scr / sost_blc_attr</t>
        </is>
      </c>
      <c r="D218" s="4" t="inlineStr">
        <is>
          <t>Sostituisci blocco quota</t>
        </is>
      </c>
      <c r="E218" s="4" t="inlineStr">
        <is>
          <t>標高ブロックを点＋標高文字に置換</t>
        </is>
      </c>
      <c r="F218" s="2" t="n">
        <v>15</v>
      </c>
      <c r="G218" s="2" t="n">
        <v>11</v>
      </c>
      <c r="H218" s="2" t="n">
        <v>11</v>
      </c>
      <c r="I218" s="2" t="n">
        <v>6</v>
      </c>
      <c r="J218" s="5">
        <f>SUM(F218:I218)</f>
        <v/>
      </c>
      <c r="K218" s="4" t="inlineStr">
        <is>
          <t>標高ブロック変換</t>
        </is>
      </c>
      <c r="L218" s="3" t="inlineStr">
        <is>
          <t>EmiCAD</t>
        </is>
      </c>
      <c r="M218" s="3" t="inlineStr">
        <is>
          <t>EmiLISP Free (emicad.it)</t>
        </is>
      </c>
      <c r="N218" s="6" t="inlineStr">
        <is>
          <t>開く</t>
        </is>
      </c>
    </row>
    <row r="219">
      <c r="A219" s="2">
        <f>RANK(J219,$J$2:$J$489)</f>
        <v/>
      </c>
      <c r="B219" s="3" t="inlineStr">
        <is>
          <t>ブロック・属性</t>
        </is>
      </c>
      <c r="C219" s="3" t="inlineStr">
        <is>
          <t>-</t>
        </is>
      </c>
      <c r="D219" s="4" t="inlineStr">
        <is>
          <t>Text to attrib</t>
        </is>
      </c>
      <c r="E219" s="4" t="inlineStr">
        <is>
          <t>ブロック定義内の文字を属性に置換</t>
        </is>
      </c>
      <c r="F219" s="2" t="n">
        <v>14</v>
      </c>
      <c r="G219" s="2" t="n">
        <v>10</v>
      </c>
      <c r="H219" s="2" t="n">
        <v>8</v>
      </c>
      <c r="I219" s="2" t="n">
        <v>11</v>
      </c>
      <c r="J219" s="5">
        <f>SUM(F219:I219)</f>
        <v/>
      </c>
      <c r="K219" s="4" t="inlineStr">
        <is>
          <t>定義内文字を属性化</t>
        </is>
      </c>
      <c r="L219" s="3" t="inlineStr">
        <is>
          <t>kojacek</t>
        </is>
      </c>
      <c r="M219" s="3" t="inlineStr">
        <is>
          <t>kojacek.wordpress.com</t>
        </is>
      </c>
      <c r="N219" s="6" t="inlineStr">
        <is>
          <t>開く</t>
        </is>
      </c>
    </row>
    <row r="220">
      <c r="A220" s="2">
        <f>RANK(J220,$J$2:$J$489)</f>
        <v/>
      </c>
      <c r="B220" s="3" t="inlineStr">
        <is>
          <t>ハッチ・面積・長さ集計</t>
        </is>
      </c>
      <c r="C220" s="3" t="inlineStr">
        <is>
          <t>tot</t>
        </is>
      </c>
      <c r="D220" s="4" t="inlineStr">
        <is>
          <t>TOT</t>
        </is>
      </c>
      <c r="E220" s="4" t="inlineStr">
        <is>
          <t>線・ポリライン等の長さ合計を表示</t>
        </is>
      </c>
      <c r="F220" s="2" t="n">
        <v>10</v>
      </c>
      <c r="G220" s="2" t="n">
        <v>5</v>
      </c>
      <c r="H220" s="2" t="n">
        <v>12</v>
      </c>
      <c r="I220" s="2" t="n">
        <v>16</v>
      </c>
      <c r="J220" s="5">
        <f>SUM(F220:I220)</f>
        <v/>
      </c>
      <c r="K220" s="4" t="inlineStr">
        <is>
          <t>合計長さの定番</t>
        </is>
      </c>
      <c r="L220" s="3" t="inlineStr">
        <is>
          <t>Patrick_35</t>
        </is>
      </c>
      <c r="M220" s="3" t="inlineStr">
        <is>
          <t>CADxp (Patrick_35)</t>
        </is>
      </c>
      <c r="N220" s="6" t="inlineStr">
        <is>
          <t>開く</t>
        </is>
      </c>
    </row>
    <row r="221">
      <c r="A221" s="2">
        <f>RANK(J221,$J$2:$J$489)</f>
        <v/>
      </c>
      <c r="B221" s="3" t="inlineStr">
        <is>
          <t>寸法</t>
        </is>
      </c>
      <c r="C221" s="3" t="inlineStr">
        <is>
          <t>-</t>
        </is>
      </c>
      <c r="D221" s="4" t="inlineStr">
        <is>
          <t>Zaokrąglanie wartości wymiaru</t>
        </is>
      </c>
      <c r="E221" s="4" t="inlineStr">
        <is>
          <t>寸法値を指定単位で丸めて上書き</t>
        </is>
      </c>
      <c r="F221" s="2" t="n">
        <v>13</v>
      </c>
      <c r="G221" s="2" t="n">
        <v>9</v>
      </c>
      <c r="H221" s="2" t="n">
        <v>10</v>
      </c>
      <c r="I221" s="2" t="n">
        <v>11</v>
      </c>
      <c r="J221" s="5">
        <f>SUM(F221:I221)</f>
        <v/>
      </c>
      <c r="K221" s="4" t="inlineStr">
        <is>
          <t>寸法値丸め</t>
        </is>
      </c>
      <c r="L221" s="3" t="inlineStr">
        <is>
          <t>kojacek</t>
        </is>
      </c>
      <c r="M221" s="3" t="inlineStr">
        <is>
          <t>kojacek.wordpress.com</t>
        </is>
      </c>
      <c r="N221" s="6" t="inlineStr">
        <is>
          <t>開く</t>
        </is>
      </c>
    </row>
    <row r="222">
      <c r="A222" s="2">
        <f>RANK(J222,$J$2:$J$489)</f>
        <v/>
      </c>
      <c r="B222" s="3" t="inlineStr">
        <is>
          <t>文字・テキスト</t>
        </is>
      </c>
      <c r="C222" s="3" t="inlineStr">
        <is>
          <t>tes</t>
        </is>
      </c>
      <c r="D222" s="4" t="inlineStr">
        <is>
          <t>Aggiungi testo a testo</t>
        </is>
      </c>
      <c r="E222" s="4" t="inlineStr">
        <is>
          <t>既存文字に文字列を追加</t>
        </is>
      </c>
      <c r="F222" s="2" t="n">
        <v>11</v>
      </c>
      <c r="G222" s="2" t="n">
        <v>7</v>
      </c>
      <c r="H222" s="2" t="n">
        <v>10</v>
      </c>
      <c r="I222" s="2" t="n">
        <v>14</v>
      </c>
      <c r="J222" s="5">
        <f>SUM(F222:I222)</f>
        <v/>
      </c>
      <c r="K222" s="4" t="inlineStr">
        <is>
          <t>文字追記</t>
        </is>
      </c>
      <c r="L222" s="3" t="inlineStr">
        <is>
          <t>EmiCAD</t>
        </is>
      </c>
      <c r="M222" s="3" t="inlineStr">
        <is>
          <t>EmiLISP Free (emicad.it)</t>
        </is>
      </c>
      <c r="N222" s="6" t="inlineStr">
        <is>
          <t>開く</t>
        </is>
      </c>
    </row>
    <row r="223">
      <c r="A223" s="2">
        <f>RANK(J223,$J$2:$J$489)</f>
        <v/>
      </c>
      <c r="B223" s="3" t="inlineStr">
        <is>
          <t>表・Excel連携</t>
        </is>
      </c>
      <c r="C223" s="3" t="inlineStr">
        <is>
          <t>-</t>
        </is>
      </c>
      <c r="D223" s="4" t="inlineStr">
        <is>
          <t>Att2Xls</t>
        </is>
      </c>
      <c r="E223" s="4" t="inlineStr">
        <is>
          <t>ダイアログで選んだブロック・属性をExcelへ出力</t>
        </is>
      </c>
      <c r="F223" s="2" t="n">
        <v>9</v>
      </c>
      <c r="G223" s="2" t="n">
        <v>7</v>
      </c>
      <c r="H223" s="2" t="n">
        <v>13</v>
      </c>
      <c r="I223" s="2" t="n">
        <v>13</v>
      </c>
      <c r="J223" s="5">
        <f>SUM(F223:I223)</f>
        <v/>
      </c>
      <c r="K223" s="4" t="inlineStr">
        <is>
          <t>DATAEXTRACTIONで代替可</t>
        </is>
      </c>
      <c r="L223" s="3" t="inlineStr">
        <is>
          <t>CADwiesel</t>
        </is>
      </c>
      <c r="M223" s="3" t="inlineStr">
        <is>
          <t>CADwiesel</t>
        </is>
      </c>
      <c r="N223" s="6" t="inlineStr">
        <is>
          <t>開く</t>
        </is>
      </c>
    </row>
    <row r="224">
      <c r="A224" s="2">
        <f>RANK(J224,$J$2:$J$489)</f>
        <v/>
      </c>
      <c r="B224" s="3" t="inlineStr">
        <is>
          <t>ブロック・属性</t>
        </is>
      </c>
      <c r="C224" s="3" t="inlineStr">
        <is>
          <t>-</t>
        </is>
      </c>
      <c r="D224" s="4" t="inlineStr">
        <is>
          <t>Atthoe</t>
        </is>
      </c>
      <c r="E224" s="4" t="inlineStr">
        <is>
          <t>ブロック内属性の高さ・幅・角度・傾斜を一括変更</t>
        </is>
      </c>
      <c r="F224" s="2" t="n">
        <v>11</v>
      </c>
      <c r="G224" s="2" t="n">
        <v>8</v>
      </c>
      <c r="H224" s="2" t="n">
        <v>10</v>
      </c>
      <c r="I224" s="2" t="n">
        <v>13</v>
      </c>
      <c r="J224" s="5">
        <f>SUM(F224:I224)</f>
        <v/>
      </c>
      <c r="K224" s="4" t="inlineStr">
        <is>
          <t>属性書式一括変更</t>
        </is>
      </c>
      <c r="L224" s="3" t="inlineStr">
        <is>
          <t>CADwiesel</t>
        </is>
      </c>
      <c r="M224" s="3" t="inlineStr">
        <is>
          <t>CADwiesel</t>
        </is>
      </c>
      <c r="N224" s="6" t="inlineStr">
        <is>
          <t>開く</t>
        </is>
      </c>
    </row>
    <row r="225">
      <c r="A225" s="2">
        <f>RANK(J225,$J$2:$J$489)</f>
        <v/>
      </c>
      <c r="B225" s="3" t="inlineStr">
        <is>
          <t>LISP開発用の部品</t>
        </is>
      </c>
      <c r="C225" s="3" t="inlineStr">
        <is>
          <t>-</t>
        </is>
      </c>
      <c r="D225" s="4" t="inlineStr">
        <is>
          <t>BLK_*</t>
        </is>
      </c>
      <c r="E225" s="4" t="inlineStr">
        <is>
          <t>ブロック挿入・属性値/動的プロパティ取得設定・Xref関数群</t>
        </is>
      </c>
      <c r="F225" s="2" t="n">
        <v>13</v>
      </c>
      <c r="G225" s="2" t="n">
        <v>10</v>
      </c>
      <c r="H225" s="2" t="n">
        <v>5</v>
      </c>
      <c r="I225" s="2" t="n">
        <v>14</v>
      </c>
      <c r="J225" s="5">
        <f>SUM(F225:I225)</f>
        <v/>
      </c>
      <c r="K225" s="4" t="inlineStr">
        <is>
          <t>動的ブロック操作関数</t>
        </is>
      </c>
      <c r="L225" s="3" t="inlineStr">
        <is>
          <t>CADPL (kojacek, kruuger et al.)</t>
        </is>
      </c>
      <c r="M225" s="3" t="inlineStr">
        <is>
          <t>GitHub: kruuger/CADPL-Pack-v1</t>
        </is>
      </c>
      <c r="N225" s="6" t="inlineStr">
        <is>
          <t>開く</t>
        </is>
      </c>
    </row>
    <row r="226">
      <c r="A226" s="2">
        <f>RANK(J226,$J$2:$J$489)</f>
        <v/>
      </c>
      <c r="B226" s="3" t="inlineStr">
        <is>
          <t>ブロック・属性</t>
        </is>
      </c>
      <c r="C226" s="3" t="inlineStr">
        <is>
          <t>-</t>
        </is>
      </c>
      <c r="D226" s="4" t="inlineStr">
        <is>
          <t>Blockmanager</t>
        </is>
      </c>
      <c r="E226" s="4" t="inlineStr">
        <is>
          <t>フォルダのDWGをプレビュー付きパレットからブロック挿入</t>
        </is>
      </c>
      <c r="F226" s="2" t="n">
        <v>9</v>
      </c>
      <c r="G226" s="2" t="n">
        <v>8</v>
      </c>
      <c r="H226" s="2" t="n">
        <v>11</v>
      </c>
      <c r="I226" s="2" t="n">
        <v>14</v>
      </c>
      <c r="J226" s="5">
        <f>SUM(F226:I226)</f>
        <v/>
      </c>
      <c r="K226" s="4" t="inlineStr">
        <is>
          <t>ツールパレット等で代替</t>
        </is>
      </c>
      <c r="L226" s="3" t="inlineStr">
        <is>
          <t>CADwiesel</t>
        </is>
      </c>
      <c r="M226" s="3" t="inlineStr">
        <is>
          <t>CADwiesel</t>
        </is>
      </c>
      <c r="N226" s="6" t="inlineStr">
        <is>
          <t>開く</t>
        </is>
      </c>
    </row>
    <row r="227">
      <c r="A227" s="2">
        <f>RANK(J227,$J$2:$J$489)</f>
        <v/>
      </c>
      <c r="B227" s="3" t="inlineStr">
        <is>
          <t>ブロック・属性</t>
        </is>
      </c>
      <c r="C227" s="3" t="inlineStr">
        <is>
          <t>-</t>
        </is>
      </c>
      <c r="D227" s="4" t="inlineStr">
        <is>
          <t>Blocktausch</t>
        </is>
      </c>
      <c r="E227" s="4" t="inlineStr">
        <is>
          <t>ダイアログで選んだブロックに一括置換</t>
        </is>
      </c>
      <c r="F227" s="2" t="n">
        <v>9</v>
      </c>
      <c r="G227" s="2" t="n">
        <v>7</v>
      </c>
      <c r="H227" s="2" t="n">
        <v>12</v>
      </c>
      <c r="I227" s="2" t="n">
        <v>14</v>
      </c>
      <c r="J227" s="5">
        <f>SUM(F227:I227)</f>
        <v/>
      </c>
      <c r="K227" s="4" t="inlineStr">
        <is>
          <t>BREPLACEで代替可</t>
        </is>
      </c>
      <c r="L227" s="3" t="inlineStr">
        <is>
          <t>CADwiesel</t>
        </is>
      </c>
      <c r="M227" s="3" t="inlineStr">
        <is>
          <t>CADwiesel</t>
        </is>
      </c>
      <c r="N227" s="6" t="inlineStr">
        <is>
          <t>開く</t>
        </is>
      </c>
    </row>
    <row r="228">
      <c r="A228" s="2">
        <f>RANK(J228,$J$2:$J$489)</f>
        <v/>
      </c>
      <c r="B228" s="3" t="inlineStr">
        <is>
          <t>座標・測量・土木</t>
        </is>
      </c>
      <c r="C228" s="3" t="inlineStr">
        <is>
          <t>-</t>
        </is>
      </c>
      <c r="D228" s="4" t="inlineStr">
        <is>
          <t>Böschungsschraffur</t>
        </is>
      </c>
      <c r="E228" s="4" t="inlineStr">
        <is>
          <t>2本のポリライン間に法面記号を作成</t>
        </is>
      </c>
      <c r="F228" s="2" t="n">
        <v>12</v>
      </c>
      <c r="G228" s="2" t="n">
        <v>10</v>
      </c>
      <c r="H228" s="2" t="n">
        <v>12</v>
      </c>
      <c r="I228" s="2" t="n">
        <v>8</v>
      </c>
      <c r="J228" s="5">
        <f>SUM(F228:I228)</f>
        <v/>
      </c>
      <c r="K228" s="4" t="inlineStr">
        <is>
          <t>法面記号を自動作成</t>
        </is>
      </c>
      <c r="L228" s="3" t="inlineStr">
        <is>
          <t>CADwiesel</t>
        </is>
      </c>
      <c r="M228" s="3" t="inlineStr">
        <is>
          <t>CADwiesel</t>
        </is>
      </c>
      <c r="N228" s="6" t="inlineStr">
        <is>
          <t>開く</t>
        </is>
      </c>
    </row>
    <row r="229">
      <c r="A229" s="2">
        <f>RANK(J229,$J$2:$J$489)</f>
        <v/>
      </c>
      <c r="B229" s="3" t="inlineStr">
        <is>
          <t>文字・テキスト</t>
        </is>
      </c>
      <c r="C229" s="3" t="inlineStr">
        <is>
          <t>ct / mt</t>
        </is>
      </c>
      <c r="D229" s="4" t="inlineStr">
        <is>
          <t>Cadre&amp;Masque</t>
        </is>
      </c>
      <c r="E229" s="4" t="inlineStr">
        <is>
          <t>文字に枠またはマスクを作成</t>
        </is>
      </c>
      <c r="F229" s="2" t="n">
        <v>8</v>
      </c>
      <c r="G229" s="2" t="n">
        <v>8</v>
      </c>
      <c r="H229" s="2" t="n">
        <v>10</v>
      </c>
      <c r="I229" s="2" t="n">
        <v>16</v>
      </c>
      <c r="J229" s="5">
        <f>SUM(F229:I229)</f>
        <v/>
      </c>
      <c r="K229" s="4" t="inlineStr">
        <is>
          <t>背景マスク標準で代替可</t>
        </is>
      </c>
      <c r="L229" s="3" t="inlineStr">
        <is>
          <t>(gile)</t>
        </is>
      </c>
      <c r="M229" s="3" t="inlineStr">
        <is>
          <t>gileCAD</t>
        </is>
      </c>
      <c r="N229" s="6" t="inlineStr">
        <is>
          <t>開く</t>
        </is>
      </c>
    </row>
    <row r="230">
      <c r="A230" s="2">
        <f>RANK(J230,$J$2:$J$489)</f>
        <v/>
      </c>
      <c r="B230" s="3" t="inlineStr">
        <is>
          <t>選択・絞り込み</t>
        </is>
      </c>
      <c r="C230" s="3" t="inlineStr">
        <is>
          <t>canc</t>
        </is>
      </c>
      <c r="D230" s="4" t="inlineStr">
        <is>
          <t>Cancella oggetti esterni</t>
        </is>
      </c>
      <c r="E230" s="4" t="inlineStr">
        <is>
          <t>2つの矩形の間にある図形を削除</t>
        </is>
      </c>
      <c r="F230" s="2" t="n">
        <v>13</v>
      </c>
      <c r="G230" s="2" t="n">
        <v>10</v>
      </c>
      <c r="H230" s="2" t="n">
        <v>8</v>
      </c>
      <c r="I230" s="2" t="n">
        <v>11</v>
      </c>
      <c r="J230" s="5">
        <f>SUM(F230:I230)</f>
        <v/>
      </c>
      <c r="K230" s="4" t="inlineStr">
        <is>
          <t>2矩形間を削除</t>
        </is>
      </c>
      <c r="L230" s="3" t="inlineStr">
        <is>
          <t>EmiCAD</t>
        </is>
      </c>
      <c r="M230" s="3" t="inlineStr">
        <is>
          <t>EmiLISP Free (emicad.it)</t>
        </is>
      </c>
      <c r="N230" s="6" t="inlineStr">
        <is>
          <t>開く</t>
        </is>
      </c>
    </row>
    <row r="231">
      <c r="A231" s="2">
        <f>RANK(J231,$J$2:$J$489)</f>
        <v/>
      </c>
      <c r="B231" s="3" t="inlineStr">
        <is>
          <t>画層</t>
        </is>
      </c>
      <c r="C231" s="3" t="inlineStr">
        <is>
          <t>-</t>
        </is>
      </c>
      <c r="D231" s="4" t="inlineStr">
        <is>
          <t>Elemsliste</t>
        </is>
      </c>
      <c r="E231" s="4" t="inlineStr">
        <is>
          <t>画層別に図形種類ごとの数をリスト</t>
        </is>
      </c>
      <c r="F231" s="2" t="n">
        <v>13</v>
      </c>
      <c r="G231" s="2" t="n">
        <v>10</v>
      </c>
      <c r="H231" s="2" t="n">
        <v>7</v>
      </c>
      <c r="I231" s="2" t="n">
        <v>12</v>
      </c>
      <c r="J231" s="5">
        <f>SUM(F231:I231)</f>
        <v/>
      </c>
      <c r="K231" s="4" t="inlineStr">
        <is>
          <t>画層別図形数一覧</t>
        </is>
      </c>
      <c r="L231" s="3" t="inlineStr">
        <is>
          <t>CADwiesel</t>
        </is>
      </c>
      <c r="M231" s="3" t="inlineStr">
        <is>
          <t>CADwiesel</t>
        </is>
      </c>
      <c r="N231" s="6" t="inlineStr">
        <is>
          <t>開く</t>
        </is>
      </c>
    </row>
    <row r="232">
      <c r="A232" s="2">
        <f>RANK(J232,$J$2:$J$489)</f>
        <v/>
      </c>
      <c r="B232" s="3" t="inlineStr">
        <is>
          <t>ハッチ・面積・長さ集計</t>
        </is>
      </c>
      <c r="C232" s="3" t="inlineStr">
        <is>
          <t>-</t>
        </is>
      </c>
      <c r="D232" s="4" t="inlineStr">
        <is>
          <t>Fla-neu</t>
        </is>
      </c>
      <c r="E232" s="4" t="inlineStr">
        <is>
          <t>外形から穴ポリゴンを差引いた面積計算</t>
        </is>
      </c>
      <c r="F232" s="2" t="n">
        <v>11</v>
      </c>
      <c r="G232" s="2" t="n">
        <v>8</v>
      </c>
      <c r="H232" s="2" t="n">
        <v>11</v>
      </c>
      <c r="I232" s="2" t="n">
        <v>12</v>
      </c>
      <c r="J232" s="5">
        <f>SUM(F232:I232)</f>
        <v/>
      </c>
      <c r="K232" s="4" t="inlineStr">
        <is>
          <t>穴抜き面積</t>
        </is>
      </c>
      <c r="L232" s="3" t="inlineStr">
        <is>
          <t>CADwiesel</t>
        </is>
      </c>
      <c r="M232" s="3" t="inlineStr">
        <is>
          <t>CADwiesel</t>
        </is>
      </c>
      <c r="N232" s="6" t="inlineStr">
        <is>
          <t>開く</t>
        </is>
      </c>
    </row>
    <row r="233">
      <c r="A233" s="2">
        <f>RANK(J233,$J$2:$J$489)</f>
        <v/>
      </c>
      <c r="B233" s="3" t="inlineStr">
        <is>
          <t>作図</t>
        </is>
      </c>
      <c r="C233" s="3" t="inlineStr">
        <is>
          <t>-</t>
        </is>
      </c>
      <c r="D233" s="4" t="inlineStr">
        <is>
          <t>GeoRef</t>
        </is>
      </c>
      <c r="E233" s="4" t="inlineStr">
        <is>
          <t>2点対応で画像/図形を移動・回転・尺度（ジオリファレンス）</t>
        </is>
      </c>
      <c r="F233" s="2" t="n">
        <v>11</v>
      </c>
      <c r="G233" s="2" t="n">
        <v>9</v>
      </c>
      <c r="H233" s="2" t="n">
        <v>10</v>
      </c>
      <c r="I233" s="2" t="n">
        <v>12</v>
      </c>
      <c r="J233" s="5">
        <f>SUM(F233:I233)</f>
        <v/>
      </c>
      <c r="K233" s="4" t="inlineStr">
        <is>
          <t>ALIGNで概ね代替</t>
        </is>
      </c>
      <c r="L233" s="3" t="inlineStr">
        <is>
          <t>Jörn Bosse</t>
        </is>
      </c>
      <c r="M233" s="3" t="inlineStr">
        <is>
          <t>Bosse Engineering</t>
        </is>
      </c>
      <c r="N233" s="6" t="inlineStr">
        <is>
          <t>開く</t>
        </is>
      </c>
    </row>
    <row r="234">
      <c r="A234" s="2">
        <f>RANK(J234,$J$2:$J$489)</f>
        <v/>
      </c>
      <c r="B234" s="3" t="inlineStr">
        <is>
          <t>ハッチ・面積・長さ集計</t>
        </is>
      </c>
      <c r="C234" s="3" t="inlineStr">
        <is>
          <t>-</t>
        </is>
      </c>
      <c r="D234" s="4" t="inlineStr">
        <is>
          <t>Hatchfl</t>
        </is>
      </c>
      <c r="E234" s="4" t="inlineStr">
        <is>
          <t>ハッチから境界ポリラインを作成し島込みで面積計算</t>
        </is>
      </c>
      <c r="F234" s="2" t="n">
        <v>11</v>
      </c>
      <c r="G234" s="2" t="n">
        <v>9</v>
      </c>
      <c r="H234" s="2" t="n">
        <v>10</v>
      </c>
      <c r="I234" s="2" t="n">
        <v>12</v>
      </c>
      <c r="J234" s="5">
        <f>SUM(F234:I234)</f>
        <v/>
      </c>
      <c r="K234" s="4" t="inlineStr">
        <is>
          <t>ハッチ境界と面積</t>
        </is>
      </c>
      <c r="L234" s="3" t="inlineStr">
        <is>
          <t>CADwiesel</t>
        </is>
      </c>
      <c r="M234" s="3" t="inlineStr">
        <is>
          <t>CADwiesel</t>
        </is>
      </c>
      <c r="N234" s="6" t="inlineStr">
        <is>
          <t>開く</t>
        </is>
      </c>
    </row>
    <row r="235">
      <c r="A235" s="2">
        <f>RANK(J235,$J$2:$J$489)</f>
        <v/>
      </c>
      <c r="B235" s="3" t="inlineStr">
        <is>
          <t>建築</t>
        </is>
      </c>
      <c r="C235" s="3" t="inlineStr">
        <is>
          <t>topla</t>
        </is>
      </c>
      <c r="D235" s="4" t="inlineStr">
        <is>
          <t>Hızlı duvar metrajı (topla)</t>
        </is>
      </c>
      <c r="E235" s="4" t="inlineStr">
        <is>
          <t>壁線の合計長さから壁数量を算出</t>
        </is>
      </c>
      <c r="F235" s="2" t="n">
        <v>12</v>
      </c>
      <c r="G235" s="2" t="n">
        <v>9</v>
      </c>
      <c r="H235" s="2" t="n">
        <v>13</v>
      </c>
      <c r="I235" s="2" t="n">
        <v>8</v>
      </c>
      <c r="J235" s="5">
        <f>SUM(F235:I235)</f>
        <v/>
      </c>
      <c r="K235" s="4" t="inlineStr">
        <is>
          <t>壁数量算出</t>
        </is>
      </c>
      <c r="L235" s="3" t="inlineStr">
        <is>
          <t>Alan Mühendislik</t>
        </is>
      </c>
      <c r="M235" s="3" t="inlineStr">
        <is>
          <t>Alan Mühendislik</t>
        </is>
      </c>
      <c r="N235" s="6" t="inlineStr">
        <is>
          <t>開く</t>
        </is>
      </c>
    </row>
    <row r="236">
      <c r="A236" s="2">
        <f>RANK(J236,$J$2:$J$489)</f>
        <v/>
      </c>
      <c r="B236" s="3" t="inlineStr">
        <is>
          <t>座標・測量・土木</t>
        </is>
      </c>
      <c r="C236" s="3" t="inlineStr">
        <is>
          <t>-</t>
        </is>
      </c>
      <c r="D236" s="4" t="inlineStr">
        <is>
          <t>Insertar imagen en coordenadas</t>
        </is>
      </c>
      <c r="E236" s="4" t="inlineStr">
        <is>
          <t>JPG/ECW/TIF画像をワールド座標で挿入（有料）</t>
        </is>
      </c>
      <c r="F236" s="2" t="n">
        <v>15</v>
      </c>
      <c r="G236" s="2" t="n">
        <v>10</v>
      </c>
      <c r="H236" s="2" t="n">
        <v>10</v>
      </c>
      <c r="I236" s="2" t="n">
        <v>7</v>
      </c>
      <c r="J236" s="5">
        <f>SUM(F236:I236)</f>
        <v/>
      </c>
      <c r="K236" s="4" t="inlineStr">
        <is>
          <t>座標付き画像挿入（有料）</t>
        </is>
      </c>
      <c r="L236" s="3" t="inlineStr">
        <is>
          <t>Andrés S. del Toro</t>
        </is>
      </c>
      <c r="M236" s="3" t="inlineStr">
        <is>
          <t>andresdeltoro.es</t>
        </is>
      </c>
      <c r="N236" s="6" t="inlineStr">
        <is>
          <t>開く</t>
        </is>
      </c>
    </row>
    <row r="237">
      <c r="A237" s="2">
        <f>RANK(J237,$J$2:$J$489)</f>
        <v/>
      </c>
      <c r="B237" s="3" t="inlineStr">
        <is>
          <t>座標・測量・土木</t>
        </is>
      </c>
      <c r="C237" s="3" t="inlineStr">
        <is>
          <t>-</t>
        </is>
      </c>
      <c r="D237" s="4" t="inlineStr">
        <is>
          <t>Koord / Koord2 / Punkteliste</t>
        </is>
      </c>
      <c r="E237" s="4" t="inlineStr">
        <is>
          <t>座標リストの取得と点を順に巡回ズーム</t>
        </is>
      </c>
      <c r="F237" s="2" t="n">
        <v>13</v>
      </c>
      <c r="G237" s="2" t="n">
        <v>10</v>
      </c>
      <c r="H237" s="2" t="n">
        <v>10</v>
      </c>
      <c r="I237" s="2" t="n">
        <v>9</v>
      </c>
      <c r="J237" s="5">
        <f>SUM(F237:I237)</f>
        <v/>
      </c>
      <c r="K237" s="4" t="inlineStr">
        <is>
          <t>点を順に巡回確認</t>
        </is>
      </c>
      <c r="L237" s="3" t="inlineStr">
        <is>
          <t>CADwiesel</t>
        </is>
      </c>
      <c r="M237" s="3" t="inlineStr">
        <is>
          <t>CADwiesel</t>
        </is>
      </c>
      <c r="N237" s="6" t="inlineStr">
        <is>
          <t>開く</t>
        </is>
      </c>
    </row>
    <row r="238">
      <c r="A238" s="2">
        <f>RANK(J238,$J$2:$J$489)</f>
        <v/>
      </c>
      <c r="B238" s="3" t="inlineStr">
        <is>
          <t>座標・測量・土木</t>
        </is>
      </c>
      <c r="C238" s="3" t="inlineStr">
        <is>
          <t>-</t>
        </is>
      </c>
      <c r="D238" s="4" t="inlineStr">
        <is>
          <t>Koordinat okuma / NCN</t>
        </is>
      </c>
      <c r="E238" s="4" t="inlineStr">
        <is>
          <t>座標を読み表・Excel・トータルステーション用NCNへ出力</t>
        </is>
      </c>
      <c r="F238" s="2" t="n">
        <v>15</v>
      </c>
      <c r="G238" s="2" t="n">
        <v>10</v>
      </c>
      <c r="H238" s="2" t="n">
        <v>12</v>
      </c>
      <c r="I238" s="2" t="n">
        <v>5</v>
      </c>
      <c r="J238" s="5">
        <f>SUM(F238:I238)</f>
        <v/>
      </c>
      <c r="K238" s="4" t="inlineStr">
        <is>
          <t>NCN出力</t>
        </is>
      </c>
      <c r="L238" s="3" t="inlineStr">
        <is>
          <t>Alan Mühendislik</t>
        </is>
      </c>
      <c r="M238" s="3" t="inlineStr">
        <is>
          <t>Alan Mühendislik</t>
        </is>
      </c>
      <c r="N238" s="6" t="inlineStr">
        <is>
          <t>開く</t>
        </is>
      </c>
    </row>
    <row r="239">
      <c r="A239" s="2">
        <f>RANK(J239,$J$2:$J$489)</f>
        <v/>
      </c>
      <c r="B239" s="3" t="inlineStr">
        <is>
          <t>画層</t>
        </is>
      </c>
      <c r="C239" s="3" t="inlineStr">
        <is>
          <t>-</t>
        </is>
      </c>
      <c r="D239" s="4" t="inlineStr">
        <is>
          <t>Ladoc</t>
        </is>
      </c>
      <c r="E239" s="4" t="inlineStr">
        <is>
          <t>全画層をリストまたは画層ごと印刷で文書化</t>
        </is>
      </c>
      <c r="F239" s="2" t="n">
        <v>14</v>
      </c>
      <c r="G239" s="2" t="n">
        <v>9</v>
      </c>
      <c r="H239" s="2" t="n">
        <v>7</v>
      </c>
      <c r="I239" s="2" t="n">
        <v>12</v>
      </c>
      <c r="J239" s="5">
        <f>SUM(F239:I239)</f>
        <v/>
      </c>
      <c r="K239" s="4" t="inlineStr">
        <is>
          <t>画層構成を文書化</t>
        </is>
      </c>
      <c r="L239" s="3" t="inlineStr">
        <is>
          <t>CADwiesel</t>
        </is>
      </c>
      <c r="M239" s="3" t="inlineStr">
        <is>
          <t>CADwiesel</t>
        </is>
      </c>
      <c r="N239" s="6" t="inlineStr">
        <is>
          <t>開く</t>
        </is>
      </c>
    </row>
    <row r="240">
      <c r="A240" s="2">
        <f>RANK(J240,$J$2:$J$489)</f>
        <v/>
      </c>
      <c r="B240" s="3" t="inlineStr">
        <is>
          <t>文字・テキスト</t>
        </is>
      </c>
      <c r="C240" s="3" t="inlineStr">
        <is>
          <t>-</t>
        </is>
      </c>
      <c r="D240" s="4" t="inlineStr">
        <is>
          <t>ORotate</t>
        </is>
      </c>
      <c r="E240" s="4" t="inlineStr">
        <is>
          <t>文字・ブロックを中心基準で180°反転（有料）</t>
        </is>
      </c>
      <c r="F240" s="2" t="n">
        <v>12</v>
      </c>
      <c r="G240" s="2" t="n">
        <v>10</v>
      </c>
      <c r="H240" s="2" t="n">
        <v>8</v>
      </c>
      <c r="I240" s="2" t="n">
        <v>12</v>
      </c>
      <c r="J240" s="5">
        <f>SUM(F240:I240)</f>
        <v/>
      </c>
      <c r="K240" s="4" t="inlineStr">
        <is>
          <t>文字反転を中心基準で</t>
        </is>
      </c>
      <c r="L240" s="3" t="inlineStr">
        <is>
          <t>CADwiesel</t>
        </is>
      </c>
      <c r="M240" s="3" t="inlineStr">
        <is>
          <t>CADwiesel</t>
        </is>
      </c>
      <c r="N240" s="6" t="inlineStr">
        <is>
          <t>開く</t>
        </is>
      </c>
    </row>
    <row r="241">
      <c r="A241" s="2">
        <f>RANK(J241,$J$2:$J$489)</f>
        <v/>
      </c>
      <c r="B241" s="3" t="inlineStr">
        <is>
          <t>線・ポリライン編集</t>
        </is>
      </c>
      <c r="C241" s="3" t="inlineStr">
        <is>
          <t>pf</t>
        </is>
      </c>
      <c r="D241" s="4" t="inlineStr">
        <is>
          <t>Polylinien fortsetzen</t>
        </is>
      </c>
      <c r="E241" s="4" t="inlineStr">
        <is>
          <t>既存ポリラインの端から続けて作図</t>
        </is>
      </c>
      <c r="F241" s="2" t="n">
        <v>12</v>
      </c>
      <c r="G241" s="2" t="n">
        <v>9</v>
      </c>
      <c r="H241" s="2" t="n">
        <v>9</v>
      </c>
      <c r="I241" s="2" t="n">
        <v>12</v>
      </c>
      <c r="J241" s="5">
        <f>SUM(F241:I241)</f>
        <v/>
      </c>
      <c r="K241" s="4" t="inlineStr">
        <is>
          <t>ポリ延長作図</t>
        </is>
      </c>
      <c r="L241" s="3" t="inlineStr">
        <is>
          <t>Christoph Spiegel</t>
        </is>
      </c>
      <c r="M241" s="3" t="inlineStr">
        <is>
          <t>CAD-Spiegel</t>
        </is>
      </c>
      <c r="N241" s="6" t="inlineStr">
        <is>
          <t>開く</t>
        </is>
      </c>
    </row>
    <row r="242">
      <c r="A242" s="2">
        <f>RANK(J242,$J$2:$J$489)</f>
        <v/>
      </c>
      <c r="B242" s="3" t="inlineStr">
        <is>
          <t>ハッチ・面積・長さ集計</t>
        </is>
      </c>
      <c r="C242" s="3" t="inlineStr">
        <is>
          <t>-</t>
        </is>
      </c>
      <c r="D242" s="4" t="inlineStr">
        <is>
          <t>Pomiar długości krzywej</t>
        </is>
      </c>
      <c r="E242" s="4" t="inlineStr">
        <is>
          <t>曲線の長さを測って記入</t>
        </is>
      </c>
      <c r="F242" s="2" t="n">
        <v>12</v>
      </c>
      <c r="G242" s="2" t="n">
        <v>9</v>
      </c>
      <c r="H242" s="2" t="n">
        <v>10</v>
      </c>
      <c r="I242" s="2" t="n">
        <v>11</v>
      </c>
      <c r="J242" s="5">
        <f>SUM(F242:I242)</f>
        <v/>
      </c>
      <c r="K242" s="4" t="inlineStr">
        <is>
          <t>曲線長の記入</t>
        </is>
      </c>
      <c r="L242" s="3" t="inlineStr">
        <is>
          <t>kojacek</t>
        </is>
      </c>
      <c r="M242" s="3" t="inlineStr">
        <is>
          <t>kojacek.wordpress.com</t>
        </is>
      </c>
      <c r="N242" s="6" t="inlineStr">
        <is>
          <t>開く</t>
        </is>
      </c>
    </row>
    <row r="243">
      <c r="A243" s="2">
        <f>RANK(J243,$J$2:$J$489)</f>
        <v/>
      </c>
      <c r="B243" s="3" t="inlineStr">
        <is>
          <t>建築</t>
        </is>
      </c>
      <c r="C243" s="3" t="inlineStr">
        <is>
          <t>por / fin</t>
        </is>
      </c>
      <c r="D243" s="4" t="inlineStr">
        <is>
          <t>Porta / Finestra semplice</t>
        </is>
      </c>
      <c r="E243" s="4" t="inlineStr">
        <is>
          <t>平面図のドア・窓を壁厚自動で作図</t>
        </is>
      </c>
      <c r="F243" s="2" t="n">
        <v>12</v>
      </c>
      <c r="G243" s="2" t="n">
        <v>10</v>
      </c>
      <c r="H243" s="2" t="n">
        <v>12</v>
      </c>
      <c r="I243" s="2" t="n">
        <v>8</v>
      </c>
      <c r="J243" s="5">
        <f>SUM(F243:I243)</f>
        <v/>
      </c>
      <c r="K243" s="4" t="inlineStr">
        <is>
          <t>ドア窓作図</t>
        </is>
      </c>
      <c r="L243" s="3" t="inlineStr">
        <is>
          <t>EmiCAD</t>
        </is>
      </c>
      <c r="M243" s="3" t="inlineStr">
        <is>
          <t>EmiLISP Free (emicad.it)</t>
        </is>
      </c>
      <c r="N243" s="6" t="inlineStr">
        <is>
          <t>開く</t>
        </is>
      </c>
    </row>
    <row r="244">
      <c r="A244" s="2">
        <f>RANK(J244,$J$2:$J$489)</f>
        <v/>
      </c>
      <c r="B244" s="3" t="inlineStr">
        <is>
          <t>文字・テキスト</t>
        </is>
      </c>
      <c r="C244" s="3" t="inlineStr">
        <is>
          <t>-</t>
        </is>
      </c>
      <c r="D244" s="4" t="inlineStr">
        <is>
          <t>Remove fields</t>
        </is>
      </c>
      <c r="E244" s="4" t="inlineStr">
        <is>
          <t>フィールドを通常文字に変換</t>
        </is>
      </c>
      <c r="F244" s="2" t="n">
        <v>12</v>
      </c>
      <c r="G244" s="2" t="n">
        <v>8</v>
      </c>
      <c r="H244" s="2" t="n">
        <v>9</v>
      </c>
      <c r="I244" s="2" t="n">
        <v>13</v>
      </c>
      <c r="J244" s="5">
        <f>SUM(F244:I244)</f>
        <v/>
      </c>
      <c r="K244" s="4" t="inlineStr">
        <is>
          <t>フィールドを文字化</t>
        </is>
      </c>
      <c r="L244" s="3" t="inlineStr">
        <is>
          <t>kojacek</t>
        </is>
      </c>
      <c r="M244" s="3" t="inlineStr">
        <is>
          <t>kojacek.wordpress.com</t>
        </is>
      </c>
      <c r="N244" s="6" t="inlineStr">
        <is>
          <t>開く</t>
        </is>
      </c>
    </row>
    <row r="245">
      <c r="A245" s="2">
        <f>RANK(J245,$J$2:$J$489)</f>
        <v/>
      </c>
      <c r="B245" s="3" t="inlineStr">
        <is>
          <t>ハッチ・面積・長さ集計</t>
        </is>
      </c>
      <c r="C245" s="3" t="inlineStr">
        <is>
          <t>stret</t>
        </is>
      </c>
      <c r="D245" s="4" t="inlineStr">
        <is>
          <t>Stira retino</t>
        </is>
      </c>
      <c r="E245" s="4" t="inlineStr">
        <is>
          <t>非自動調整ハッチも含めストレッチ</t>
        </is>
      </c>
      <c r="F245" s="2" t="n">
        <v>13</v>
      </c>
      <c r="G245" s="2" t="n">
        <v>10</v>
      </c>
      <c r="H245" s="2" t="n">
        <v>8</v>
      </c>
      <c r="I245" s="2" t="n">
        <v>11</v>
      </c>
      <c r="J245" s="5">
        <f>SUM(F245:I245)</f>
        <v/>
      </c>
      <c r="K245" s="4" t="inlineStr">
        <is>
          <t>ハッチのストレッチ</t>
        </is>
      </c>
      <c r="L245" s="3" t="inlineStr">
        <is>
          <t>EmiCAD</t>
        </is>
      </c>
      <c r="M245" s="3" t="inlineStr">
        <is>
          <t>EmiLISP Free (emicad.it)</t>
        </is>
      </c>
      <c r="N245" s="6" t="inlineStr">
        <is>
          <t>開く</t>
        </is>
      </c>
    </row>
    <row r="246">
      <c r="A246" s="2">
        <f>RANK(J246,$J$2:$J$489)</f>
        <v/>
      </c>
      <c r="B246" s="3" t="inlineStr">
        <is>
          <t>表・Excel連携</t>
        </is>
      </c>
      <c r="C246" s="3" t="inlineStr">
        <is>
          <t>-</t>
        </is>
      </c>
      <c r="D246" s="4" t="inlineStr">
        <is>
          <t>Wiersz-kolumna-tabela</t>
        </is>
      </c>
      <c r="E246" s="4" t="inlineStr">
        <is>
          <t>表の行・列を拡張編集</t>
        </is>
      </c>
      <c r="F246" s="2" t="n">
        <v>14</v>
      </c>
      <c r="G246" s="2" t="n">
        <v>10</v>
      </c>
      <c r="H246" s="2" t="n">
        <v>8</v>
      </c>
      <c r="I246" s="2" t="n">
        <v>10</v>
      </c>
      <c r="J246" s="5">
        <f>SUM(F246:I246)</f>
        <v/>
      </c>
      <c r="K246" s="4" t="inlineStr">
        <is>
          <t>表の行列拡張編集</t>
        </is>
      </c>
      <c r="L246" s="3" t="inlineStr">
        <is>
          <t>kojacek</t>
        </is>
      </c>
      <c r="M246" s="3" t="inlineStr">
        <is>
          <t>kojacek.wordpress.com</t>
        </is>
      </c>
      <c r="N246" s="6" t="inlineStr">
        <is>
          <t>開く</t>
        </is>
      </c>
    </row>
    <row r="247">
      <c r="A247" s="2">
        <f>RANK(J247,$J$2:$J$489)</f>
        <v/>
      </c>
      <c r="B247" s="3" t="inlineStr">
        <is>
          <t>選択・絞り込み</t>
        </is>
      </c>
      <c r="C247" s="3" t="inlineStr">
        <is>
          <t>-</t>
        </is>
      </c>
      <c r="D247" s="4" t="inlineStr">
        <is>
          <t>Zbiór wskazań określony krzywą</t>
        </is>
      </c>
      <c r="E247" s="4" t="inlineStr">
        <is>
          <t>任意曲線で囲んだ範囲で選択</t>
        </is>
      </c>
      <c r="F247" s="2" t="n">
        <v>12</v>
      </c>
      <c r="G247" s="2" t="n">
        <v>10</v>
      </c>
      <c r="H247" s="2" t="n">
        <v>8</v>
      </c>
      <c r="I247" s="2" t="n">
        <v>12</v>
      </c>
      <c r="J247" s="5">
        <f>SUM(F247:I247)</f>
        <v/>
      </c>
      <c r="K247" s="4" t="inlineStr">
        <is>
          <t>曲線範囲で選択</t>
        </is>
      </c>
      <c r="L247" s="3" t="inlineStr">
        <is>
          <t>kojacek</t>
        </is>
      </c>
      <c r="M247" s="3" t="inlineStr">
        <is>
          <t>kojacek.wordpress.com</t>
        </is>
      </c>
      <c r="N247" s="6" t="inlineStr">
        <is>
          <t>開く</t>
        </is>
      </c>
    </row>
    <row r="248">
      <c r="A248" s="2">
        <f>RANK(J248,$J$2:$J$489)</f>
        <v/>
      </c>
      <c r="B248" s="3" t="inlineStr">
        <is>
          <t>3D</t>
        </is>
      </c>
      <c r="C248" s="3" t="inlineStr">
        <is>
          <t>Zeta</t>
        </is>
      </c>
      <c r="D248" s="4" t="inlineStr">
        <is>
          <t>ZETA</t>
        </is>
      </c>
      <c r="E248" s="4" t="inlineStr">
        <is>
          <t>選択図形を指定Z高さに揃える</t>
        </is>
      </c>
      <c r="F248" s="2" t="n">
        <v>11</v>
      </c>
      <c r="G248" s="2" t="n">
        <v>7</v>
      </c>
      <c r="H248" s="2" t="n">
        <v>11</v>
      </c>
      <c r="I248" s="2" t="n">
        <v>13</v>
      </c>
      <c r="J248" s="5">
        <f>SUM(F248:I248)</f>
        <v/>
      </c>
      <c r="K248" s="4" t="inlineStr">
        <is>
          <t>Z一括変更</t>
        </is>
      </c>
      <c r="L248" s="3" t="inlineStr">
        <is>
          <t>EmiCAD</t>
        </is>
      </c>
      <c r="M248" s="3" t="inlineStr">
        <is>
          <t>EmiLISP Free (emicad.it)</t>
        </is>
      </c>
      <c r="N248" s="6" t="inlineStr">
        <is>
          <t>開く</t>
        </is>
      </c>
    </row>
    <row r="249">
      <c r="A249" s="2">
        <f>RANK(J249,$J$2:$J$489)</f>
        <v/>
      </c>
      <c r="B249" s="3" t="inlineStr">
        <is>
          <t>座標・測量・土木</t>
        </is>
      </c>
      <c r="C249" s="3" t="inlineStr">
        <is>
          <t>-</t>
        </is>
      </c>
      <c r="D249" s="4" t="inlineStr">
        <is>
          <t>Aplikasyon Çizelgesi</t>
        </is>
      </c>
      <c r="E249" s="4" t="inlineStr">
        <is>
          <t>ポリライン・点から測設(aplikasyon)座標表を作成</t>
        </is>
      </c>
      <c r="F249" s="2" t="n">
        <v>14</v>
      </c>
      <c r="G249" s="2" t="n">
        <v>9</v>
      </c>
      <c r="H249" s="2" t="n">
        <v>13</v>
      </c>
      <c r="I249" s="2" t="n">
        <v>5</v>
      </c>
      <c r="J249" s="5">
        <f>SUM(F249:I249)</f>
        <v/>
      </c>
      <c r="K249" s="4" t="inlineStr">
        <is>
          <t>測設座標表</t>
        </is>
      </c>
      <c r="L249" s="3" t="inlineStr">
        <is>
          <t>çizim okulu</t>
        </is>
      </c>
      <c r="M249" s="3" t="inlineStr">
        <is>
          <t>Çizim Okulu</t>
        </is>
      </c>
      <c r="N249" s="6" t="inlineStr">
        <is>
          <t>開く</t>
        </is>
      </c>
    </row>
    <row r="250">
      <c r="A250" s="2">
        <f>RANK(J250,$J$2:$J$489)</f>
        <v/>
      </c>
      <c r="B250" s="3" t="inlineStr">
        <is>
          <t>表・Excel連携</t>
        </is>
      </c>
      <c r="C250" s="3" t="inlineStr">
        <is>
          <t>-</t>
        </is>
      </c>
      <c r="D250" s="4" t="inlineStr">
        <is>
          <t>ATRWYC</t>
        </is>
      </c>
      <c r="E250" s="4" t="inlineStr">
        <is>
          <t>ブロック属性データを抽出して一覧化</t>
        </is>
      </c>
      <c r="F250" s="2" t="n">
        <v>9</v>
      </c>
      <c r="G250" s="2" t="n">
        <v>7</v>
      </c>
      <c r="H250" s="2" t="n">
        <v>12</v>
      </c>
      <c r="I250" s="2" t="n">
        <v>13</v>
      </c>
      <c r="J250" s="5">
        <f>SUM(F250:I250)</f>
        <v/>
      </c>
      <c r="K250" s="4" t="inlineStr">
        <is>
          <t>抽出は標準で可</t>
        </is>
      </c>
      <c r="L250" s="3" t="inlineStr">
        <is>
          <t>kojacek</t>
        </is>
      </c>
      <c r="M250" s="3" t="inlineStr">
        <is>
          <t>kojacek.wordpress.com</t>
        </is>
      </c>
      <c r="N250" s="6" t="inlineStr">
        <is>
          <t>開く</t>
        </is>
      </c>
    </row>
    <row r="251">
      <c r="A251" s="2">
        <f>RANK(J251,$J$2:$J$489)</f>
        <v/>
      </c>
      <c r="B251" s="3" t="inlineStr">
        <is>
          <t>作図</t>
        </is>
      </c>
      <c r="C251" s="3" t="inlineStr">
        <is>
          <t>-</t>
        </is>
      </c>
      <c r="D251" s="4" t="inlineStr">
        <is>
          <t>Ausricht</t>
        </is>
      </c>
      <c r="E251" s="4" t="inlineStr">
        <is>
          <t>参照線の角度にブロック・文字・線を合わせる</t>
        </is>
      </c>
      <c r="F251" s="2" t="n">
        <v>10</v>
      </c>
      <c r="G251" s="2" t="n">
        <v>8</v>
      </c>
      <c r="H251" s="2" t="n">
        <v>10</v>
      </c>
      <c r="I251" s="2" t="n">
        <v>13</v>
      </c>
      <c r="J251" s="5">
        <f>SUM(F251:I251)</f>
        <v/>
      </c>
      <c r="K251" s="4" t="inlineStr">
        <is>
          <t>角度合わせ配置</t>
        </is>
      </c>
      <c r="L251" s="3" t="inlineStr">
        <is>
          <t>CADwiesel</t>
        </is>
      </c>
      <c r="M251" s="3" t="inlineStr">
        <is>
          <t>CADwiesel</t>
        </is>
      </c>
      <c r="N251" s="6" t="inlineStr">
        <is>
          <t>開く</t>
        </is>
      </c>
    </row>
    <row r="252">
      <c r="A252" s="2">
        <f>RANK(J252,$J$2:$J$489)</f>
        <v/>
      </c>
      <c r="B252" s="3" t="inlineStr">
        <is>
          <t>ブロック・属性</t>
        </is>
      </c>
      <c r="C252" s="3" t="inlineStr">
        <is>
          <t>-</t>
        </is>
      </c>
      <c r="D252" s="4" t="inlineStr">
        <is>
          <t>BenennUBL / NoNameBlock</t>
        </is>
      </c>
      <c r="E252" s="4" t="inlineStr">
        <is>
          <t>無名ブロック(*付き)を名前付きにリネーム</t>
        </is>
      </c>
      <c r="F252" s="2" t="n">
        <v>13</v>
      </c>
      <c r="G252" s="2" t="n">
        <v>9</v>
      </c>
      <c r="H252" s="2" t="n">
        <v>8</v>
      </c>
      <c r="I252" s="2" t="n">
        <v>11</v>
      </c>
      <c r="J252" s="5">
        <f>SUM(F252:I252)</f>
        <v/>
      </c>
      <c r="K252" s="4" t="inlineStr">
        <is>
          <t>無名ブロックを命名</t>
        </is>
      </c>
      <c r="L252" s="3" t="inlineStr">
        <is>
          <t>CADwiesel</t>
        </is>
      </c>
      <c r="M252" s="3" t="inlineStr">
        <is>
          <t>CADwiesel</t>
        </is>
      </c>
      <c r="N252" s="6" t="inlineStr">
        <is>
          <t>開く</t>
        </is>
      </c>
    </row>
    <row r="253">
      <c r="A253" s="2">
        <f>RANK(J253,$J$2:$J$489)</f>
        <v/>
      </c>
      <c r="B253" s="3" t="inlineStr">
        <is>
          <t>ブロック・属性</t>
        </is>
      </c>
      <c r="C253" s="3" t="inlineStr">
        <is>
          <t>-</t>
        </is>
      </c>
      <c r="D253" s="4" t="inlineStr">
        <is>
          <t>Blok wisselen</t>
        </is>
      </c>
      <c r="E253" s="4" t="inlineStr">
        <is>
          <t>挿入点・画層・尺度を保ってブロック置換</t>
        </is>
      </c>
      <c r="F253" s="2" t="n">
        <v>9</v>
      </c>
      <c r="G253" s="2" t="n">
        <v>7</v>
      </c>
      <c r="H253" s="2" t="n">
        <v>11</v>
      </c>
      <c r="I253" s="2" t="n">
        <v>14</v>
      </c>
      <c r="J253" s="5">
        <f>SUM(F253:I253)</f>
        <v/>
      </c>
      <c r="K253" s="4" t="inlineStr">
        <is>
          <t>BREPLACEで代替</t>
        </is>
      </c>
      <c r="L253" s="3" t="inlineStr">
        <is>
          <t>cadsite.be (Julien e.a.)</t>
        </is>
      </c>
      <c r="M253" s="3" t="inlineStr">
        <is>
          <t>juliens cadsite (BE)</t>
        </is>
      </c>
      <c r="N253" s="6" t="inlineStr">
        <is>
          <t>開く</t>
        </is>
      </c>
    </row>
    <row r="254">
      <c r="A254" s="2">
        <f>RANK(J254,$J$2:$J$489)</f>
        <v/>
      </c>
      <c r="B254" s="3" t="inlineStr">
        <is>
          <t>寸法</t>
        </is>
      </c>
      <c r="C254" s="3" t="inlineStr">
        <is>
          <t>-</t>
        </is>
      </c>
      <c r="D254" s="4" t="inlineStr">
        <is>
          <t>Crear Estilo de cota</t>
        </is>
      </c>
      <c r="E254" s="4" t="inlineStr">
        <is>
          <t>寸法スタイルを自動作成</t>
        </is>
      </c>
      <c r="F254" s="2" t="n">
        <v>12</v>
      </c>
      <c r="G254" s="2" t="n">
        <v>9</v>
      </c>
      <c r="H254" s="2" t="n">
        <v>8</v>
      </c>
      <c r="I254" s="2" t="n">
        <v>12</v>
      </c>
      <c r="J254" s="5">
        <f>SUM(F254:I254)</f>
        <v/>
      </c>
      <c r="K254" s="4" t="inlineStr">
        <is>
          <t>寸法スタイル作成</t>
        </is>
      </c>
      <c r="L254" s="3" t="inlineStr">
        <is>
          <t>Andrés S. del Toro</t>
        </is>
      </c>
      <c r="M254" s="3" t="inlineStr">
        <is>
          <t>andresdeltoro.es</t>
        </is>
      </c>
      <c r="N254" s="6" t="inlineStr">
        <is>
          <t>開く</t>
        </is>
      </c>
    </row>
    <row r="255">
      <c r="A255" s="2">
        <f>RANK(J255,$J$2:$J$489)</f>
        <v/>
      </c>
      <c r="B255" s="3" t="inlineStr">
        <is>
          <t>座標・測量・土木</t>
        </is>
      </c>
      <c r="C255" s="3" t="inlineStr">
        <is>
          <t>-</t>
        </is>
      </c>
      <c r="D255" s="4" t="inlineStr">
        <is>
          <t>Exportar a KML</t>
        </is>
      </c>
      <c r="E255" s="4" t="inlineStr">
        <is>
          <t>図形をKMLへ書出し（有料）</t>
        </is>
      </c>
      <c r="F255" s="2" t="n">
        <v>15</v>
      </c>
      <c r="G255" s="2" t="n">
        <v>10</v>
      </c>
      <c r="H255" s="2" t="n">
        <v>9</v>
      </c>
      <c r="I255" s="2" t="n">
        <v>7</v>
      </c>
      <c r="J255" s="5">
        <f>SUM(F255:I255)</f>
        <v/>
      </c>
      <c r="K255" s="4" t="inlineStr">
        <is>
          <t>KML出力（有料）</t>
        </is>
      </c>
      <c r="L255" s="3" t="inlineStr">
        <is>
          <t>Andrés S. del Toro</t>
        </is>
      </c>
      <c r="M255" s="3" t="inlineStr">
        <is>
          <t>andresdeltoro.es</t>
        </is>
      </c>
      <c r="N255" s="6" t="inlineStr">
        <is>
          <t>開く</t>
        </is>
      </c>
    </row>
    <row r="256">
      <c r="A256" s="2">
        <f>RANK(J256,$J$2:$J$489)</f>
        <v/>
      </c>
      <c r="B256" s="3" t="inlineStr">
        <is>
          <t>3D</t>
        </is>
      </c>
      <c r="C256" s="3" t="inlineStr">
        <is>
          <t>-</t>
        </is>
      </c>
      <c r="D256" s="4" t="inlineStr">
        <is>
          <t>Flatten inaczej</t>
        </is>
      </c>
      <c r="E256" s="4" t="inlineStr">
        <is>
          <t>Express FLATTENの改良版平坦化</t>
        </is>
      </c>
      <c r="F256" s="2" t="n">
        <v>10</v>
      </c>
      <c r="G256" s="2" t="n">
        <v>8</v>
      </c>
      <c r="H256" s="2" t="n">
        <v>11</v>
      </c>
      <c r="I256" s="2" t="n">
        <v>12</v>
      </c>
      <c r="J256" s="5">
        <f>SUM(F256:I256)</f>
        <v/>
      </c>
      <c r="K256" s="4" t="inlineStr">
        <is>
          <t>FLATTEN改良版</t>
        </is>
      </c>
      <c r="L256" s="3" t="inlineStr">
        <is>
          <t>kojacek</t>
        </is>
      </c>
      <c r="M256" s="3" t="inlineStr">
        <is>
          <t>kojacek.wordpress.com</t>
        </is>
      </c>
      <c r="N256" s="6" t="inlineStr">
        <is>
          <t>開く</t>
        </is>
      </c>
    </row>
    <row r="257">
      <c r="A257" s="2">
        <f>RANK(J257,$J$2:$J$489)</f>
        <v/>
      </c>
      <c r="B257" s="3" t="inlineStr">
        <is>
          <t>3D</t>
        </is>
      </c>
      <c r="C257" s="3" t="inlineStr">
        <is>
          <t>-</t>
        </is>
      </c>
      <c r="D257" s="4" t="inlineStr">
        <is>
          <t>Historia brył</t>
        </is>
      </c>
      <c r="E257" s="4" t="inlineStr">
        <is>
          <t>ソリッドの履歴を一括削除して軽量化</t>
        </is>
      </c>
      <c r="F257" s="2" t="n">
        <v>16</v>
      </c>
      <c r="G257" s="2" t="n">
        <v>11</v>
      </c>
      <c r="H257" s="2" t="n">
        <v>7</v>
      </c>
      <c r="I257" s="2" t="n">
        <v>7</v>
      </c>
      <c r="J257" s="5">
        <f>SUM(F257:I257)</f>
        <v/>
      </c>
      <c r="K257" s="4" t="inlineStr">
        <is>
          <t>ソリッド履歴削除で軽量化</t>
        </is>
      </c>
      <c r="L257" s="3" t="inlineStr">
        <is>
          <t>kojacek</t>
        </is>
      </c>
      <c r="M257" s="3" t="inlineStr">
        <is>
          <t>kojacek.wordpress.com</t>
        </is>
      </c>
      <c r="N257" s="6" t="inlineStr">
        <is>
          <t>開く</t>
        </is>
      </c>
    </row>
    <row r="258">
      <c r="A258" s="2">
        <f>RANK(J258,$J$2:$J$489)</f>
        <v/>
      </c>
      <c r="B258" s="3" t="inlineStr">
        <is>
          <t>座標・測量・土木</t>
        </is>
      </c>
      <c r="C258" s="3" t="inlineStr">
        <is>
          <t>-</t>
        </is>
      </c>
      <c r="D258" s="4" t="inlineStr">
        <is>
          <t>Höhe</t>
        </is>
      </c>
      <c r="E258" s="4" t="inlineStr">
        <is>
          <t>2Dで高さを自動計算し標高記号を配置</t>
        </is>
      </c>
      <c r="F258" s="2" t="n">
        <v>12</v>
      </c>
      <c r="G258" s="2" t="n">
        <v>9</v>
      </c>
      <c r="H258" s="2" t="n">
        <v>11</v>
      </c>
      <c r="I258" s="2" t="n">
        <v>9</v>
      </c>
      <c r="J258" s="5">
        <f>SUM(F258:I258)</f>
        <v/>
      </c>
      <c r="K258" s="4" t="inlineStr">
        <is>
          <t>標高記号の自動算出</t>
        </is>
      </c>
      <c r="L258" s="3" t="inlineStr">
        <is>
          <t>Christoph Spiegel</t>
        </is>
      </c>
      <c r="M258" s="3" t="inlineStr">
        <is>
          <t>CAD-Spiegel</t>
        </is>
      </c>
      <c r="N258" s="6" t="inlineStr">
        <is>
          <t>開く</t>
        </is>
      </c>
    </row>
    <row r="259">
      <c r="A259" s="2">
        <f>RANK(J259,$J$2:$J$489)</f>
        <v/>
      </c>
      <c r="B259" s="3" t="inlineStr">
        <is>
          <t>画層</t>
        </is>
      </c>
      <c r="C259" s="3" t="inlineStr">
        <is>
          <t>-</t>
        </is>
      </c>
      <c r="D259" s="4" t="inlineStr">
        <is>
          <t>Layerformat</t>
        </is>
      </c>
      <c r="E259" s="4" t="inlineStr">
        <is>
          <t>画層名を大文字/小文字/先頭大文字に統一</t>
        </is>
      </c>
      <c r="F259" s="2" t="n">
        <v>12</v>
      </c>
      <c r="G259" s="2" t="n">
        <v>8</v>
      </c>
      <c r="H259" s="2" t="n">
        <v>9</v>
      </c>
      <c r="I259" s="2" t="n">
        <v>12</v>
      </c>
      <c r="J259" s="5">
        <f>SUM(F259:I259)</f>
        <v/>
      </c>
      <c r="K259" s="4" t="inlineStr">
        <is>
          <t>画層名大小統一</t>
        </is>
      </c>
      <c r="L259" s="3" t="inlineStr">
        <is>
          <t>CADwiesel</t>
        </is>
      </c>
      <c r="M259" s="3" t="inlineStr">
        <is>
          <t>CADwiesel</t>
        </is>
      </c>
      <c r="N259" s="6" t="inlineStr">
        <is>
          <t>開く</t>
        </is>
      </c>
    </row>
    <row r="260">
      <c r="A260" s="2">
        <f>RANK(J260,$J$2:$J$489)</f>
        <v/>
      </c>
      <c r="B260" s="3" t="inlineStr">
        <is>
          <t>文字・テキスト</t>
        </is>
      </c>
      <c r="C260" s="3" t="inlineStr">
        <is>
          <t>-</t>
        </is>
      </c>
      <c r="D260" s="4" t="inlineStr">
        <is>
          <t>Liestxt</t>
        </is>
      </c>
      <c r="E260" s="4" t="inlineStr">
        <is>
          <t>選択文字をテキストファイルへ書き出し</t>
        </is>
      </c>
      <c r="F260" s="2" t="n">
        <v>11</v>
      </c>
      <c r="G260" s="2" t="n">
        <v>9</v>
      </c>
      <c r="H260" s="2" t="n">
        <v>9</v>
      </c>
      <c r="I260" s="2" t="n">
        <v>12</v>
      </c>
      <c r="J260" s="5">
        <f>SUM(F260:I260)</f>
        <v/>
      </c>
      <c r="K260" s="4" t="inlineStr">
        <is>
          <t>文字をファイル出力</t>
        </is>
      </c>
      <c r="L260" s="3" t="inlineStr">
        <is>
          <t>CADwiesel</t>
        </is>
      </c>
      <c r="M260" s="3" t="inlineStr">
        <is>
          <t>CADwiesel</t>
        </is>
      </c>
      <c r="N260" s="6" t="inlineStr">
        <is>
          <t>開く</t>
        </is>
      </c>
    </row>
    <row r="261">
      <c r="A261" s="2">
        <f>RANK(J261,$J$2:$J$489)</f>
        <v/>
      </c>
      <c r="B261" s="3" t="inlineStr">
        <is>
          <t>設定・環境</t>
        </is>
      </c>
      <c r="C261" s="3" t="inlineStr">
        <is>
          <t>-</t>
        </is>
      </c>
      <c r="D261" s="4" t="inlineStr">
        <is>
          <t>MadziCAD</t>
        </is>
      </c>
      <c r="E261" s="4" t="inlineStr">
        <is>
          <t>汎用作図・注記・寸法コマンドを簡略化するアドオン</t>
        </is>
      </c>
      <c r="F261" s="2" t="n">
        <v>10</v>
      </c>
      <c r="G261" s="2" t="n">
        <v>8</v>
      </c>
      <c r="H261" s="2" t="n">
        <v>11</v>
      </c>
      <c r="I261" s="2" t="n">
        <v>12</v>
      </c>
      <c r="J261" s="5">
        <f>SUM(F261:I261)</f>
        <v/>
      </c>
      <c r="K261" s="4" t="inlineStr">
        <is>
          <t>汎用コマンド簡略化</t>
        </is>
      </c>
      <c r="L261" s="3" t="inlineStr">
        <is>
          <t>Kuba Bełch</t>
        </is>
      </c>
      <c r="M261" s="3" t="inlineStr">
        <is>
          <t>GitHub: KubaMiszcz/MadziCAD-0.8-Lisp</t>
        </is>
      </c>
      <c r="N261" s="6" t="inlineStr">
        <is>
          <t>開く</t>
        </is>
      </c>
    </row>
    <row r="262">
      <c r="A262" s="2">
        <f>RANK(J262,$J$2:$J$489)</f>
        <v/>
      </c>
      <c r="B262" s="3" t="inlineStr">
        <is>
          <t>ブロック・属性</t>
        </is>
      </c>
      <c r="C262" s="3" t="inlineStr">
        <is>
          <t>MATT / MATTO</t>
        </is>
      </c>
      <c r="D262" s="4" t="inlineStr">
        <is>
          <t>MatchAtt</t>
        </is>
      </c>
      <c r="E262" s="4" t="inlineStr">
        <is>
          <t>属性・文字・MTEXTの一部プロパティを揃える</t>
        </is>
      </c>
      <c r="F262" s="2" t="n">
        <v>10</v>
      </c>
      <c r="G262" s="2" t="n">
        <v>8</v>
      </c>
      <c r="H262" s="2" t="n">
        <v>10</v>
      </c>
      <c r="I262" s="2" t="n">
        <v>13</v>
      </c>
      <c r="J262" s="5">
        <f>SUM(F262:I262)</f>
        <v/>
      </c>
      <c r="K262" s="4" t="inlineStr">
        <is>
          <t>文字/属性書式を合わせる</t>
        </is>
      </c>
      <c r="L262" s="3" t="inlineStr">
        <is>
          <t>CADPL (kojacek, kruuger et al.)</t>
        </is>
      </c>
      <c r="M262" s="3" t="inlineStr">
        <is>
          <t>GitHub: kruuger/CADPL-Pack-v1</t>
        </is>
      </c>
      <c r="N262" s="6" t="inlineStr">
        <is>
          <t>開く</t>
        </is>
      </c>
    </row>
    <row r="263">
      <c r="A263" s="2">
        <f>RANK(J263,$J$2:$J$489)</f>
        <v/>
      </c>
      <c r="B263" s="3" t="inlineStr">
        <is>
          <t>ハッチ・面積・長さ集計</t>
        </is>
      </c>
      <c r="C263" s="3" t="inlineStr">
        <is>
          <t>-</t>
        </is>
      </c>
      <c r="D263" s="4" t="inlineStr">
        <is>
          <t>Medir Tramo Polilínea</t>
        </is>
      </c>
      <c r="E263" s="4" t="inlineStr">
        <is>
          <t>ポリラインの区間長を計測</t>
        </is>
      </c>
      <c r="F263" s="2" t="n">
        <v>12</v>
      </c>
      <c r="G263" s="2" t="n">
        <v>9</v>
      </c>
      <c r="H263" s="2" t="n">
        <v>9</v>
      </c>
      <c r="I263" s="2" t="n">
        <v>11</v>
      </c>
      <c r="J263" s="5">
        <f>SUM(F263:I263)</f>
        <v/>
      </c>
      <c r="K263" s="4" t="inlineStr">
        <is>
          <t>区間長計測</t>
        </is>
      </c>
      <c r="L263" s="3" t="inlineStr">
        <is>
          <t>Andrés S. del Toro</t>
        </is>
      </c>
      <c r="M263" s="3" t="inlineStr">
        <is>
          <t>andresdeltoro.es</t>
        </is>
      </c>
      <c r="N263" s="6" t="inlineStr">
        <is>
          <t>開く</t>
        </is>
      </c>
    </row>
    <row r="264">
      <c r="A264" s="2">
        <f>RANK(J264,$J$2:$J$489)</f>
        <v/>
      </c>
      <c r="B264" s="3" t="inlineStr">
        <is>
          <t>表・Excel連携</t>
        </is>
      </c>
      <c r="C264" s="3" t="inlineStr">
        <is>
          <t>-</t>
        </is>
      </c>
      <c r="D264" s="4" t="inlineStr">
        <is>
          <t>Mtx2Xls</t>
        </is>
      </c>
      <c r="E264" s="4" t="inlineStr">
        <is>
          <t>MTEXTをExcelへ書出し（有料）</t>
        </is>
      </c>
      <c r="F264" s="2" t="n">
        <v>11</v>
      </c>
      <c r="G264" s="2" t="n">
        <v>8</v>
      </c>
      <c r="H264" s="2" t="n">
        <v>11</v>
      </c>
      <c r="I264" s="2" t="n">
        <v>11</v>
      </c>
      <c r="J264" s="5">
        <f>SUM(F264:I264)</f>
        <v/>
      </c>
      <c r="K264" s="4" t="inlineStr">
        <is>
          <t>MTEXTをExcelへ（有料）</t>
        </is>
      </c>
      <c r="L264" s="3" t="inlineStr">
        <is>
          <t>CADwiesel</t>
        </is>
      </c>
      <c r="M264" s="3" t="inlineStr">
        <is>
          <t>CADwiesel</t>
        </is>
      </c>
      <c r="N264" s="6" t="inlineStr">
        <is>
          <t>開く</t>
        </is>
      </c>
    </row>
    <row r="265">
      <c r="A265" s="2">
        <f>RANK(J265,$J$2:$J$489)</f>
        <v/>
      </c>
      <c r="B265" s="3" t="inlineStr">
        <is>
          <t>座標・測量・土木</t>
        </is>
      </c>
      <c r="C265" s="3" t="inlineStr">
        <is>
          <t>-</t>
        </is>
      </c>
      <c r="D265" s="4" t="inlineStr">
        <is>
          <t>Nokta Koordinat Tablosu</t>
        </is>
      </c>
      <c r="E265" s="4" t="inlineStr">
        <is>
          <t>点の座標表を作成</t>
        </is>
      </c>
      <c r="F265" s="2" t="n">
        <v>12</v>
      </c>
      <c r="G265" s="2" t="n">
        <v>8</v>
      </c>
      <c r="H265" s="2" t="n">
        <v>12</v>
      </c>
      <c r="I265" s="2" t="n">
        <v>9</v>
      </c>
      <c r="J265" s="5">
        <f>SUM(F265:I265)</f>
        <v/>
      </c>
      <c r="K265" s="4" t="inlineStr">
        <is>
          <t>点座標表</t>
        </is>
      </c>
      <c r="L265" s="3" t="inlineStr">
        <is>
          <t>çizim okulu</t>
        </is>
      </c>
      <c r="M265" s="3" t="inlineStr">
        <is>
          <t>Çizim Okulu</t>
        </is>
      </c>
      <c r="N265" s="6" t="inlineStr">
        <is>
          <t>開く</t>
        </is>
      </c>
    </row>
    <row r="266">
      <c r="A266" s="2">
        <f>RANK(J266,$J$2:$J$489)</f>
        <v/>
      </c>
      <c r="B266" s="3" t="inlineStr">
        <is>
          <t>3D</t>
        </is>
      </c>
      <c r="C266" s="3" t="inlineStr">
        <is>
          <t>off3d / 3djoin / 3dinv</t>
        </is>
      </c>
      <c r="D266" s="4" t="inlineStr">
        <is>
          <t>Offset3D / Unisci / Inverti poli3D</t>
        </is>
      </c>
      <c r="E266" s="4" t="inlineStr">
        <is>
          <t>3Dポリラインのオフセット・結合・反転</t>
        </is>
      </c>
      <c r="F266" s="2" t="n">
        <v>16</v>
      </c>
      <c r="G266" s="2" t="n">
        <v>11</v>
      </c>
      <c r="H266" s="2" t="n">
        <v>7</v>
      </c>
      <c r="I266" s="2" t="n">
        <v>7</v>
      </c>
      <c r="J266" s="5">
        <f>SUM(F266:I266)</f>
        <v/>
      </c>
      <c r="K266" s="4" t="inlineStr">
        <is>
          <t>3Dポリ編集</t>
        </is>
      </c>
      <c r="L266" s="3" t="inlineStr">
        <is>
          <t>EmiCAD</t>
        </is>
      </c>
      <c r="M266" s="3" t="inlineStr">
        <is>
          <t>EmiLISP Free (emicad.it)</t>
        </is>
      </c>
      <c r="N266" s="6" t="inlineStr">
        <is>
          <t>開く</t>
        </is>
      </c>
    </row>
    <row r="267">
      <c r="A267" s="2">
        <f>RANK(J267,$J$2:$J$489)</f>
        <v/>
      </c>
      <c r="B267" s="3" t="inlineStr">
        <is>
          <t>座標・測量・土木</t>
        </is>
      </c>
      <c r="C267" s="3" t="inlineStr">
        <is>
          <t>ptz</t>
        </is>
      </c>
      <c r="D267" s="4" t="inlineStr">
        <is>
          <t>PointsZ</t>
        </is>
      </c>
      <c r="E267" s="4" t="inlineStr">
        <is>
          <t>各点にZ値属性付きブロックを挿入</t>
        </is>
      </c>
      <c r="F267" s="2" t="n">
        <v>12</v>
      </c>
      <c r="G267" s="2" t="n">
        <v>9</v>
      </c>
      <c r="H267" s="2" t="n">
        <v>11</v>
      </c>
      <c r="I267" s="2" t="n">
        <v>9</v>
      </c>
      <c r="J267" s="5">
        <f>SUM(F267:I267)</f>
        <v/>
      </c>
      <c r="K267" s="4" t="inlineStr">
        <is>
          <t>点にZ属性ブロック</t>
        </is>
      </c>
      <c r="L267" s="3" t="inlineStr">
        <is>
          <t>Jörn Bosse</t>
        </is>
      </c>
      <c r="M267" s="3" t="inlineStr">
        <is>
          <t>Bosse Engineering</t>
        </is>
      </c>
      <c r="N267" s="6" t="inlineStr">
        <is>
          <t>開く</t>
        </is>
      </c>
    </row>
    <row r="268">
      <c r="A268" s="2">
        <f>RANK(J268,$J$2:$J$489)</f>
        <v/>
      </c>
      <c r="B268" s="3" t="inlineStr">
        <is>
          <t>構造・鉄骨・機械</t>
        </is>
      </c>
      <c r="C268" s="3" t="inlineStr">
        <is>
          <t>-</t>
        </is>
      </c>
      <c r="D268" s="4" t="inlineStr">
        <is>
          <t>Przerywanie i urywanie</t>
        </is>
      </c>
      <c r="E268" s="4" t="inlineStr">
        <is>
          <t>機械図の破断線（省略）を素早く作図</t>
        </is>
      </c>
      <c r="F268" s="2" t="n">
        <v>13</v>
      </c>
      <c r="G268" s="2" t="n">
        <v>10</v>
      </c>
      <c r="H268" s="2" t="n">
        <v>9</v>
      </c>
      <c r="I268" s="2" t="n">
        <v>9</v>
      </c>
      <c r="J268" s="5">
        <f>SUM(F268:I268)</f>
        <v/>
      </c>
      <c r="K268" s="4" t="inlineStr">
        <is>
          <t>破断線作図</t>
        </is>
      </c>
      <c r="L268" s="3" t="inlineStr">
        <is>
          <t>kojacek</t>
        </is>
      </c>
      <c r="M268" s="3" t="inlineStr">
        <is>
          <t>kojacek.wordpress.com</t>
        </is>
      </c>
      <c r="N268" s="6" t="inlineStr">
        <is>
          <t>開く</t>
        </is>
      </c>
    </row>
    <row r="269">
      <c r="A269" s="2">
        <f>RANK(J269,$J$2:$J$489)</f>
        <v/>
      </c>
      <c r="B269" s="3" t="inlineStr">
        <is>
          <t>選択・絞り込み</t>
        </is>
      </c>
      <c r="C269" s="3" t="inlineStr">
        <is>
          <t>ssm / ssmm</t>
        </is>
      </c>
      <c r="D269" s="4" t="inlineStr">
        <is>
          <t>Ssmatch</t>
        </is>
      </c>
      <c r="E269" s="4" t="inlineStr">
        <is>
          <t>基準図形のチェックしたプロパティで一致選択</t>
        </is>
      </c>
      <c r="F269" s="2" t="n">
        <v>7</v>
      </c>
      <c r="G269" s="2" t="n">
        <v>8</v>
      </c>
      <c r="H269" s="2" t="n">
        <v>10</v>
      </c>
      <c r="I269" s="2" t="n">
        <v>16</v>
      </c>
      <c r="J269" s="5">
        <f>SUM(F269:I269)</f>
        <v/>
      </c>
      <c r="K269" s="4" t="inlineStr">
        <is>
          <t>SELECTSIMILAR設定で代替</t>
        </is>
      </c>
      <c r="L269" s="3" t="inlineStr">
        <is>
          <t>(gile)</t>
        </is>
      </c>
      <c r="M269" s="3" t="inlineStr">
        <is>
          <t>gileCAD</t>
        </is>
      </c>
      <c r="N269" s="6" t="inlineStr">
        <is>
          <t>開く</t>
        </is>
      </c>
    </row>
    <row r="270">
      <c r="A270" s="2">
        <f>RANK(J270,$J$2:$J$489)</f>
        <v/>
      </c>
      <c r="B270" s="3" t="inlineStr">
        <is>
          <t>印刷・レイアウト・図枠</t>
        </is>
      </c>
      <c r="C270" s="3" t="inlineStr">
        <is>
          <t>impostastilidistampaon/off</t>
        </is>
      </c>
      <c r="D270" s="4" t="inlineStr">
        <is>
          <t>Stili di stampa on/off</t>
        </is>
      </c>
      <c r="E270" s="4" t="inlineStr">
        <is>
          <t>全レイアウトの印刷スタイル表示を一括切替</t>
        </is>
      </c>
      <c r="F270" s="2" t="n">
        <v>13</v>
      </c>
      <c r="G270" s="2" t="n">
        <v>8</v>
      </c>
      <c r="H270" s="2" t="n">
        <v>8</v>
      </c>
      <c r="I270" s="2" t="n">
        <v>12</v>
      </c>
      <c r="J270" s="5">
        <f>SUM(F270:I270)</f>
        <v/>
      </c>
      <c r="K270" s="4" t="inlineStr">
        <is>
          <t>印刷スタイル表示一括</t>
        </is>
      </c>
      <c r="L270" s="3" t="inlineStr">
        <is>
          <t>EmiCAD</t>
        </is>
      </c>
      <c r="M270" s="3" t="inlineStr">
        <is>
          <t>EmiLISP Free (emicad.it)</t>
        </is>
      </c>
      <c r="N270" s="6" t="inlineStr">
        <is>
          <t>開く</t>
        </is>
      </c>
    </row>
    <row r="271">
      <c r="A271" s="2">
        <f>RANK(J271,$J$2:$J$489)</f>
        <v/>
      </c>
      <c r="B271" s="3" t="inlineStr">
        <is>
          <t>ブロック・属性</t>
        </is>
      </c>
      <c r="C271" s="3" t="inlineStr">
        <is>
          <t>text2att</t>
        </is>
      </c>
      <c r="D271" s="4" t="inlineStr">
        <is>
          <t>Text2Att</t>
        </is>
      </c>
      <c r="E271" s="4" t="inlineStr">
        <is>
          <t>文字と属性を順にピックして値を転記</t>
        </is>
      </c>
      <c r="F271" s="2" t="n">
        <v>10</v>
      </c>
      <c r="G271" s="2" t="n">
        <v>8</v>
      </c>
      <c r="H271" s="2" t="n">
        <v>11</v>
      </c>
      <c r="I271" s="2" t="n">
        <v>12</v>
      </c>
      <c r="J271" s="5">
        <f>SUM(F271:I271)</f>
        <v/>
      </c>
      <c r="K271" s="4" t="inlineStr">
        <is>
          <t>文字を属性へ転記</t>
        </is>
      </c>
      <c r="L271" s="3" t="inlineStr">
        <is>
          <t>Jörn Bosse</t>
        </is>
      </c>
      <c r="M271" s="3" t="inlineStr">
        <is>
          <t>Bosse Engineering</t>
        </is>
      </c>
      <c r="N271" s="6" t="inlineStr">
        <is>
          <t>開く</t>
        </is>
      </c>
    </row>
    <row r="272">
      <c r="A272" s="2">
        <f>RANK(J272,$J$2:$J$489)</f>
        <v/>
      </c>
      <c r="B272" s="3" t="inlineStr">
        <is>
          <t>文字・テキスト</t>
        </is>
      </c>
      <c r="C272" s="3" t="inlineStr">
        <is>
          <t>toglispazi</t>
        </is>
      </c>
      <c r="D272" s="4" t="inlineStr">
        <is>
          <t>Togli spazi o caratteri</t>
        </is>
      </c>
      <c r="E272" s="4" t="inlineStr">
        <is>
          <t>文字から空白や特定文字を除去</t>
        </is>
      </c>
      <c r="F272" s="2" t="n">
        <v>13</v>
      </c>
      <c r="G272" s="2" t="n">
        <v>8</v>
      </c>
      <c r="H272" s="2" t="n">
        <v>8</v>
      </c>
      <c r="I272" s="2" t="n">
        <v>12</v>
      </c>
      <c r="J272" s="5">
        <f>SUM(F272:I272)</f>
        <v/>
      </c>
      <c r="K272" s="4" t="inlineStr">
        <is>
          <t>空白・文字除去</t>
        </is>
      </c>
      <c r="L272" s="3" t="inlineStr">
        <is>
          <t>EmiCAD</t>
        </is>
      </c>
      <c r="M272" s="3" t="inlineStr">
        <is>
          <t>EmiLISP Free (emicad.it)</t>
        </is>
      </c>
      <c r="N272" s="6" t="inlineStr">
        <is>
          <t>開く</t>
        </is>
      </c>
    </row>
    <row r="273">
      <c r="A273" s="2">
        <f>RANK(J273,$J$2:$J$489)</f>
        <v/>
      </c>
      <c r="B273" s="3" t="inlineStr">
        <is>
          <t>文字・テキスト</t>
        </is>
      </c>
      <c r="C273" s="3" t="inlineStr">
        <is>
          <t>-</t>
        </is>
      </c>
      <c r="D273" s="4" t="inlineStr">
        <is>
          <t>Uzgodnij punkt wstawienia tekstu</t>
        </is>
      </c>
      <c r="E273" s="4" t="inlineStr">
        <is>
          <t>文字の挿入点を基準文字に揃える</t>
        </is>
      </c>
      <c r="F273" s="2" t="n">
        <v>11</v>
      </c>
      <c r="G273" s="2" t="n">
        <v>8</v>
      </c>
      <c r="H273" s="2" t="n">
        <v>9</v>
      </c>
      <c r="I273" s="2" t="n">
        <v>13</v>
      </c>
      <c r="J273" s="5">
        <f>SUM(F273:I273)</f>
        <v/>
      </c>
      <c r="K273" s="4" t="inlineStr">
        <is>
          <t>文字挿入点を揃える</t>
        </is>
      </c>
      <c r="L273" s="3" t="inlineStr">
        <is>
          <t>kojacek</t>
        </is>
      </c>
      <c r="M273" s="3" t="inlineStr">
        <is>
          <t>kojacek.wordpress.com</t>
        </is>
      </c>
      <c r="N273" s="6" t="inlineStr">
        <is>
          <t>開く</t>
        </is>
      </c>
    </row>
    <row r="274">
      <c r="A274" s="2">
        <f>RANK(J274,$J$2:$J$489)</f>
        <v/>
      </c>
      <c r="B274" s="3" t="inlineStr">
        <is>
          <t>印刷・レイアウト・図枠</t>
        </is>
      </c>
      <c r="C274" s="3" t="inlineStr">
        <is>
          <t>verr / unverr</t>
        </is>
      </c>
      <c r="D274" s="4" t="inlineStr">
        <is>
          <t>VERR / UNVERR</t>
        </is>
      </c>
      <c r="E274" s="4" t="inlineStr">
        <is>
          <t>全レイアウトのビューポートをロック/解除</t>
        </is>
      </c>
      <c r="F274" s="2" t="n">
        <v>12</v>
      </c>
      <c r="G274" s="2" t="n">
        <v>6</v>
      </c>
      <c r="H274" s="2" t="n">
        <v>10</v>
      </c>
      <c r="I274" s="2" t="n">
        <v>13</v>
      </c>
      <c r="J274" s="5">
        <f>SUM(F274:I274)</f>
        <v/>
      </c>
      <c r="K274" s="4" t="inlineStr">
        <is>
          <t>全VPロック一括</t>
        </is>
      </c>
      <c r="L274" s="3" t="inlineStr">
        <is>
          <t>Patrick_35</t>
        </is>
      </c>
      <c r="M274" s="3" t="inlineStr">
        <is>
          <t>CADxp (Patrick_35)</t>
        </is>
      </c>
      <c r="N274" s="6" t="inlineStr">
        <is>
          <t>開く</t>
        </is>
      </c>
    </row>
    <row r="275">
      <c r="A275" s="2">
        <f>RANK(J275,$J$2:$J$489)</f>
        <v/>
      </c>
      <c r="B275" s="3" t="inlineStr">
        <is>
          <t>文字・テキスト</t>
        </is>
      </c>
      <c r="C275" s="3" t="inlineStr">
        <is>
          <t>altxt</t>
        </is>
      </c>
      <c r="D275" s="4" t="inlineStr">
        <is>
          <t>Allinea testo a linea</t>
        </is>
      </c>
      <c r="E275" s="4" t="inlineStr">
        <is>
          <t>文字を線の角度に揃え配置</t>
        </is>
      </c>
      <c r="F275" s="2" t="n">
        <v>11</v>
      </c>
      <c r="G275" s="2" t="n">
        <v>8</v>
      </c>
      <c r="H275" s="2" t="n">
        <v>9</v>
      </c>
      <c r="I275" s="2" t="n">
        <v>12</v>
      </c>
      <c r="J275" s="5">
        <f>SUM(F275:I275)</f>
        <v/>
      </c>
      <c r="K275" s="4" t="inlineStr">
        <is>
          <t>文字を線に整列</t>
        </is>
      </c>
      <c r="L275" s="3" t="inlineStr">
        <is>
          <t>EmiCAD</t>
        </is>
      </c>
      <c r="M275" s="3" t="inlineStr">
        <is>
          <t>EmiLISP Free (emicad.it)</t>
        </is>
      </c>
      <c r="N275" s="6" t="inlineStr">
        <is>
          <t>開く</t>
        </is>
      </c>
    </row>
    <row r="276">
      <c r="A276" s="2">
        <f>RANK(J276,$J$2:$J$489)</f>
        <v/>
      </c>
      <c r="B276" s="3" t="inlineStr">
        <is>
          <t>ブロック・属性</t>
        </is>
      </c>
      <c r="C276" s="3" t="inlineStr">
        <is>
          <t>-</t>
        </is>
      </c>
      <c r="D276" s="4" t="inlineStr">
        <is>
          <t>Attblk</t>
        </is>
      </c>
      <c r="E276" s="4" t="inlineStr">
        <is>
          <t>挿入済みブロックの属性値をダイアログで一括変更</t>
        </is>
      </c>
      <c r="F276" s="2" t="n">
        <v>8</v>
      </c>
      <c r="G276" s="2" t="n">
        <v>7</v>
      </c>
      <c r="H276" s="2" t="n">
        <v>11</v>
      </c>
      <c r="I276" s="2" t="n">
        <v>14</v>
      </c>
      <c r="J276" s="5">
        <f>SUM(F276:I276)</f>
        <v/>
      </c>
      <c r="K276" s="4" t="inlineStr">
        <is>
          <t>EATTEDIT/GATTEで代替可</t>
        </is>
      </c>
      <c r="L276" s="3" t="inlineStr">
        <is>
          <t>CADwiesel</t>
        </is>
      </c>
      <c r="M276" s="3" t="inlineStr">
        <is>
          <t>CADwiesel</t>
        </is>
      </c>
      <c r="N276" s="6" t="inlineStr">
        <is>
          <t>開く</t>
        </is>
      </c>
    </row>
    <row r="277">
      <c r="A277" s="2">
        <f>RANK(J277,$J$2:$J$489)</f>
        <v/>
      </c>
      <c r="B277" s="3" t="inlineStr">
        <is>
          <t>建築</t>
        </is>
      </c>
      <c r="C277" s="3" t="inlineStr">
        <is>
          <t>-</t>
        </is>
      </c>
      <c r="D277" s="4" t="inlineStr">
        <is>
          <t>Cephe Kot</t>
        </is>
      </c>
      <c r="E277" s="4" t="inlineStr">
        <is>
          <t>立面図の高さ記号を記入</t>
        </is>
      </c>
      <c r="F277" s="2" t="n">
        <v>12</v>
      </c>
      <c r="G277" s="2" t="n">
        <v>9</v>
      </c>
      <c r="H277" s="2" t="n">
        <v>11</v>
      </c>
      <c r="I277" s="2" t="n">
        <v>8</v>
      </c>
      <c r="J277" s="5">
        <f>SUM(F277:I277)</f>
        <v/>
      </c>
      <c r="K277" s="4" t="inlineStr">
        <is>
          <t>立面高さ記号</t>
        </is>
      </c>
      <c r="L277" s="3" t="inlineStr">
        <is>
          <t>çizim okulu</t>
        </is>
      </c>
      <c r="M277" s="3" t="inlineStr">
        <is>
          <t>Çizim Okulu</t>
        </is>
      </c>
      <c r="N277" s="6" t="inlineStr">
        <is>
          <t>開く</t>
        </is>
      </c>
    </row>
    <row r="278">
      <c r="A278" s="2">
        <f>RANK(J278,$J$2:$J$489)</f>
        <v/>
      </c>
      <c r="B278" s="3" t="inlineStr">
        <is>
          <t>文字・テキスト</t>
        </is>
      </c>
      <c r="C278" s="3" t="inlineStr">
        <is>
          <t>-</t>
        </is>
      </c>
      <c r="D278" s="4" t="inlineStr">
        <is>
          <t>Chtext</t>
        </is>
      </c>
      <c r="E278" s="4" t="inlineStr">
        <is>
          <t>文字の高さ・位置・角度・スタイル・幅を一括/個別変更</t>
        </is>
      </c>
      <c r="F278" s="2" t="n">
        <v>8</v>
      </c>
      <c r="G278" s="2" t="n">
        <v>6</v>
      </c>
      <c r="H278" s="2" t="n">
        <v>11</v>
      </c>
      <c r="I278" s="2" t="n">
        <v>15</v>
      </c>
      <c r="J278" s="5">
        <f>SUM(F278:I278)</f>
        <v/>
      </c>
      <c r="K278" s="4" t="inlineStr">
        <is>
          <t>プロパティ一括で代替可</t>
        </is>
      </c>
      <c r="L278" s="3" t="inlineStr">
        <is>
          <t>CADwiesel</t>
        </is>
      </c>
      <c r="M278" s="3" t="inlineStr">
        <is>
          <t>CADwiesel</t>
        </is>
      </c>
      <c r="N278" s="6" t="inlineStr">
        <is>
          <t>開く</t>
        </is>
      </c>
    </row>
    <row r="279">
      <c r="A279" s="2">
        <f>RANK(J279,$J$2:$J$489)</f>
        <v/>
      </c>
      <c r="B279" s="3" t="inlineStr">
        <is>
          <t>座標・測量・土木</t>
        </is>
      </c>
      <c r="C279" s="3" t="inlineStr">
        <is>
          <t>Expdat</t>
        </is>
      </c>
      <c r="D279" s="4" t="inlineStr">
        <is>
          <t>Esporta coordinate</t>
        </is>
      </c>
      <c r="E279" s="4" t="inlineStr">
        <is>
          <t>点・頂点のXYZ座標をDATファイル出力</t>
        </is>
      </c>
      <c r="F279" s="2" t="n">
        <v>12</v>
      </c>
      <c r="G279" s="2" t="n">
        <v>7</v>
      </c>
      <c r="H279" s="2" t="n">
        <v>11</v>
      </c>
      <c r="I279" s="2" t="n">
        <v>10</v>
      </c>
      <c r="J279" s="5">
        <f>SUM(F279:I279)</f>
        <v/>
      </c>
      <c r="K279" s="4" t="inlineStr">
        <is>
          <t>座標DAT出力</t>
        </is>
      </c>
      <c r="L279" s="3" t="inlineStr">
        <is>
          <t>EmiCAD</t>
        </is>
      </c>
      <c r="M279" s="3" t="inlineStr">
        <is>
          <t>EmiLISP Free (emicad.it)</t>
        </is>
      </c>
      <c r="N279" s="6" t="inlineStr">
        <is>
          <t>開く</t>
        </is>
      </c>
    </row>
    <row r="280">
      <c r="A280" s="2">
        <f>RANK(J280,$J$2:$J$489)</f>
        <v/>
      </c>
      <c r="B280" s="3" t="inlineStr">
        <is>
          <t>作図</t>
        </is>
      </c>
      <c r="C280" s="3" t="inlineStr">
        <is>
          <t>exp</t>
        </is>
      </c>
      <c r="D280" s="4" t="inlineStr">
        <is>
          <t>EXP</t>
        </is>
      </c>
      <c r="E280" s="4" t="inlineStr">
        <is>
          <t>入れ子を含め選択を完全分解</t>
        </is>
      </c>
      <c r="F280" s="2" t="n">
        <v>11</v>
      </c>
      <c r="G280" s="2" t="n">
        <v>7</v>
      </c>
      <c r="H280" s="2" t="n">
        <v>8</v>
      </c>
      <c r="I280" s="2" t="n">
        <v>14</v>
      </c>
      <c r="J280" s="5">
        <f>SUM(F280:I280)</f>
        <v/>
      </c>
      <c r="K280" s="4" t="inlineStr">
        <is>
          <t>入れ子まで一括分解</t>
        </is>
      </c>
      <c r="L280" s="3" t="inlineStr">
        <is>
          <t>Patrick_35</t>
        </is>
      </c>
      <c r="M280" s="3" t="inlineStr">
        <is>
          <t>CADxp (Patrick_35)</t>
        </is>
      </c>
      <c r="N280" s="6" t="inlineStr">
        <is>
          <t>開く</t>
        </is>
      </c>
    </row>
    <row r="281">
      <c r="A281" s="2">
        <f>RANK(J281,$J$2:$J$489)</f>
        <v/>
      </c>
      <c r="B281" s="3" t="inlineStr">
        <is>
          <t>引出線・注記</t>
        </is>
      </c>
      <c r="C281" s="3" t="inlineStr">
        <is>
          <t>FL</t>
        </is>
      </c>
      <c r="D281" s="4" t="inlineStr">
        <is>
          <t>FL</t>
        </is>
      </c>
      <c r="E281" s="4" t="inlineStr">
        <is>
          <t>文字から直角の引出線を作成（有料）</t>
        </is>
      </c>
      <c r="F281" s="2" t="n">
        <v>11</v>
      </c>
      <c r="G281" s="2" t="n">
        <v>9</v>
      </c>
      <c r="H281" s="2" t="n">
        <v>9</v>
      </c>
      <c r="I281" s="2" t="n">
        <v>11</v>
      </c>
      <c r="J281" s="5">
        <f>SUM(F281:I281)</f>
        <v/>
      </c>
      <c r="K281" s="4" t="inlineStr">
        <is>
          <t>直角引出線（有料）</t>
        </is>
      </c>
      <c r="L281" s="3" t="inlineStr">
        <is>
          <t>CADwiesel</t>
        </is>
      </c>
      <c r="M281" s="3" t="inlineStr">
        <is>
          <t>CADwiesel</t>
        </is>
      </c>
      <c r="N281" s="6" t="inlineStr">
        <is>
          <t>開く</t>
        </is>
      </c>
    </row>
    <row r="282">
      <c r="A282" s="2">
        <f>RANK(J282,$J$2:$J$489)</f>
        <v/>
      </c>
      <c r="B282" s="3" t="inlineStr">
        <is>
          <t>LISP開発用の部品</t>
        </is>
      </c>
      <c r="C282" s="3" t="inlineStr">
        <is>
          <t>-</t>
        </is>
      </c>
      <c r="D282" s="4" t="inlineStr">
        <is>
          <t>gc_Blocks / gc_Dictionaries / gc_Sortents</t>
        </is>
      </c>
      <c r="E282" s="4" t="inlineStr">
        <is>
          <t>ブロック・辞書・描画順操作関数ライブラリ</t>
        </is>
      </c>
      <c r="F282" s="2" t="n">
        <v>13</v>
      </c>
      <c r="G282" s="2" t="n">
        <v>10</v>
      </c>
      <c r="H282" s="2" t="n">
        <v>4</v>
      </c>
      <c r="I282" s="2" t="n">
        <v>13</v>
      </c>
      <c r="J282" s="5">
        <f>SUM(F282:I282)</f>
        <v/>
      </c>
      <c r="K282" s="4" t="inlineStr">
        <is>
          <t>辞書・描画順ヘルパー</t>
        </is>
      </c>
      <c r="L282" s="3" t="inlineStr">
        <is>
          <t>(gile)</t>
        </is>
      </c>
      <c r="M282" s="3" t="inlineStr">
        <is>
          <t>gileCAD</t>
        </is>
      </c>
      <c r="N282" s="6" t="inlineStr">
        <is>
          <t>開く</t>
        </is>
      </c>
    </row>
    <row r="283">
      <c r="A283" s="2">
        <f>RANK(J283,$J$2:$J$489)</f>
        <v/>
      </c>
      <c r="B283" s="3" t="inlineStr">
        <is>
          <t>作図</t>
        </is>
      </c>
      <c r="C283" s="3" t="inlineStr">
        <is>
          <t>-</t>
        </is>
      </c>
      <c r="D283" s="4" t="inlineStr">
        <is>
          <t>Linortho</t>
        </is>
      </c>
      <c r="E283" s="4" t="inlineStr">
        <is>
          <t>文字・線・ブロックを現在UCSのX軸に平行化（有料）</t>
        </is>
      </c>
      <c r="F283" s="2" t="n">
        <v>11</v>
      </c>
      <c r="G283" s="2" t="n">
        <v>8</v>
      </c>
      <c r="H283" s="2" t="n">
        <v>9</v>
      </c>
      <c r="I283" s="2" t="n">
        <v>12</v>
      </c>
      <c r="J283" s="5">
        <f>SUM(F283:I283)</f>
        <v/>
      </c>
      <c r="K283" s="4" t="inlineStr">
        <is>
          <t>UCS平行化（有料）</t>
        </is>
      </c>
      <c r="L283" s="3" t="inlineStr">
        <is>
          <t>CADwiesel</t>
        </is>
      </c>
      <c r="M283" s="3" t="inlineStr">
        <is>
          <t>CADwiesel</t>
        </is>
      </c>
      <c r="N283" s="6" t="inlineStr">
        <is>
          <t>開く</t>
        </is>
      </c>
    </row>
    <row r="284">
      <c r="A284" s="2">
        <f>RANK(J284,$J$2:$J$489)</f>
        <v/>
      </c>
      <c r="B284" s="3" t="inlineStr">
        <is>
          <t>設備</t>
        </is>
      </c>
      <c r="C284" s="3" t="inlineStr">
        <is>
          <t>-</t>
        </is>
      </c>
      <c r="D284" s="4" t="inlineStr">
        <is>
          <t>Lisp CVC (Fabien034)</t>
        </is>
      </c>
      <c r="E284" s="4" t="inlineStr">
        <is>
          <t>空調(CVC)向け画層・寸法・表・注記の設定コマンド群</t>
        </is>
      </c>
      <c r="F284" s="2" t="n">
        <v>11</v>
      </c>
      <c r="G284" s="2" t="n">
        <v>9</v>
      </c>
      <c r="H284" s="2" t="n">
        <v>13</v>
      </c>
      <c r="I284" s="2" t="n">
        <v>7</v>
      </c>
      <c r="J284" s="5">
        <f>SUM(F284:I284)</f>
        <v/>
      </c>
      <c r="K284" s="4" t="inlineStr">
        <is>
          <t>空調向け設定群</t>
        </is>
      </c>
      <c r="L284" s="3" t="inlineStr">
        <is>
          <t>Fabien034</t>
        </is>
      </c>
      <c r="M284" s="3" t="inlineStr">
        <is>
          <t>GitHub: Fabien034/Lisp</t>
        </is>
      </c>
      <c r="N284" s="6" t="inlineStr">
        <is>
          <t>開く</t>
        </is>
      </c>
    </row>
    <row r="285">
      <c r="A285" s="2">
        <f>RANK(J285,$J$2:$J$489)</f>
        <v/>
      </c>
      <c r="B285" s="3" t="inlineStr">
        <is>
          <t>3D</t>
        </is>
      </c>
      <c r="C285" s="3" t="inlineStr">
        <is>
          <t>M2S</t>
        </is>
      </c>
      <c r="D285" s="4" t="inlineStr">
        <is>
          <t>M2S</t>
        </is>
      </c>
      <c r="E285" s="4" t="inlineStr">
        <is>
          <t>3Dメッシュをソリッドに変換</t>
        </is>
      </c>
      <c r="F285" s="2" t="n">
        <v>17</v>
      </c>
      <c r="G285" s="2" t="n">
        <v>12</v>
      </c>
      <c r="H285" s="2" t="n">
        <v>5</v>
      </c>
      <c r="I285" s="2" t="n">
        <v>6</v>
      </c>
      <c r="J285" s="5">
        <f>SUM(F285:I285)</f>
        <v/>
      </c>
      <c r="K285" s="4" t="inlineStr">
        <is>
          <t>メッシュのソリッド化</t>
        </is>
      </c>
      <c r="L285" s="3" t="inlineStr">
        <is>
          <t>Bill Gilliss</t>
        </is>
      </c>
      <c r="M285" s="3" t="inlineStr">
        <is>
          <t>emicad.it Utility LISP</t>
        </is>
      </c>
      <c r="N285" s="6" t="inlineStr">
        <is>
          <t>開く</t>
        </is>
      </c>
    </row>
    <row r="286">
      <c r="A286" s="2">
        <f>RANK(J286,$J$2:$J$489)</f>
        <v/>
      </c>
      <c r="B286" s="3" t="inlineStr">
        <is>
          <t>線・ポリライン編集</t>
        </is>
      </c>
      <c r="C286" s="3" t="inlineStr">
        <is>
          <t>PLAV</t>
        </is>
      </c>
      <c r="D286" s="4" t="inlineStr">
        <is>
          <t>Nowy wierzchołek (plav)</t>
        </is>
      </c>
      <c r="E286" s="4" t="inlineStr">
        <is>
          <t>ポリラインへ素早く頂点を追加</t>
        </is>
      </c>
      <c r="F286" s="2" t="n">
        <v>9</v>
      </c>
      <c r="G286" s="2" t="n">
        <v>7</v>
      </c>
      <c r="H286" s="2" t="n">
        <v>10</v>
      </c>
      <c r="I286" s="2" t="n">
        <v>14</v>
      </c>
      <c r="J286" s="5">
        <f>SUM(F286:I286)</f>
        <v/>
      </c>
      <c r="K286" s="4" t="inlineStr">
        <is>
          <t>頂点追加を高速化</t>
        </is>
      </c>
      <c r="L286" s="3" t="inlineStr">
        <is>
          <t>kojacek</t>
        </is>
      </c>
      <c r="M286" s="3" t="inlineStr">
        <is>
          <t>kojacek.wordpress.com</t>
        </is>
      </c>
      <c r="N286" s="6" t="inlineStr">
        <is>
          <t>開く</t>
        </is>
      </c>
    </row>
    <row r="287">
      <c r="A287" s="2">
        <f>RANK(J287,$J$2:$J$489)</f>
        <v/>
      </c>
      <c r="B287" s="3" t="inlineStr">
        <is>
          <t>3D</t>
        </is>
      </c>
      <c r="C287" s="3" t="inlineStr">
        <is>
          <t>soustrac</t>
        </is>
      </c>
      <c r="D287" s="4" t="inlineStr">
        <is>
          <t>Soustrac</t>
        </is>
      </c>
      <c r="E287" s="4" t="inlineStr">
        <is>
          <t>結合せずに3Dソリッドを差分</t>
        </is>
      </c>
      <c r="F287" s="2" t="n">
        <v>14</v>
      </c>
      <c r="G287" s="2" t="n">
        <v>12</v>
      </c>
      <c r="H287" s="2" t="n">
        <v>7</v>
      </c>
      <c r="I287" s="2" t="n">
        <v>7</v>
      </c>
      <c r="J287" s="5">
        <f>SUM(F287:I287)</f>
        <v/>
      </c>
      <c r="K287" s="4" t="inlineStr">
        <is>
          <t>結合せず差分は3D限定</t>
        </is>
      </c>
      <c r="L287" s="3" t="inlineStr">
        <is>
          <t>(gile)</t>
        </is>
      </c>
      <c r="M287" s="3" t="inlineStr">
        <is>
          <t>gileCAD</t>
        </is>
      </c>
      <c r="N287" s="6" t="inlineStr">
        <is>
          <t>開く</t>
        </is>
      </c>
    </row>
    <row r="288">
      <c r="A288" s="2">
        <f>RANK(J288,$J$2:$J$489)</f>
        <v/>
      </c>
      <c r="B288" s="3" t="inlineStr">
        <is>
          <t>文字・テキスト</t>
        </is>
      </c>
      <c r="C288" s="3" t="inlineStr">
        <is>
          <t>-</t>
        </is>
      </c>
      <c r="D288" s="4" t="inlineStr">
        <is>
          <t>Tekst voor tekst</t>
        </is>
      </c>
      <c r="E288" s="4" t="inlineStr">
        <is>
          <t>既存文字の前に文字を追加</t>
        </is>
      </c>
      <c r="F288" s="2" t="n">
        <v>11</v>
      </c>
      <c r="G288" s="2" t="n">
        <v>7</v>
      </c>
      <c r="H288" s="2" t="n">
        <v>9</v>
      </c>
      <c r="I288" s="2" t="n">
        <v>13</v>
      </c>
      <c r="J288" s="5">
        <f>SUM(F288:I288)</f>
        <v/>
      </c>
      <c r="K288" s="4" t="inlineStr">
        <is>
          <t>接頭文字追加</t>
        </is>
      </c>
      <c r="L288" s="3" t="inlineStr">
        <is>
          <t>cadsite.be (Julien e.a.)</t>
        </is>
      </c>
      <c r="M288" s="3" t="inlineStr">
        <is>
          <t>juliens cadsite (BE)</t>
        </is>
      </c>
      <c r="N288" s="6" t="inlineStr">
        <is>
          <t>開く</t>
        </is>
      </c>
    </row>
    <row r="289">
      <c r="A289" s="2">
        <f>RANK(J289,$J$2:$J$489)</f>
        <v/>
      </c>
      <c r="B289" s="3" t="inlineStr">
        <is>
          <t>引出線・注記</t>
        </is>
      </c>
      <c r="C289" s="3" t="inlineStr">
        <is>
          <t>let</t>
        </is>
      </c>
      <c r="D289" s="4" t="inlineStr">
        <is>
          <t>Testo cerchiato</t>
        </is>
      </c>
      <c r="E289" s="4" t="inlineStr">
        <is>
          <t>円囲み文字（通り芯記号等）を挿入</t>
        </is>
      </c>
      <c r="F289" s="2" t="n">
        <v>11</v>
      </c>
      <c r="G289" s="2" t="n">
        <v>8</v>
      </c>
      <c r="H289" s="2" t="n">
        <v>11</v>
      </c>
      <c r="I289" s="2" t="n">
        <v>10</v>
      </c>
      <c r="J289" s="5">
        <f>SUM(F289:I289)</f>
        <v/>
      </c>
      <c r="K289" s="4" t="inlineStr">
        <is>
          <t>円囲み文字</t>
        </is>
      </c>
      <c r="L289" s="3" t="inlineStr">
        <is>
          <t>EmiCAD</t>
        </is>
      </c>
      <c r="M289" s="3" t="inlineStr">
        <is>
          <t>EmiLISP Free (emicad.it)</t>
        </is>
      </c>
      <c r="N289" s="6" t="inlineStr">
        <is>
          <t>開く</t>
        </is>
      </c>
    </row>
    <row r="290">
      <c r="A290" s="2">
        <f>RANK(J290,$J$2:$J$489)</f>
        <v/>
      </c>
      <c r="B290" s="3" t="inlineStr">
        <is>
          <t>ブロック・属性</t>
        </is>
      </c>
      <c r="C290" s="3" t="inlineStr">
        <is>
          <t>-</t>
        </is>
      </c>
      <c r="D290" s="4" t="inlineStr">
        <is>
          <t>Usuwanie bloków zagnieżdżonych</t>
        </is>
      </c>
      <c r="E290" s="4" t="inlineStr">
        <is>
          <t>ブロック定義から入れ子ブロックを削除</t>
        </is>
      </c>
      <c r="F290" s="2" t="n">
        <v>13</v>
      </c>
      <c r="G290" s="2" t="n">
        <v>9</v>
      </c>
      <c r="H290" s="2" t="n">
        <v>7</v>
      </c>
      <c r="I290" s="2" t="n">
        <v>11</v>
      </c>
      <c r="J290" s="5">
        <f>SUM(F290:I290)</f>
        <v/>
      </c>
      <c r="K290" s="4" t="inlineStr">
        <is>
          <t>入れ子ブロック除去</t>
        </is>
      </c>
      <c r="L290" s="3" t="inlineStr">
        <is>
          <t>kojacek</t>
        </is>
      </c>
      <c r="M290" s="3" t="inlineStr">
        <is>
          <t>kojacek.wordpress.com</t>
        </is>
      </c>
      <c r="N290" s="6" t="inlineStr">
        <is>
          <t>開く</t>
        </is>
      </c>
    </row>
    <row r="291">
      <c r="A291" s="2">
        <f>RANK(J291,$J$2:$J$489)</f>
        <v/>
      </c>
      <c r="B291" s="3" t="inlineStr">
        <is>
          <t>座標・測量・土木</t>
        </is>
      </c>
      <c r="C291" s="3" t="inlineStr">
        <is>
          <t>-</t>
        </is>
      </c>
      <c r="D291" s="4" t="inlineStr">
        <is>
          <t>Współrzędne geograficzne (WGeo)</t>
        </is>
      </c>
      <c r="E291" s="4" t="inlineStr">
        <is>
          <t>地図に緯度経度（PL2000座標）を記入</t>
        </is>
      </c>
      <c r="F291" s="2" t="n">
        <v>15</v>
      </c>
      <c r="G291" s="2" t="n">
        <v>11</v>
      </c>
      <c r="H291" s="2" t="n">
        <v>9</v>
      </c>
      <c r="I291" s="2" t="n">
        <v>5</v>
      </c>
      <c r="J291" s="5">
        <f>SUM(F291:I291)</f>
        <v/>
      </c>
      <c r="K291" s="4" t="inlineStr">
        <is>
          <t>PL2000座標系向け</t>
        </is>
      </c>
      <c r="L291" s="3" t="inlineStr">
        <is>
          <t>kojacek</t>
        </is>
      </c>
      <c r="M291" s="3" t="inlineStr">
        <is>
          <t>kojacek.wordpress.com</t>
        </is>
      </c>
      <c r="N291" s="6" t="inlineStr">
        <is>
          <t>開く</t>
        </is>
      </c>
    </row>
    <row r="292">
      <c r="A292" s="2">
        <f>RANK(J292,$J$2:$J$489)</f>
        <v/>
      </c>
      <c r="B292" s="3" t="inlineStr">
        <is>
          <t>選択・絞り込み</t>
        </is>
      </c>
      <c r="C292" s="3" t="inlineStr">
        <is>
          <t>-</t>
        </is>
      </c>
      <c r="D292" s="4" t="inlineStr">
        <is>
          <t>Wybieranie niewybieralnych</t>
        </is>
      </c>
      <c r="E292" s="4" t="inlineStr">
        <is>
          <t>通常選べない図形を選択</t>
        </is>
      </c>
      <c r="F292" s="2" t="n">
        <v>13</v>
      </c>
      <c r="G292" s="2" t="n">
        <v>11</v>
      </c>
      <c r="H292" s="2" t="n">
        <v>6</v>
      </c>
      <c r="I292" s="2" t="n">
        <v>10</v>
      </c>
      <c r="J292" s="5">
        <f>SUM(F292:I292)</f>
        <v/>
      </c>
      <c r="K292" s="4" t="inlineStr">
        <is>
          <t>選べない図形を選択</t>
        </is>
      </c>
      <c r="L292" s="3" t="inlineStr">
        <is>
          <t>kojacek</t>
        </is>
      </c>
      <c r="M292" s="3" t="inlineStr">
        <is>
          <t>kojacek.wordpress.com</t>
        </is>
      </c>
      <c r="N292" s="6" t="inlineStr">
        <is>
          <t>開く</t>
        </is>
      </c>
    </row>
    <row r="293">
      <c r="A293" s="2">
        <f>RANK(J293,$J$2:$J$489)</f>
        <v/>
      </c>
      <c r="B293" s="3" t="inlineStr">
        <is>
          <t>文字・テキスト</t>
        </is>
      </c>
      <c r="C293" s="3" t="inlineStr">
        <is>
          <t>-</t>
        </is>
      </c>
      <c r="D293" s="4" t="inlineStr">
        <is>
          <t>Yazıyı referansa göre döndürme</t>
        </is>
      </c>
      <c r="E293" s="4" t="inlineStr">
        <is>
          <t>文字を参照図形の角度に回転</t>
        </is>
      </c>
      <c r="F293" s="2" t="n">
        <v>11</v>
      </c>
      <c r="G293" s="2" t="n">
        <v>8</v>
      </c>
      <c r="H293" s="2" t="n">
        <v>9</v>
      </c>
      <c r="I293" s="2" t="n">
        <v>12</v>
      </c>
      <c r="J293" s="5">
        <f>SUM(F293:I293)</f>
        <v/>
      </c>
      <c r="K293" s="4" t="inlineStr">
        <is>
          <t>参照角度へ回転</t>
        </is>
      </c>
      <c r="L293" s="3" t="inlineStr">
        <is>
          <t>çizim okulu</t>
        </is>
      </c>
      <c r="M293" s="3" t="inlineStr">
        <is>
          <t>Çizim Okulu</t>
        </is>
      </c>
      <c r="N293" s="6" t="inlineStr">
        <is>
          <t>開く</t>
        </is>
      </c>
    </row>
    <row r="294">
      <c r="A294" s="2">
        <f>RANK(J294,$J$2:$J$489)</f>
        <v/>
      </c>
      <c r="B294" s="3" t="inlineStr">
        <is>
          <t>寸法</t>
        </is>
      </c>
      <c r="C294" s="3" t="inlineStr">
        <is>
          <t>allineaquote</t>
        </is>
      </c>
      <c r="D294" s="4" t="inlineStr">
        <is>
          <t>Allinea quote</t>
        </is>
      </c>
      <c r="E294" s="4" t="inlineStr">
        <is>
          <t>複数寸法の補助線長を揃える</t>
        </is>
      </c>
      <c r="F294" s="2" t="n">
        <v>11</v>
      </c>
      <c r="G294" s="2" t="n">
        <v>8</v>
      </c>
      <c r="H294" s="2" t="n">
        <v>9</v>
      </c>
      <c r="I294" s="2" t="n">
        <v>11</v>
      </c>
      <c r="J294" s="5">
        <f>SUM(F294:I294)</f>
        <v/>
      </c>
      <c r="K294" s="4" t="inlineStr">
        <is>
          <t>補助線長を揃える</t>
        </is>
      </c>
      <c r="L294" s="3" t="inlineStr">
        <is>
          <t>EmiCAD</t>
        </is>
      </c>
      <c r="M294" s="3" t="inlineStr">
        <is>
          <t>EmiLISP Free (emicad.it)</t>
        </is>
      </c>
      <c r="N294" s="6" t="inlineStr">
        <is>
          <t>開く</t>
        </is>
      </c>
    </row>
    <row r="295">
      <c r="A295" s="2">
        <f>RANK(J295,$J$2:$J$489)</f>
        <v/>
      </c>
      <c r="B295" s="3" t="inlineStr">
        <is>
          <t>線・ポリライン編集</t>
        </is>
      </c>
      <c r="C295" s="3" t="inlineStr">
        <is>
          <t>arcedit</t>
        </is>
      </c>
      <c r="D295" s="4" t="inlineStr">
        <is>
          <t>Arcedit</t>
        </is>
      </c>
      <c r="E295" s="4" t="inlineStr">
        <is>
          <t>円弧の始終角を変更・円を円弧化</t>
        </is>
      </c>
      <c r="F295" s="2" t="n">
        <v>14</v>
      </c>
      <c r="G295" s="2" t="n">
        <v>11</v>
      </c>
      <c r="H295" s="2" t="n">
        <v>5</v>
      </c>
      <c r="I295" s="2" t="n">
        <v>9</v>
      </c>
      <c r="J295" s="5">
        <f>SUM(F295:I295)</f>
        <v/>
      </c>
      <c r="K295" s="4" t="inlineStr">
        <is>
          <t>円弧角編集は稀な需要</t>
        </is>
      </c>
      <c r="L295" s="3" t="inlineStr">
        <is>
          <t>(gile)</t>
        </is>
      </c>
      <c r="M295" s="3" t="inlineStr">
        <is>
          <t>gileCAD</t>
        </is>
      </c>
      <c r="N295" s="6" t="inlineStr">
        <is>
          <t>開く</t>
        </is>
      </c>
    </row>
    <row r="296">
      <c r="A296" s="2">
        <f>RANK(J296,$J$2:$J$489)</f>
        <v/>
      </c>
      <c r="B296" s="3" t="inlineStr">
        <is>
          <t>LISP開発用の部品</t>
        </is>
      </c>
      <c r="C296" s="3" t="inlineStr">
        <is>
          <t>-</t>
        </is>
      </c>
      <c r="D296" s="4" t="inlineStr">
        <is>
          <t>Blockdef_for_load</t>
        </is>
      </c>
      <c r="E296" s="4" t="inlineStr">
        <is>
          <t>ブロック定義をentmakeリスト化しloadで挿入</t>
        </is>
      </c>
      <c r="F296" s="2" t="n">
        <v>13</v>
      </c>
      <c r="G296" s="2" t="n">
        <v>12</v>
      </c>
      <c r="H296" s="2" t="n">
        <v>4</v>
      </c>
      <c r="I296" s="2" t="n">
        <v>10</v>
      </c>
      <c r="J296" s="5">
        <f>SUM(F296:I296)</f>
        <v/>
      </c>
      <c r="K296" s="4" t="inlineStr">
        <is>
          <t>ブロックをLISP化</t>
        </is>
      </c>
      <c r="L296" s="3" t="inlineStr">
        <is>
          <t>CADwiesel</t>
        </is>
      </c>
      <c r="M296" s="3" t="inlineStr">
        <is>
          <t>CADwiesel</t>
        </is>
      </c>
      <c r="N296" s="6" t="inlineStr">
        <is>
          <t>開く</t>
        </is>
      </c>
    </row>
    <row r="297">
      <c r="A297" s="2">
        <f>RANK(J297,$J$2:$J$489)</f>
        <v/>
      </c>
      <c r="B297" s="3" t="inlineStr">
        <is>
          <t>ブロック・属性</t>
        </is>
      </c>
      <c r="C297" s="3" t="inlineStr">
        <is>
          <t>-</t>
        </is>
      </c>
      <c r="D297" s="4" t="inlineStr">
        <is>
          <t>Bloki przycięte</t>
        </is>
      </c>
      <c r="E297" s="4" t="inlineStr">
        <is>
          <t>クリップされたブロックの確認・処理</t>
        </is>
      </c>
      <c r="F297" s="2" t="n">
        <v>13</v>
      </c>
      <c r="G297" s="2" t="n">
        <v>10</v>
      </c>
      <c r="H297" s="2" t="n">
        <v>7</v>
      </c>
      <c r="I297" s="2" t="n">
        <v>9</v>
      </c>
      <c r="J297" s="5">
        <f>SUM(F297:I297)</f>
        <v/>
      </c>
      <c r="K297" s="4" t="inlineStr">
        <is>
          <t>クリップブロック処理</t>
        </is>
      </c>
      <c r="L297" s="3" t="inlineStr">
        <is>
          <t>kojacek</t>
        </is>
      </c>
      <c r="M297" s="3" t="inlineStr">
        <is>
          <t>kojacek.wordpress.com</t>
        </is>
      </c>
      <c r="N297" s="6" t="inlineStr">
        <is>
          <t>開く</t>
        </is>
      </c>
    </row>
    <row r="298">
      <c r="A298" s="2">
        <f>RANK(J298,$J$2:$J$489)</f>
        <v/>
      </c>
      <c r="B298" s="3" t="inlineStr">
        <is>
          <t>線・ポリライン編集</t>
        </is>
      </c>
      <c r="C298" s="3" t="inlineStr">
        <is>
          <t>convarco</t>
        </is>
      </c>
      <c r="D298" s="4" t="inlineStr">
        <is>
          <t>Converti archi in poli2D</t>
        </is>
      </c>
      <c r="E298" s="4" t="inlineStr">
        <is>
          <t>円弧を指定長の線分ポリラインに</t>
        </is>
      </c>
      <c r="F298" s="2" t="n">
        <v>13</v>
      </c>
      <c r="G298" s="2" t="n">
        <v>9</v>
      </c>
      <c r="H298" s="2" t="n">
        <v>7</v>
      </c>
      <c r="I298" s="2" t="n">
        <v>10</v>
      </c>
      <c r="J298" s="5">
        <f>SUM(F298:I298)</f>
        <v/>
      </c>
      <c r="K298" s="4" t="inlineStr">
        <is>
          <t>円弧の線分化</t>
        </is>
      </c>
      <c r="L298" s="3" t="inlineStr">
        <is>
          <t>EmiCAD</t>
        </is>
      </c>
      <c r="M298" s="3" t="inlineStr">
        <is>
          <t>EmiLISP Free (emicad.it)</t>
        </is>
      </c>
      <c r="N298" s="6" t="inlineStr">
        <is>
          <t>開く</t>
        </is>
      </c>
    </row>
    <row r="299">
      <c r="A299" s="2">
        <f>RANK(J299,$J$2:$J$489)</f>
        <v/>
      </c>
      <c r="B299" s="3" t="inlineStr">
        <is>
          <t>LISP開発用の部品</t>
        </is>
      </c>
      <c r="C299" s="3" t="inlineStr">
        <is>
          <t>-</t>
        </is>
      </c>
      <c r="D299" s="4" t="inlineStr">
        <is>
          <t>DCL_*</t>
        </is>
      </c>
      <c r="E299" s="4" t="inlineStr">
        <is>
          <t>DCLリスト/色リスト/標準入力ダイアログ関数群</t>
        </is>
      </c>
      <c r="F299" s="2" t="n">
        <v>12</v>
      </c>
      <c r="G299" s="2" t="n">
        <v>10</v>
      </c>
      <c r="H299" s="2" t="n">
        <v>4</v>
      </c>
      <c r="I299" s="2" t="n">
        <v>13</v>
      </c>
      <c r="J299" s="5">
        <f>SUM(F299:I299)</f>
        <v/>
      </c>
      <c r="K299" s="4" t="inlineStr">
        <is>
          <t>DCL操作関数群</t>
        </is>
      </c>
      <c r="L299" s="3" t="inlineStr">
        <is>
          <t>CADPL (kojacek, kruuger et al.)</t>
        </is>
      </c>
      <c r="M299" s="3" t="inlineStr">
        <is>
          <t>GitHub: kruuger/CADPL-Pack-v1</t>
        </is>
      </c>
      <c r="N299" s="6" t="inlineStr">
        <is>
          <t>開く</t>
        </is>
      </c>
    </row>
    <row r="300">
      <c r="A300" s="2">
        <f>RANK(J300,$J$2:$J$489)</f>
        <v/>
      </c>
      <c r="B300" s="3" t="inlineStr">
        <is>
          <t>LISP開発用の部品</t>
        </is>
      </c>
      <c r="C300" s="3" t="inlineStr">
        <is>
          <t>-</t>
        </is>
      </c>
      <c r="D300" s="4" t="inlineStr">
        <is>
          <t>DCT_*</t>
        </is>
      </c>
      <c r="E300" s="4" t="inlineStr">
        <is>
          <t>辞書・拡張辞書・Xrecord操作関数群</t>
        </is>
      </c>
      <c r="F300" s="2" t="n">
        <v>13</v>
      </c>
      <c r="G300" s="2" t="n">
        <v>10</v>
      </c>
      <c r="H300" s="2" t="n">
        <v>4</v>
      </c>
      <c r="I300" s="2" t="n">
        <v>12</v>
      </c>
      <c r="J300" s="5">
        <f>SUM(F300:I300)</f>
        <v/>
      </c>
      <c r="K300" s="4" t="inlineStr">
        <is>
          <t>辞書/Xrecord関数</t>
        </is>
      </c>
      <c r="L300" s="3" t="inlineStr">
        <is>
          <t>CADPL (kojacek, kruuger et al.)</t>
        </is>
      </c>
      <c r="M300" s="3" t="inlineStr">
        <is>
          <t>GitHub: kruuger/CADPL-Pack-v1</t>
        </is>
      </c>
      <c r="N300" s="6" t="inlineStr">
        <is>
          <t>開く</t>
        </is>
      </c>
    </row>
    <row r="301">
      <c r="A301" s="2">
        <f>RANK(J301,$J$2:$J$489)</f>
        <v/>
      </c>
      <c r="B301" s="3" t="inlineStr">
        <is>
          <t>設定・環境</t>
        </is>
      </c>
      <c r="C301" s="3" t="inlineStr">
        <is>
          <t>-</t>
        </is>
      </c>
      <c r="D301" s="4" t="inlineStr">
        <is>
          <t>DGN linetype</t>
        </is>
      </c>
      <c r="E301" s="4" t="inlineStr">
        <is>
          <t>DGN由来の線種を除去</t>
        </is>
      </c>
      <c r="F301" s="2" t="n">
        <v>14</v>
      </c>
      <c r="G301" s="2" t="n">
        <v>9</v>
      </c>
      <c r="H301" s="2" t="n">
        <v>7</v>
      </c>
      <c r="I301" s="2" t="n">
        <v>9</v>
      </c>
      <c r="J301" s="5">
        <f>SUM(F301:I301)</f>
        <v/>
      </c>
      <c r="K301" s="4" t="inlineStr">
        <is>
          <t>DGN線種ゴミ除去</t>
        </is>
      </c>
      <c r="L301" s="3" t="inlineStr">
        <is>
          <t>kojacek</t>
        </is>
      </c>
      <c r="M301" s="3" t="inlineStr">
        <is>
          <t>kojacek.wordpress.com</t>
        </is>
      </c>
      <c r="N301" s="6" t="inlineStr">
        <is>
          <t>開く</t>
        </is>
      </c>
    </row>
    <row r="302">
      <c r="A302" s="2">
        <f>RANK(J302,$J$2:$J$489)</f>
        <v/>
      </c>
      <c r="B302" s="3" t="inlineStr">
        <is>
          <t>作図</t>
        </is>
      </c>
      <c r="C302" s="3" t="inlineStr">
        <is>
          <t>-</t>
        </is>
      </c>
      <c r="D302" s="4" t="inlineStr">
        <is>
          <t>Dostęp do elementów szyku</t>
        </is>
      </c>
      <c r="E302" s="4" t="inlineStr">
        <is>
          <t>配列の個別要素にアクセス・編集</t>
        </is>
      </c>
      <c r="F302" s="2" t="n">
        <v>13</v>
      </c>
      <c r="G302" s="2" t="n">
        <v>10</v>
      </c>
      <c r="H302" s="2" t="n">
        <v>7</v>
      </c>
      <c r="I302" s="2" t="n">
        <v>9</v>
      </c>
      <c r="J302" s="5">
        <f>SUM(F302:I302)</f>
        <v/>
      </c>
      <c r="K302" s="4" t="inlineStr">
        <is>
          <t>配列要素を個別編集</t>
        </is>
      </c>
      <c r="L302" s="3" t="inlineStr">
        <is>
          <t>kojacek</t>
        </is>
      </c>
      <c r="M302" s="3" t="inlineStr">
        <is>
          <t>kojacek.wordpress.com</t>
        </is>
      </c>
      <c r="N302" s="6" t="inlineStr">
        <is>
          <t>開く</t>
        </is>
      </c>
    </row>
    <row r="303">
      <c r="A303" s="2">
        <f>RANK(J303,$J$2:$J$489)</f>
        <v/>
      </c>
      <c r="B303" s="3" t="inlineStr">
        <is>
          <t>線・ポリライン編集</t>
        </is>
      </c>
      <c r="C303" s="3" t="inlineStr">
        <is>
          <t>-</t>
        </is>
      </c>
      <c r="D303" s="4" t="inlineStr">
        <is>
          <t>Edycja multilinii (mledit)</t>
        </is>
      </c>
      <c r="E303" s="4" t="inlineStr">
        <is>
          <t>マルチラインを編集（頂点・分割等）</t>
        </is>
      </c>
      <c r="F303" s="2" t="n">
        <v>13</v>
      </c>
      <c r="G303" s="2" t="n">
        <v>10</v>
      </c>
      <c r="H303" s="2" t="n">
        <v>8</v>
      </c>
      <c r="I303" s="2" t="n">
        <v>8</v>
      </c>
      <c r="J303" s="5">
        <f>SUM(F303:I303)</f>
        <v/>
      </c>
      <c r="K303" s="4" t="inlineStr">
        <is>
          <t>マルチライン編集</t>
        </is>
      </c>
      <c r="L303" s="3" t="inlineStr">
        <is>
          <t>kojacek</t>
        </is>
      </c>
      <c r="M303" s="3" t="inlineStr">
        <is>
          <t>kojacek.wordpress.com</t>
        </is>
      </c>
      <c r="N303" s="6" t="inlineStr">
        <is>
          <t>開く</t>
        </is>
      </c>
    </row>
    <row r="304">
      <c r="A304" s="2">
        <f>RANK(J304,$J$2:$J$489)</f>
        <v/>
      </c>
      <c r="B304" s="3" t="inlineStr">
        <is>
          <t>印刷・レイアウト・図枠</t>
        </is>
      </c>
      <c r="C304" s="3" t="inlineStr">
        <is>
          <t>fog</t>
        </is>
      </c>
      <c r="D304" s="4" t="inlineStr">
        <is>
          <t>FOG</t>
        </is>
      </c>
      <c r="E304" s="4" t="inlineStr">
        <is>
          <t>一覧からレイアウトタブへ素早く移動</t>
        </is>
      </c>
      <c r="F304" s="2" t="n">
        <v>8</v>
      </c>
      <c r="G304" s="2" t="n">
        <v>7</v>
      </c>
      <c r="H304" s="2" t="n">
        <v>10</v>
      </c>
      <c r="I304" s="2" t="n">
        <v>14</v>
      </c>
      <c r="J304" s="5">
        <f>SUM(F304:I304)</f>
        <v/>
      </c>
      <c r="K304" s="4" t="inlineStr">
        <is>
          <t>レイアウト移動を簡便化</t>
        </is>
      </c>
      <c r="L304" s="3" t="inlineStr">
        <is>
          <t>Patrick_35</t>
        </is>
      </c>
      <c r="M304" s="3" t="inlineStr">
        <is>
          <t>CADxp (Patrick_35)</t>
        </is>
      </c>
      <c r="N304" s="6" t="inlineStr">
        <is>
          <t>開く</t>
        </is>
      </c>
    </row>
    <row r="305">
      <c r="A305" s="2">
        <f>RANK(J305,$J$2:$J$489)</f>
        <v/>
      </c>
      <c r="B305" s="3" t="inlineStr">
        <is>
          <t>印刷・レイアウト・図枠</t>
        </is>
      </c>
      <c r="C305" s="3" t="inlineStr">
        <is>
          <t>fumetto</t>
        </is>
      </c>
      <c r="D305" s="4" t="inlineStr">
        <is>
          <t>Fumetto di revisione</t>
        </is>
      </c>
      <c r="E305" s="4" t="inlineStr">
        <is>
          <t>改訂内容のメモ付き雲マークを作成</t>
        </is>
      </c>
      <c r="F305" s="2" t="n">
        <v>10</v>
      </c>
      <c r="G305" s="2" t="n">
        <v>10</v>
      </c>
      <c r="H305" s="2" t="n">
        <v>7</v>
      </c>
      <c r="I305" s="2" t="n">
        <v>12</v>
      </c>
      <c r="J305" s="5">
        <f>SUM(F305:I305)</f>
        <v/>
      </c>
      <c r="K305" s="4" t="inlineStr">
        <is>
          <t>メモ付き改訂雲</t>
        </is>
      </c>
      <c r="L305" s="3" t="inlineStr">
        <is>
          <t>EmiCAD</t>
        </is>
      </c>
      <c r="M305" s="3" t="inlineStr">
        <is>
          <t>EmiLISP Free (emicad.it)</t>
        </is>
      </c>
      <c r="N305" s="6" t="inlineStr">
        <is>
          <t>開く</t>
        </is>
      </c>
    </row>
    <row r="306">
      <c r="A306" s="2">
        <f>RANK(J306,$J$2:$J$489)</f>
        <v/>
      </c>
      <c r="B306" s="3" t="inlineStr">
        <is>
          <t>LISP開発用の部品</t>
        </is>
      </c>
      <c r="C306" s="3" t="inlineStr">
        <is>
          <t>-</t>
        </is>
      </c>
      <c r="D306" s="4" t="inlineStr">
        <is>
          <t>gc_MathGeom</t>
        </is>
      </c>
      <c r="E306" s="4" t="inlineStr">
        <is>
          <t>数値・点・ベクトル・行列の関数ライブラリ</t>
        </is>
      </c>
      <c r="F306" s="2" t="n">
        <v>12</v>
      </c>
      <c r="G306" s="2" t="n">
        <v>8</v>
      </c>
      <c r="H306" s="2" t="n">
        <v>4</v>
      </c>
      <c r="I306" s="2" t="n">
        <v>15</v>
      </c>
      <c r="J306" s="5">
        <f>SUM(F306:I306)</f>
        <v/>
      </c>
      <c r="K306" s="4" t="inlineStr">
        <is>
          <t>数学関数ライブラリ</t>
        </is>
      </c>
      <c r="L306" s="3" t="inlineStr">
        <is>
          <t>(gile)</t>
        </is>
      </c>
      <c r="M306" s="3" t="inlineStr">
        <is>
          <t>gileCAD</t>
        </is>
      </c>
      <c r="N306" s="6" t="inlineStr">
        <is>
          <t>開く</t>
        </is>
      </c>
    </row>
    <row r="307">
      <c r="A307" s="2">
        <f>RANK(J307,$J$2:$J$489)</f>
        <v/>
      </c>
      <c r="B307" s="3" t="inlineStr">
        <is>
          <t>外部参照・図面管理・一括処理</t>
        </is>
      </c>
      <c r="C307" s="3" t="inlineStr">
        <is>
          <t>-</t>
        </is>
      </c>
      <c r="D307" s="4" t="inlineStr">
        <is>
          <t>KillProxy</t>
        </is>
      </c>
      <c r="E307" s="4" t="inlineStr">
        <is>
          <t>ブロック内含めプロキシオブジェクトを削除</t>
        </is>
      </c>
      <c r="F307" s="2" t="n">
        <v>12</v>
      </c>
      <c r="G307" s="2" t="n">
        <v>7</v>
      </c>
      <c r="H307" s="2" t="n">
        <v>9</v>
      </c>
      <c r="I307" s="2" t="n">
        <v>11</v>
      </c>
      <c r="J307" s="5">
        <f>SUM(F307:I307)</f>
        <v/>
      </c>
      <c r="K307" s="4" t="inlineStr">
        <is>
          <t>プロキシ除去</t>
        </is>
      </c>
      <c r="L307" s="3" t="inlineStr">
        <is>
          <t>CADwiesel</t>
        </is>
      </c>
      <c r="M307" s="3" t="inlineStr">
        <is>
          <t>CADwiesel</t>
        </is>
      </c>
      <c r="N307" s="6" t="inlineStr">
        <is>
          <t>開く</t>
        </is>
      </c>
    </row>
    <row r="308">
      <c r="A308" s="2">
        <f>RANK(J308,$J$2:$J$489)</f>
        <v/>
      </c>
      <c r="B308" s="3" t="inlineStr">
        <is>
          <t>座標・測量・土木</t>
        </is>
      </c>
      <c r="C308" s="3" t="inlineStr">
        <is>
          <t>-</t>
        </is>
      </c>
      <c r="D308" s="4" t="inlineStr">
        <is>
          <t>Koor</t>
        </is>
      </c>
      <c r="E308" s="4" t="inlineStr">
        <is>
          <t>点・ブロックに座標表示ブロックを付与</t>
        </is>
      </c>
      <c r="F308" s="2" t="n">
        <v>11</v>
      </c>
      <c r="G308" s="2" t="n">
        <v>8</v>
      </c>
      <c r="H308" s="2" t="n">
        <v>11</v>
      </c>
      <c r="I308" s="2" t="n">
        <v>9</v>
      </c>
      <c r="J308" s="5">
        <f>SUM(F308:I308)</f>
        <v/>
      </c>
      <c r="K308" s="4" t="inlineStr">
        <is>
          <t>座標表示ブロック付与</t>
        </is>
      </c>
      <c r="L308" s="3" t="inlineStr">
        <is>
          <t>Christoph Spiegel</t>
        </is>
      </c>
      <c r="M308" s="3" t="inlineStr">
        <is>
          <t>CAD-Spiegel</t>
        </is>
      </c>
      <c r="N308" s="6" t="inlineStr">
        <is>
          <t>開く</t>
        </is>
      </c>
    </row>
    <row r="309">
      <c r="A309" s="2">
        <f>RANK(J309,$J$2:$J$489)</f>
        <v/>
      </c>
      <c r="B309" s="3" t="inlineStr">
        <is>
          <t>線・ポリライン編集</t>
        </is>
      </c>
      <c r="C309" s="3" t="inlineStr">
        <is>
          <t>-</t>
        </is>
      </c>
      <c r="D309" s="4" t="inlineStr">
        <is>
          <t>LastStzPurge</t>
        </is>
      </c>
      <c r="E309" s="4" t="inlineStr">
        <is>
          <t>閉じたポリラインの重複終点頂点を削除</t>
        </is>
      </c>
      <c r="F309" s="2" t="n">
        <v>13</v>
      </c>
      <c r="G309" s="2" t="n">
        <v>9</v>
      </c>
      <c r="H309" s="2" t="n">
        <v>7</v>
      </c>
      <c r="I309" s="2" t="n">
        <v>10</v>
      </c>
      <c r="J309" s="5">
        <f>SUM(F309:I309)</f>
        <v/>
      </c>
      <c r="K309" s="4" t="inlineStr">
        <is>
          <t>閉ポリ重複終点除去</t>
        </is>
      </c>
      <c r="L309" s="3" t="inlineStr">
        <is>
          <t>Jörn Bosse</t>
        </is>
      </c>
      <c r="M309" s="3" t="inlineStr">
        <is>
          <t>Bosse Engineering</t>
        </is>
      </c>
      <c r="N309" s="6" t="inlineStr">
        <is>
          <t>開く</t>
        </is>
      </c>
    </row>
    <row r="310">
      <c r="A310" s="2">
        <f>RANK(J310,$J$2:$J$489)</f>
        <v/>
      </c>
      <c r="B310" s="3" t="inlineStr">
        <is>
          <t>線・ポリライン編集</t>
        </is>
      </c>
      <c r="C310" s="3" t="inlineStr">
        <is>
          <t>-</t>
        </is>
      </c>
      <c r="D310" s="4" t="inlineStr">
        <is>
          <t>MLINE → LWPOLYLINE</t>
        </is>
      </c>
      <c r="E310" s="4" t="inlineStr">
        <is>
          <t>マルチラインを通常ポリラインへ変換</t>
        </is>
      </c>
      <c r="F310" s="2" t="n">
        <v>12</v>
      </c>
      <c r="G310" s="2" t="n">
        <v>8</v>
      </c>
      <c r="H310" s="2" t="n">
        <v>9</v>
      </c>
      <c r="I310" s="2" t="n">
        <v>10</v>
      </c>
      <c r="J310" s="5">
        <f>SUM(F310:I310)</f>
        <v/>
      </c>
      <c r="K310" s="4" t="inlineStr">
        <is>
          <t>MLINEをポリ化</t>
        </is>
      </c>
      <c r="L310" s="3" t="inlineStr">
        <is>
          <t>kojacek</t>
        </is>
      </c>
      <c r="M310" s="3" t="inlineStr">
        <is>
          <t>kojacek.wordpress.com</t>
        </is>
      </c>
      <c r="N310" s="6" t="inlineStr">
        <is>
          <t>開く</t>
        </is>
      </c>
    </row>
    <row r="311">
      <c r="A311" s="2">
        <f>RANK(J311,$J$2:$J$489)</f>
        <v/>
      </c>
      <c r="B311" s="3" t="inlineStr">
        <is>
          <t>線・ポリライン編集</t>
        </is>
      </c>
      <c r="C311" s="3" t="inlineStr">
        <is>
          <t>Trimtu</t>
        </is>
      </c>
      <c r="D311" s="4" t="inlineStr">
        <is>
          <t>Multitaglia</t>
        </is>
      </c>
      <c r="E311" s="4" t="inlineStr">
        <is>
          <t>指定図形を横切る全図形をトリム</t>
        </is>
      </c>
      <c r="F311" s="2" t="n">
        <v>9</v>
      </c>
      <c r="G311" s="2" t="n">
        <v>7</v>
      </c>
      <c r="H311" s="2" t="n">
        <v>10</v>
      </c>
      <c r="I311" s="2" t="n">
        <v>13</v>
      </c>
      <c r="J311" s="5">
        <f>SUM(F311:I311)</f>
        <v/>
      </c>
      <c r="K311" s="4" t="inlineStr">
        <is>
          <t>EXTRIMで代替</t>
        </is>
      </c>
      <c r="L311" s="3" t="inlineStr">
        <is>
          <t>EmiCAD</t>
        </is>
      </c>
      <c r="M311" s="3" t="inlineStr">
        <is>
          <t>EmiLISP Free (emicad.it)</t>
        </is>
      </c>
      <c r="N311" s="6" t="inlineStr">
        <is>
          <t>開く</t>
        </is>
      </c>
    </row>
    <row r="312">
      <c r="A312" s="2">
        <f>RANK(J312,$J$2:$J$489)</f>
        <v/>
      </c>
      <c r="B312" s="3" t="inlineStr">
        <is>
          <t>ブロック・属性</t>
        </is>
      </c>
      <c r="C312" s="3" t="inlineStr">
        <is>
          <t>-</t>
        </is>
      </c>
      <c r="D312" s="4" t="inlineStr">
        <is>
          <t>Mystery</t>
        </is>
      </c>
      <c r="E312" s="4" t="inlineStr">
        <is>
          <t>指定画層上のブロックを一覧表示し挿入</t>
        </is>
      </c>
      <c r="F312" s="2" t="n">
        <v>12</v>
      </c>
      <c r="G312" s="2" t="n">
        <v>10</v>
      </c>
      <c r="H312" s="2" t="n">
        <v>7</v>
      </c>
      <c r="I312" s="2" t="n">
        <v>10</v>
      </c>
      <c r="J312" s="5">
        <f>SUM(F312:I312)</f>
        <v/>
      </c>
      <c r="K312" s="4" t="inlineStr">
        <is>
          <t>画層別ブロック一覧</t>
        </is>
      </c>
      <c r="L312" s="3" t="inlineStr">
        <is>
          <t>CADwiesel</t>
        </is>
      </c>
      <c r="M312" s="3" t="inlineStr">
        <is>
          <t>CADwiesel</t>
        </is>
      </c>
      <c r="N312" s="6" t="inlineStr">
        <is>
          <t>開く</t>
        </is>
      </c>
    </row>
    <row r="313">
      <c r="A313" s="2">
        <f>RANK(J313,$J$2:$J$489)</f>
        <v/>
      </c>
      <c r="B313" s="3" t="inlineStr">
        <is>
          <t>作図</t>
        </is>
      </c>
      <c r="C313" s="3" t="inlineStr">
        <is>
          <t>poliucs</t>
        </is>
      </c>
      <c r="D313" s="4" t="inlineStr">
        <is>
          <t>Polilinea ortogonale</t>
        </is>
      </c>
      <c r="E313" s="4" t="inlineStr">
        <is>
          <t>回転UCSでも直交するポリラインを作図</t>
        </is>
      </c>
      <c r="F313" s="2" t="n">
        <v>13</v>
      </c>
      <c r="G313" s="2" t="n">
        <v>9</v>
      </c>
      <c r="H313" s="2" t="n">
        <v>7</v>
      </c>
      <c r="I313" s="2" t="n">
        <v>10</v>
      </c>
      <c r="J313" s="5">
        <f>SUM(F313:I313)</f>
        <v/>
      </c>
      <c r="K313" s="4" t="inlineStr">
        <is>
          <t>回転UCS直交ポリ</t>
        </is>
      </c>
      <c r="L313" s="3" t="inlineStr">
        <is>
          <t>EmiCAD</t>
        </is>
      </c>
      <c r="M313" s="3" t="inlineStr">
        <is>
          <t>EmiLISP Free (emicad.it)</t>
        </is>
      </c>
      <c r="N313" s="6" t="inlineStr">
        <is>
          <t>開く</t>
        </is>
      </c>
    </row>
    <row r="314">
      <c r="A314" s="2">
        <f>RANK(J314,$J$2:$J$489)</f>
        <v/>
      </c>
      <c r="B314" s="3" t="inlineStr">
        <is>
          <t>座標・測量・土木</t>
        </is>
      </c>
      <c r="C314" s="3" t="inlineStr">
        <is>
          <t>-</t>
        </is>
      </c>
      <c r="D314" s="4" t="inlineStr">
        <is>
          <t>Prozent</t>
        </is>
      </c>
      <c r="E314" s="4" t="inlineStr">
        <is>
          <t>線の勾配％をダミー文字に記入</t>
        </is>
      </c>
      <c r="F314" s="2" t="n">
        <v>11</v>
      </c>
      <c r="G314" s="2" t="n">
        <v>8</v>
      </c>
      <c r="H314" s="2" t="n">
        <v>10</v>
      </c>
      <c r="I314" s="2" t="n">
        <v>10</v>
      </c>
      <c r="J314" s="5">
        <f>SUM(F314:I314)</f>
        <v/>
      </c>
      <c r="K314" s="4" t="inlineStr">
        <is>
          <t>勾配値を文字へ</t>
        </is>
      </c>
      <c r="L314" s="3" t="inlineStr">
        <is>
          <t>CADwiesel</t>
        </is>
      </c>
      <c r="M314" s="3" t="inlineStr">
        <is>
          <t>CADwiesel</t>
        </is>
      </c>
      <c r="N314" s="6" t="inlineStr">
        <is>
          <t>開く</t>
        </is>
      </c>
    </row>
    <row r="315">
      <c r="A315" s="2">
        <f>RANK(J315,$J$2:$J$489)</f>
        <v/>
      </c>
      <c r="B315" s="3" t="inlineStr">
        <is>
          <t>線・ポリライン編集</t>
        </is>
      </c>
      <c r="C315" s="3" t="inlineStr">
        <is>
          <t>ra</t>
        </is>
      </c>
      <c r="D315" s="4" t="inlineStr">
        <is>
          <t>RA</t>
        </is>
      </c>
      <c r="E315" s="4" t="inlineStr">
        <is>
          <t>結合せずにフィレット</t>
        </is>
      </c>
      <c r="F315" s="2" t="n">
        <v>10</v>
      </c>
      <c r="G315" s="2" t="n">
        <v>9</v>
      </c>
      <c r="H315" s="2" t="n">
        <v>8</v>
      </c>
      <c r="I315" s="2" t="n">
        <v>12</v>
      </c>
      <c r="J315" s="5">
        <f>SUM(F315:I315)</f>
        <v/>
      </c>
      <c r="K315" s="4" t="inlineStr">
        <is>
          <t>結合しない隅処理</t>
        </is>
      </c>
      <c r="L315" s="3" t="inlineStr">
        <is>
          <t>Patrick_35</t>
        </is>
      </c>
      <c r="M315" s="3" t="inlineStr">
        <is>
          <t>CADxp (Patrick_35)</t>
        </is>
      </c>
      <c r="N315" s="6" t="inlineStr">
        <is>
          <t>開く</t>
        </is>
      </c>
    </row>
    <row r="316">
      <c r="A316" s="2">
        <f>RANK(J316,$J$2:$J$489)</f>
        <v/>
      </c>
      <c r="B316" s="3" t="inlineStr">
        <is>
          <t>線・ポリライン編集</t>
        </is>
      </c>
      <c r="C316" s="3" t="inlineStr">
        <is>
          <t>-</t>
        </is>
      </c>
      <c r="D316" s="4" t="inlineStr">
        <is>
          <t>Rozbijanie polilinii (plinex)</t>
        </is>
      </c>
      <c r="E316" s="4" t="inlineStr">
        <is>
          <t>幅付きポリラインを形状を保って分解</t>
        </is>
      </c>
      <c r="F316" s="2" t="n">
        <v>13</v>
      </c>
      <c r="G316" s="2" t="n">
        <v>9</v>
      </c>
      <c r="H316" s="2" t="n">
        <v>7</v>
      </c>
      <c r="I316" s="2" t="n">
        <v>10</v>
      </c>
      <c r="J316" s="5">
        <f>SUM(F316:I316)</f>
        <v/>
      </c>
      <c r="K316" s="4" t="inlineStr">
        <is>
          <t>幅保持で分解</t>
        </is>
      </c>
      <c r="L316" s="3" t="inlineStr">
        <is>
          <t>kojacek</t>
        </is>
      </c>
      <c r="M316" s="3" t="inlineStr">
        <is>
          <t>kojacek.wordpress.com</t>
        </is>
      </c>
      <c r="N316" s="6" t="inlineStr">
        <is>
          <t>開く</t>
        </is>
      </c>
    </row>
    <row r="317">
      <c r="A317" s="2">
        <f>RANK(J317,$J$2:$J$489)</f>
        <v/>
      </c>
      <c r="B317" s="3" t="inlineStr">
        <is>
          <t>ブロック・属性</t>
        </is>
      </c>
      <c r="C317" s="3" t="inlineStr">
        <is>
          <t>Scablo</t>
        </is>
      </c>
      <c r="D317" s="4" t="inlineStr">
        <is>
          <t>SCABLO</t>
        </is>
      </c>
      <c r="E317" s="4" t="inlineStr">
        <is>
          <t>ブロックをXYZ別倍率で尺度変更</t>
        </is>
      </c>
      <c r="F317" s="2" t="n">
        <v>12</v>
      </c>
      <c r="G317" s="2" t="n">
        <v>8</v>
      </c>
      <c r="H317" s="2" t="n">
        <v>8</v>
      </c>
      <c r="I317" s="2" t="n">
        <v>11</v>
      </c>
      <c r="J317" s="5">
        <f>SUM(F317:I317)</f>
        <v/>
      </c>
      <c r="K317" s="4" t="inlineStr">
        <is>
          <t>XYZ別尺度</t>
        </is>
      </c>
      <c r="L317" s="3" t="inlineStr">
        <is>
          <t>EmiCAD</t>
        </is>
      </c>
      <c r="M317" s="3" t="inlineStr">
        <is>
          <t>EmiLISP Free (emicad.it)</t>
        </is>
      </c>
      <c r="N317" s="6" t="inlineStr">
        <is>
          <t>開く</t>
        </is>
      </c>
    </row>
    <row r="318">
      <c r="A318" s="2">
        <f>RANK(J318,$J$2:$J$489)</f>
        <v/>
      </c>
      <c r="B318" s="3" t="inlineStr">
        <is>
          <t>ブロック・属性</t>
        </is>
      </c>
      <c r="C318" s="3" t="inlineStr">
        <is>
          <t>-</t>
        </is>
      </c>
      <c r="D318" s="4" t="inlineStr">
        <is>
          <t>Utilidades Bloques</t>
        </is>
      </c>
      <c r="E318" s="4" t="inlineStr">
        <is>
          <t>ブロック座標・単位のインポート/エクスポート（有料）</t>
        </is>
      </c>
      <c r="F318" s="2" t="n">
        <v>13</v>
      </c>
      <c r="G318" s="2" t="n">
        <v>9</v>
      </c>
      <c r="H318" s="2" t="n">
        <v>8</v>
      </c>
      <c r="I318" s="2" t="n">
        <v>9</v>
      </c>
      <c r="J318" s="5">
        <f>SUM(F318:I318)</f>
        <v/>
      </c>
      <c r="K318" s="4" t="inlineStr">
        <is>
          <t>ブロック座標入出力（有料）</t>
        </is>
      </c>
      <c r="L318" s="3" t="inlineStr">
        <is>
          <t>Andrés S. del Toro</t>
        </is>
      </c>
      <c r="M318" s="3" t="inlineStr">
        <is>
          <t>andresdeltoro.es</t>
        </is>
      </c>
      <c r="N318" s="6" t="inlineStr">
        <is>
          <t>開く</t>
        </is>
      </c>
    </row>
    <row r="319">
      <c r="A319" s="2">
        <f>RANK(J319,$J$2:$J$489)</f>
        <v/>
      </c>
      <c r="B319" s="3" t="inlineStr">
        <is>
          <t>表示・UCS・ビュー</t>
        </is>
      </c>
      <c r="C319" s="3" t="inlineStr">
        <is>
          <t>-</t>
        </is>
      </c>
      <c r="D319" s="4" t="inlineStr">
        <is>
          <t>View-Make</t>
        </is>
      </c>
      <c r="E319" s="4" t="inlineStr">
        <is>
          <t>連番の名前付きビューを作成</t>
        </is>
      </c>
      <c r="F319" s="2" t="n">
        <v>11</v>
      </c>
      <c r="G319" s="2" t="n">
        <v>9</v>
      </c>
      <c r="H319" s="2" t="n">
        <v>8</v>
      </c>
      <c r="I319" s="2" t="n">
        <v>11</v>
      </c>
      <c r="J319" s="5">
        <f>SUM(F319:I319)</f>
        <v/>
      </c>
      <c r="K319" s="4" t="inlineStr">
        <is>
          <t>連番ビュー作成</t>
        </is>
      </c>
      <c r="L319" s="3" t="inlineStr">
        <is>
          <t>CADwiesel</t>
        </is>
      </c>
      <c r="M319" s="3" t="inlineStr">
        <is>
          <t>CADwiesel</t>
        </is>
      </c>
      <c r="N319" s="6" t="inlineStr">
        <is>
          <t>開く</t>
        </is>
      </c>
    </row>
    <row r="320">
      <c r="A320" s="2">
        <f>RANK(J320,$J$2:$J$489)</f>
        <v/>
      </c>
      <c r="B320" s="3" t="inlineStr">
        <is>
          <t>寸法</t>
        </is>
      </c>
      <c r="C320" s="3" t="inlineStr">
        <is>
          <t>-</t>
        </is>
      </c>
      <c r="D320" s="4" t="inlineStr">
        <is>
          <t>Wymiar indeks górny</t>
        </is>
      </c>
      <c r="E320" s="4" t="inlineStr">
        <is>
          <t>寸法値に上付き文字を付加</t>
        </is>
      </c>
      <c r="F320" s="2" t="n">
        <v>13</v>
      </c>
      <c r="G320" s="2" t="n">
        <v>10</v>
      </c>
      <c r="H320" s="2" t="n">
        <v>7</v>
      </c>
      <c r="I320" s="2" t="n">
        <v>9</v>
      </c>
      <c r="J320" s="5">
        <f>SUM(F320:I320)</f>
        <v/>
      </c>
      <c r="K320" s="4" t="inlineStr">
        <is>
          <t>寸法に上付き文字</t>
        </is>
      </c>
      <c r="L320" s="3" t="inlineStr">
        <is>
          <t>kojacek</t>
        </is>
      </c>
      <c r="M320" s="3" t="inlineStr">
        <is>
          <t>kojacek.wordpress.com</t>
        </is>
      </c>
      <c r="N320" s="6" t="inlineStr">
        <is>
          <t>開く</t>
        </is>
      </c>
    </row>
    <row r="321">
      <c r="A321" s="2">
        <f>RANK(J321,$J$2:$J$489)</f>
        <v/>
      </c>
      <c r="B321" s="3" t="inlineStr">
        <is>
          <t>選択・絞り込み</t>
        </is>
      </c>
      <c r="C321" s="3" t="inlineStr">
        <is>
          <t>SSS</t>
        </is>
      </c>
      <c r="D321" s="4" t="inlineStr">
        <is>
          <t>Zbiór wskazań - statystyka</t>
        </is>
      </c>
      <c r="E321" s="4" t="inlineStr">
        <is>
          <t>選択セットの図形種類と数を表示</t>
        </is>
      </c>
      <c r="F321" s="2" t="n">
        <v>11</v>
      </c>
      <c r="G321" s="2" t="n">
        <v>8</v>
      </c>
      <c r="H321" s="2" t="n">
        <v>7</v>
      </c>
      <c r="I321" s="2" t="n">
        <v>13</v>
      </c>
      <c r="J321" s="5">
        <f>SUM(F321:I321)</f>
        <v/>
      </c>
      <c r="K321" s="4" t="inlineStr">
        <is>
          <t>選択内容の統計表示</t>
        </is>
      </c>
      <c r="L321" s="3" t="inlineStr">
        <is>
          <t>kojacek</t>
        </is>
      </c>
      <c r="M321" s="3" t="inlineStr">
        <is>
          <t>kojacek.wordpress.com</t>
        </is>
      </c>
      <c r="N321" s="6" t="inlineStr">
        <is>
          <t>開く</t>
        </is>
      </c>
    </row>
    <row r="322">
      <c r="A322" s="2">
        <f>RANK(J322,$J$2:$J$489)</f>
        <v/>
      </c>
      <c r="B322" s="3" t="inlineStr">
        <is>
          <t>建築</t>
        </is>
      </c>
      <c r="C322" s="3" t="inlineStr">
        <is>
          <t>-</t>
        </is>
      </c>
      <c r="D322" s="4" t="inlineStr">
        <is>
          <t>BaumEinfuege</t>
        </is>
      </c>
      <c r="E322" s="4" t="inlineStr">
        <is>
          <t>幹径・樹冠径指定で樹木ブロックを配置</t>
        </is>
      </c>
      <c r="F322" s="2" t="n">
        <v>12</v>
      </c>
      <c r="G322" s="2" t="n">
        <v>9</v>
      </c>
      <c r="H322" s="2" t="n">
        <v>10</v>
      </c>
      <c r="I322" s="2" t="n">
        <v>7</v>
      </c>
      <c r="J322" s="5">
        <f>SUM(F322:I322)</f>
        <v/>
      </c>
      <c r="K322" s="4" t="inlineStr">
        <is>
          <t>樹木配置</t>
        </is>
      </c>
      <c r="L322" s="3" t="inlineStr">
        <is>
          <t>Jörn Bosse</t>
        </is>
      </c>
      <c r="M322" s="3" t="inlineStr">
        <is>
          <t>Bosse Engineering</t>
        </is>
      </c>
      <c r="N322" s="6" t="inlineStr">
        <is>
          <t>開く</t>
        </is>
      </c>
    </row>
    <row r="323">
      <c r="A323" s="2">
        <f>RANK(J323,$J$2:$J$489)</f>
        <v/>
      </c>
      <c r="B323" s="3" t="inlineStr">
        <is>
          <t>構造・鉄骨・機械</t>
        </is>
      </c>
      <c r="C323" s="3" t="inlineStr">
        <is>
          <t>tole</t>
        </is>
      </c>
      <c r="D323" s="4" t="inlineStr">
        <is>
          <t>Creer_Tole</t>
        </is>
      </c>
      <c r="E323" s="4" t="inlineStr">
        <is>
          <t>板金（鋼板）形状を作図</t>
        </is>
      </c>
      <c r="F323" s="2" t="n">
        <v>13</v>
      </c>
      <c r="G323" s="2" t="n">
        <v>9</v>
      </c>
      <c r="H323" s="2" t="n">
        <v>9</v>
      </c>
      <c r="I323" s="2" t="n">
        <v>7</v>
      </c>
      <c r="J323" s="5">
        <f>SUM(F323:I323)</f>
        <v/>
      </c>
      <c r="K323" s="4" t="inlineStr">
        <is>
          <t>板金形状作図</t>
        </is>
      </c>
      <c r="L323" s="3" t="inlineStr">
        <is>
          <t>chenhaibin (Pascal, gile ほか)</t>
        </is>
      </c>
      <c r="M323" s="3" t="inlineStr">
        <is>
          <t>GitHub: chenhaibin/Utilitaires_AutoLisp</t>
        </is>
      </c>
      <c r="N323" s="6" t="inlineStr">
        <is>
          <t>開く</t>
        </is>
      </c>
    </row>
    <row r="324">
      <c r="A324" s="2">
        <f>RANK(J324,$J$2:$J$489)</f>
        <v/>
      </c>
      <c r="B324" s="3" t="inlineStr">
        <is>
          <t>印刷・レイアウト・図枠</t>
        </is>
      </c>
      <c r="C324" s="3" t="inlineStr">
        <is>
          <t>-</t>
        </is>
      </c>
      <c r="D324" s="4" t="inlineStr">
        <is>
          <t>DelAllLayouts</t>
        </is>
      </c>
      <c r="E324" s="4" t="inlineStr">
        <is>
          <t>指定以外の全レイアウトを削除</t>
        </is>
      </c>
      <c r="F324" s="2" t="n">
        <v>11</v>
      </c>
      <c r="G324" s="2" t="n">
        <v>6</v>
      </c>
      <c r="H324" s="2" t="n">
        <v>9</v>
      </c>
      <c r="I324" s="2" t="n">
        <v>12</v>
      </c>
      <c r="J324" s="5">
        <f>SUM(F324:I324)</f>
        <v/>
      </c>
      <c r="K324" s="4" t="inlineStr">
        <is>
          <t>レイアウト一括削除</t>
        </is>
      </c>
      <c r="L324" s="3" t="inlineStr">
        <is>
          <t>CADwiesel</t>
        </is>
      </c>
      <c r="M324" s="3" t="inlineStr">
        <is>
          <t>CADwiesel</t>
        </is>
      </c>
      <c r="N324" s="6" t="inlineStr">
        <is>
          <t>開く</t>
        </is>
      </c>
    </row>
    <row r="325">
      <c r="A325" s="2">
        <f>RANK(J325,$J$2:$J$489)</f>
        <v/>
      </c>
      <c r="B325" s="3" t="inlineStr">
        <is>
          <t>寸法</t>
        </is>
      </c>
      <c r="C325" s="3" t="inlineStr">
        <is>
          <t>DIMRST</t>
        </is>
      </c>
      <c r="D325" s="4" t="inlineStr">
        <is>
          <t>DimReset</t>
        </is>
      </c>
      <c r="E325" s="4" t="inlineStr">
        <is>
          <t>上書きされた寸法値を実測値に戻す</t>
        </is>
      </c>
      <c r="F325" s="2" t="n">
        <v>8</v>
      </c>
      <c r="G325" s="2" t="n">
        <v>6</v>
      </c>
      <c r="H325" s="2" t="n">
        <v>10</v>
      </c>
      <c r="I325" s="2" t="n">
        <v>14</v>
      </c>
      <c r="J325" s="5">
        <f>SUM(F325:I325)</f>
        <v/>
      </c>
      <c r="K325" s="4" t="inlineStr">
        <is>
          <t>寸法値上書きリセット</t>
        </is>
      </c>
      <c r="L325" s="3" t="inlineStr"/>
      <c r="M325" s="3" t="inlineStr">
        <is>
          <t>CADthèque</t>
        </is>
      </c>
      <c r="N325" s="6" t="inlineStr">
        <is>
          <t>開く</t>
        </is>
      </c>
    </row>
    <row r="326">
      <c r="A326" s="2">
        <f>RANK(J326,$J$2:$J$489)</f>
        <v/>
      </c>
      <c r="B326" s="3" t="inlineStr">
        <is>
          <t>建築</t>
        </is>
      </c>
      <c r="C326" s="3" t="inlineStr">
        <is>
          <t>diret / diret_setup</t>
        </is>
      </c>
      <c r="D326" s="4" t="inlineStr">
        <is>
          <t>Direttrice</t>
        </is>
      </c>
      <c r="E326" s="4" t="inlineStr">
        <is>
          <t>断面位置を示す切断線記号を作図</t>
        </is>
      </c>
      <c r="F326" s="2" t="n">
        <v>12</v>
      </c>
      <c r="G326" s="2" t="n">
        <v>9</v>
      </c>
      <c r="H326" s="2" t="n">
        <v>9</v>
      </c>
      <c r="I326" s="2" t="n">
        <v>8</v>
      </c>
      <c r="J326" s="5">
        <f>SUM(F326:I326)</f>
        <v/>
      </c>
      <c r="K326" s="4" t="inlineStr">
        <is>
          <t>切断線記号</t>
        </is>
      </c>
      <c r="L326" s="3" t="inlineStr">
        <is>
          <t>EmiCAD</t>
        </is>
      </c>
      <c r="M326" s="3" t="inlineStr">
        <is>
          <t>EmiLISP Free (emicad.it)</t>
        </is>
      </c>
      <c r="N326" s="6" t="inlineStr">
        <is>
          <t>開く</t>
        </is>
      </c>
    </row>
    <row r="327">
      <c r="A327" s="2">
        <f>RANK(J327,$J$2:$J$489)</f>
        <v/>
      </c>
      <c r="B327" s="3" t="inlineStr">
        <is>
          <t>LISP開発用の部品</t>
        </is>
      </c>
      <c r="C327" s="3" t="inlineStr">
        <is>
          <t>-</t>
        </is>
      </c>
      <c r="D327" s="4" t="inlineStr">
        <is>
          <t>DWG_*</t>
        </is>
      </c>
      <c r="E327" s="4" t="inlineStr">
        <is>
          <t>図面カスタムプロパティ・概要情報・レイアウト一覧関数群</t>
        </is>
      </c>
      <c r="F327" s="2" t="n">
        <v>13</v>
      </c>
      <c r="G327" s="2" t="n">
        <v>9</v>
      </c>
      <c r="H327" s="2" t="n">
        <v>4</v>
      </c>
      <c r="I327" s="2" t="n">
        <v>12</v>
      </c>
      <c r="J327" s="5">
        <f>SUM(F327:I327)</f>
        <v/>
      </c>
      <c r="K327" s="4" t="inlineStr">
        <is>
          <t>図面プロパティ関数</t>
        </is>
      </c>
      <c r="L327" s="3" t="inlineStr">
        <is>
          <t>CADPL (kojacek, kruuger et al.)</t>
        </is>
      </c>
      <c r="M327" s="3" t="inlineStr">
        <is>
          <t>GitHub: kruuger/CADPL-Pack-v1</t>
        </is>
      </c>
      <c r="N327" s="6" t="inlineStr">
        <is>
          <t>開く</t>
        </is>
      </c>
    </row>
    <row r="328">
      <c r="A328" s="2">
        <f>RANK(J328,$J$2:$J$489)</f>
        <v/>
      </c>
      <c r="B328" s="3" t="inlineStr">
        <is>
          <t>ブロック・属性</t>
        </is>
      </c>
      <c r="C328" s="3" t="inlineStr">
        <is>
          <t>-</t>
        </is>
      </c>
      <c r="D328" s="4" t="inlineStr">
        <is>
          <t>Dynamiczny → statyczny</t>
        </is>
      </c>
      <c r="E328" s="4" t="inlineStr">
        <is>
          <t>動的ブロックを通常ブロックへ変換</t>
        </is>
      </c>
      <c r="F328" s="2" t="n">
        <v>12</v>
      </c>
      <c r="G328" s="2" t="n">
        <v>8</v>
      </c>
      <c r="H328" s="2" t="n">
        <v>7</v>
      </c>
      <c r="I328" s="2" t="n">
        <v>11</v>
      </c>
      <c r="J328" s="5">
        <f>SUM(F328:I328)</f>
        <v/>
      </c>
      <c r="K328" s="4" t="inlineStr">
        <is>
          <t>動的→静的変換</t>
        </is>
      </c>
      <c r="L328" s="3" t="inlineStr">
        <is>
          <t>kojacek</t>
        </is>
      </c>
      <c r="M328" s="3" t="inlineStr">
        <is>
          <t>kojacek.wordpress.com</t>
        </is>
      </c>
      <c r="N328" s="6" t="inlineStr">
        <is>
          <t>開く</t>
        </is>
      </c>
    </row>
    <row r="329">
      <c r="A329" s="2">
        <f>RANK(J329,$J$2:$J$489)</f>
        <v/>
      </c>
      <c r="B329" s="3" t="inlineStr">
        <is>
          <t>LISP開発用の部品</t>
        </is>
      </c>
      <c r="C329" s="3" t="inlineStr">
        <is>
          <t>-</t>
        </is>
      </c>
      <c r="D329" s="4" t="inlineStr">
        <is>
          <t>gc_AutomationHelpers</t>
        </is>
      </c>
      <c r="E329" s="4" t="inlineStr">
        <is>
          <t>COM(Visual LISP)型操作ヘルパー関数</t>
        </is>
      </c>
      <c r="F329" s="2" t="n">
        <v>12</v>
      </c>
      <c r="G329" s="2" t="n">
        <v>9</v>
      </c>
      <c r="H329" s="2" t="n">
        <v>4</v>
      </c>
      <c r="I329" s="2" t="n">
        <v>13</v>
      </c>
      <c r="J329" s="5">
        <f>SUM(F329:I329)</f>
        <v/>
      </c>
      <c r="K329" s="4" t="inlineStr">
        <is>
          <t>COM操作ヘルパー</t>
        </is>
      </c>
      <c r="L329" s="3" t="inlineStr">
        <is>
          <t>(gile)</t>
        </is>
      </c>
      <c r="M329" s="3" t="inlineStr">
        <is>
          <t>gileCAD</t>
        </is>
      </c>
      <c r="N329" s="6" t="inlineStr">
        <is>
          <t>開く</t>
        </is>
      </c>
    </row>
    <row r="330">
      <c r="A330" s="2">
        <f>RANK(J330,$J$2:$J$489)</f>
        <v/>
      </c>
      <c r="B330" s="3" t="inlineStr">
        <is>
          <t>ハッチ・面積・長さ集計</t>
        </is>
      </c>
      <c r="C330" s="3" t="inlineStr">
        <is>
          <t>-</t>
        </is>
      </c>
      <c r="D330" s="4" t="inlineStr">
        <is>
          <t>Kreskowanie w bloku</t>
        </is>
      </c>
      <c r="E330" s="4" t="inlineStr">
        <is>
          <t>ブロック内のハッチを削除</t>
        </is>
      </c>
      <c r="F330" s="2" t="n">
        <v>13</v>
      </c>
      <c r="G330" s="2" t="n">
        <v>7</v>
      </c>
      <c r="H330" s="2" t="n">
        <v>7</v>
      </c>
      <c r="I330" s="2" t="n">
        <v>11</v>
      </c>
      <c r="J330" s="5">
        <f>SUM(F330:I330)</f>
        <v/>
      </c>
      <c r="K330" s="4" t="inlineStr">
        <is>
          <t>ブロック内ハッチ削除</t>
        </is>
      </c>
      <c r="L330" s="3" t="inlineStr">
        <is>
          <t>kojacek</t>
        </is>
      </c>
      <c r="M330" s="3" t="inlineStr">
        <is>
          <t>kojacek.wordpress.com</t>
        </is>
      </c>
      <c r="N330" s="6" t="inlineStr">
        <is>
          <t>開く</t>
        </is>
      </c>
    </row>
    <row r="331">
      <c r="A331" s="2">
        <f>RANK(J331,$J$2:$J$489)</f>
        <v/>
      </c>
      <c r="B331" s="3" t="inlineStr">
        <is>
          <t>画層</t>
        </is>
      </c>
      <c r="C331" s="3" t="inlineStr">
        <is>
          <t>-</t>
        </is>
      </c>
      <c r="D331" s="4" t="inlineStr">
        <is>
          <t>Layerstates / Dellayerfilter</t>
        </is>
      </c>
      <c r="E331" s="4" t="inlineStr">
        <is>
          <t>画層状態・画層フィルタを一括削除</t>
        </is>
      </c>
      <c r="F331" s="2" t="n">
        <v>12</v>
      </c>
      <c r="G331" s="2" t="n">
        <v>7</v>
      </c>
      <c r="H331" s="2" t="n">
        <v>8</v>
      </c>
      <c r="I331" s="2" t="n">
        <v>11</v>
      </c>
      <c r="J331" s="5">
        <f>SUM(F331:I331)</f>
        <v/>
      </c>
      <c r="K331" s="4" t="inlineStr">
        <is>
          <t>画層状態/フィルタ一括削除</t>
        </is>
      </c>
      <c r="L331" s="3" t="inlineStr">
        <is>
          <t>CADwiesel</t>
        </is>
      </c>
      <c r="M331" s="3" t="inlineStr">
        <is>
          <t>CADwiesel</t>
        </is>
      </c>
      <c r="N331" s="6" t="inlineStr">
        <is>
          <t>開く</t>
        </is>
      </c>
    </row>
    <row r="332">
      <c r="A332" s="2">
        <f>RANK(J332,$J$2:$J$489)</f>
        <v/>
      </c>
      <c r="B332" s="3" t="inlineStr">
        <is>
          <t>引出線・注記</t>
        </is>
      </c>
      <c r="C332" s="3" t="inlineStr">
        <is>
          <t>-</t>
        </is>
      </c>
      <c r="D332" s="4" t="inlineStr">
        <is>
          <t>Linie z grotem</t>
        </is>
      </c>
      <c r="E332" s="4" t="inlineStr">
        <is>
          <t>矢印付き線を連続作図</t>
        </is>
      </c>
      <c r="F332" s="2" t="n">
        <v>10</v>
      </c>
      <c r="G332" s="2" t="n">
        <v>9</v>
      </c>
      <c r="H332" s="2" t="n">
        <v>8</v>
      </c>
      <c r="I332" s="2" t="n">
        <v>11</v>
      </c>
      <c r="J332" s="5">
        <f>SUM(F332:I332)</f>
        <v/>
      </c>
      <c r="K332" s="4" t="inlineStr">
        <is>
          <t>矢印線連続作図</t>
        </is>
      </c>
      <c r="L332" s="3" t="inlineStr">
        <is>
          <t>kojacek</t>
        </is>
      </c>
      <c r="M332" s="3" t="inlineStr">
        <is>
          <t>kojacek.wordpress.com</t>
        </is>
      </c>
      <c r="N332" s="6" t="inlineStr">
        <is>
          <t>開く</t>
        </is>
      </c>
    </row>
    <row r="333">
      <c r="A333" s="2">
        <f>RANK(J333,$J$2:$J$489)</f>
        <v/>
      </c>
      <c r="B333" s="3" t="inlineStr">
        <is>
          <t>設定・環境</t>
        </is>
      </c>
      <c r="C333" s="3" t="inlineStr">
        <is>
          <t>-</t>
        </is>
      </c>
      <c r="D333" s="4" t="inlineStr">
        <is>
          <t>Profileloader</t>
        </is>
      </c>
      <c r="E333" s="4" t="inlineStr">
        <is>
          <t>ユーザープロファイルを読込んで現在に設定</t>
        </is>
      </c>
      <c r="F333" s="2" t="n">
        <v>12</v>
      </c>
      <c r="G333" s="2" t="n">
        <v>8</v>
      </c>
      <c r="H333" s="2" t="n">
        <v>8</v>
      </c>
      <c r="I333" s="2" t="n">
        <v>10</v>
      </c>
      <c r="J333" s="5">
        <f>SUM(F333:I333)</f>
        <v/>
      </c>
      <c r="K333" s="4" t="inlineStr">
        <is>
          <t>プロファイル切替</t>
        </is>
      </c>
      <c r="L333" s="3" t="inlineStr">
        <is>
          <t>CADwiesel</t>
        </is>
      </c>
      <c r="M333" s="3" t="inlineStr">
        <is>
          <t>CADwiesel</t>
        </is>
      </c>
      <c r="N333" s="6" t="inlineStr">
        <is>
          <t>開く</t>
        </is>
      </c>
    </row>
    <row r="334">
      <c r="A334" s="2">
        <f>RANK(J334,$J$2:$J$489)</f>
        <v/>
      </c>
      <c r="B334" s="3" t="inlineStr">
        <is>
          <t>選択・絞り込み</t>
        </is>
      </c>
      <c r="C334" s="3" t="inlineStr">
        <is>
          <t>ssf</t>
        </is>
      </c>
      <c r="D334" s="4" t="inlineStr">
        <is>
          <t>Ssfilter</t>
        </is>
      </c>
      <c r="E334" s="4" t="inlineStr">
        <is>
          <t>ダイアログで選んだ同一プロパティの図形を選択</t>
        </is>
      </c>
      <c r="F334" s="2" t="n">
        <v>7</v>
      </c>
      <c r="G334" s="2" t="n">
        <v>7</v>
      </c>
      <c r="H334" s="2" t="n">
        <v>9</v>
      </c>
      <c r="I334" s="2" t="n">
        <v>15</v>
      </c>
      <c r="J334" s="5">
        <f>SUM(F334:I334)</f>
        <v/>
      </c>
      <c r="K334" s="4" t="inlineStr">
        <is>
          <t>SELECTSIMILARで代替</t>
        </is>
      </c>
      <c r="L334" s="3" t="inlineStr">
        <is>
          <t>(gile)</t>
        </is>
      </c>
      <c r="M334" s="3" t="inlineStr">
        <is>
          <t>gileCAD</t>
        </is>
      </c>
      <c r="N334" s="6" t="inlineStr">
        <is>
          <t>開く</t>
        </is>
      </c>
    </row>
    <row r="335">
      <c r="A335" s="2">
        <f>RANK(J335,$J$2:$J$489)</f>
        <v/>
      </c>
      <c r="B335" s="3" t="inlineStr">
        <is>
          <t>座標・測量・土木</t>
        </is>
      </c>
      <c r="C335" s="3" t="inlineStr">
        <is>
          <t>-</t>
        </is>
      </c>
      <c r="D335" s="4" t="inlineStr">
        <is>
          <t>Tabla de puntos para expropiaciones</t>
        </is>
      </c>
      <c r="E335" s="4" t="inlineStr">
        <is>
          <t>収用用地の点座標表を作成（有料）</t>
        </is>
      </c>
      <c r="F335" s="2" t="n">
        <v>14</v>
      </c>
      <c r="G335" s="2" t="n">
        <v>9</v>
      </c>
      <c r="H335" s="2" t="n">
        <v>11</v>
      </c>
      <c r="I335" s="2" t="n">
        <v>4</v>
      </c>
      <c r="J335" s="5">
        <f>SUM(F335:I335)</f>
        <v/>
      </c>
      <c r="K335" s="4" t="inlineStr">
        <is>
          <t>収用座標表（有料）</t>
        </is>
      </c>
      <c r="L335" s="3" t="inlineStr">
        <is>
          <t>Andrés S. del Toro</t>
        </is>
      </c>
      <c r="M335" s="3" t="inlineStr">
        <is>
          <t>andresdeltoro.es</t>
        </is>
      </c>
      <c r="N335" s="6" t="inlineStr">
        <is>
          <t>開く</t>
        </is>
      </c>
    </row>
    <row r="336">
      <c r="A336" s="2">
        <f>RANK(J336,$J$2:$J$489)</f>
        <v/>
      </c>
      <c r="B336" s="3" t="inlineStr">
        <is>
          <t>文字・テキスト</t>
        </is>
      </c>
      <c r="C336" s="3" t="inlineStr">
        <is>
          <t>texcir</t>
        </is>
      </c>
      <c r="D336" s="4" t="inlineStr">
        <is>
          <t>Texto circular</t>
        </is>
      </c>
      <c r="E336" s="4" t="inlineStr">
        <is>
          <t>文字を円弧状に配置</t>
        </is>
      </c>
      <c r="F336" s="2" t="n">
        <v>12</v>
      </c>
      <c r="G336" s="2" t="n">
        <v>9</v>
      </c>
      <c r="H336" s="2" t="n">
        <v>6</v>
      </c>
      <c r="I336" s="2" t="n">
        <v>11</v>
      </c>
      <c r="J336" s="5">
        <f>SUM(F336:I336)</f>
        <v/>
      </c>
      <c r="K336" s="4" t="inlineStr">
        <is>
          <t>円弧状文字</t>
        </is>
      </c>
      <c r="L336" s="3" t="inlineStr">
        <is>
          <t>J.A.M.G.P.A.</t>
        </is>
      </c>
      <c r="M336" s="3" t="inlineStr">
        <is>
          <t>jamgpa.com</t>
        </is>
      </c>
      <c r="N336" s="6" t="inlineStr">
        <is>
          <t>開く</t>
        </is>
      </c>
    </row>
    <row r="337">
      <c r="A337" s="2">
        <f>RANK(J337,$J$2:$J$489)</f>
        <v/>
      </c>
      <c r="B337" s="3" t="inlineStr">
        <is>
          <t>寸法</t>
        </is>
      </c>
      <c r="C337" s="3" t="inlineStr">
        <is>
          <t>-</t>
        </is>
      </c>
      <c r="D337" s="4" t="inlineStr">
        <is>
          <t>Wymiary zablokowane</t>
        </is>
      </c>
      <c r="E337" s="4" t="inlineStr">
        <is>
          <t>寸法の見た目の上書きを固定/解除</t>
        </is>
      </c>
      <c r="F337" s="2" t="n">
        <v>13</v>
      </c>
      <c r="G337" s="2" t="n">
        <v>10</v>
      </c>
      <c r="H337" s="2" t="n">
        <v>6</v>
      </c>
      <c r="I337" s="2" t="n">
        <v>9</v>
      </c>
      <c r="J337" s="5">
        <f>SUM(F337:I337)</f>
        <v/>
      </c>
      <c r="K337" s="4" t="inlineStr">
        <is>
          <t>寸法上書き固定</t>
        </is>
      </c>
      <c r="L337" s="3" t="inlineStr">
        <is>
          <t>kojacek</t>
        </is>
      </c>
      <c r="M337" s="3" t="inlineStr">
        <is>
          <t>kojacek.wordpress.com</t>
        </is>
      </c>
      <c r="N337" s="6" t="inlineStr">
        <is>
          <t>開く</t>
        </is>
      </c>
    </row>
    <row r="338">
      <c r="A338" s="2">
        <f>RANK(J338,$J$2:$J$489)</f>
        <v/>
      </c>
      <c r="B338" s="3" t="inlineStr">
        <is>
          <t>座標・測量・土木</t>
        </is>
      </c>
      <c r="C338" s="3" t="inlineStr">
        <is>
          <t>-</t>
        </is>
      </c>
      <c r="D338" s="4" t="inlineStr">
        <is>
          <t>Z-Höhe beschriften</t>
        </is>
      </c>
      <c r="E338" s="4" t="inlineStr">
        <is>
          <t>図形のZ高さを文字で記入</t>
        </is>
      </c>
      <c r="F338" s="2" t="n">
        <v>11</v>
      </c>
      <c r="G338" s="2" t="n">
        <v>8</v>
      </c>
      <c r="H338" s="2" t="n">
        <v>10</v>
      </c>
      <c r="I338" s="2" t="n">
        <v>9</v>
      </c>
      <c r="J338" s="5">
        <f>SUM(F338:I338)</f>
        <v/>
      </c>
      <c r="K338" s="4" t="inlineStr">
        <is>
          <t>Z高さ記入</t>
        </is>
      </c>
      <c r="L338" s="3" t="inlineStr">
        <is>
          <t>Uwe Hübner</t>
        </is>
      </c>
      <c r="M338" s="3" t="inlineStr">
        <is>
          <t>CAD-Huebner</t>
        </is>
      </c>
      <c r="N338" s="6" t="inlineStr">
        <is>
          <t>開く</t>
        </is>
      </c>
    </row>
    <row r="339">
      <c r="A339" s="2">
        <f>RANK(J339,$J$2:$J$489)</f>
        <v/>
      </c>
      <c r="B339" s="3" t="inlineStr">
        <is>
          <t>ブロック・属性</t>
        </is>
      </c>
      <c r="C339" s="3" t="inlineStr">
        <is>
          <t>-</t>
        </is>
      </c>
      <c r="D339" s="4" t="inlineStr">
        <is>
          <t>Attleer</t>
        </is>
      </c>
      <c r="E339" s="4" t="inlineStr">
        <is>
          <t>図面内全ブロックの属性値を空にする</t>
        </is>
      </c>
      <c r="F339" s="2" t="n">
        <v>12</v>
      </c>
      <c r="G339" s="2" t="n">
        <v>6</v>
      </c>
      <c r="H339" s="2" t="n">
        <v>8</v>
      </c>
      <c r="I339" s="2" t="n">
        <v>11</v>
      </c>
      <c r="J339" s="5">
        <f>SUM(F339:I339)</f>
        <v/>
      </c>
      <c r="K339" s="4" t="inlineStr">
        <is>
          <t>属性一括クリア</t>
        </is>
      </c>
      <c r="L339" s="3" t="inlineStr">
        <is>
          <t>CADwiesel</t>
        </is>
      </c>
      <c r="M339" s="3" t="inlineStr">
        <is>
          <t>CADwiesel</t>
        </is>
      </c>
      <c r="N339" s="6" t="inlineStr">
        <is>
          <t>開く</t>
        </is>
      </c>
    </row>
    <row r="340">
      <c r="A340" s="2">
        <f>RANK(J340,$J$2:$J$489)</f>
        <v/>
      </c>
      <c r="B340" s="3" t="inlineStr">
        <is>
          <t>外部参照・図面管理・一括処理</t>
        </is>
      </c>
      <c r="C340" s="3" t="inlineStr">
        <is>
          <t>-</t>
        </is>
      </c>
      <c r="D340" s="4" t="inlineStr">
        <is>
          <t>CloseAll</t>
        </is>
      </c>
      <c r="E340" s="4" t="inlineStr">
        <is>
          <t>開いている図面を一括で閉じる（保存選択）</t>
        </is>
      </c>
      <c r="F340" s="2" t="n">
        <v>10</v>
      </c>
      <c r="G340" s="2" t="n">
        <v>6</v>
      </c>
      <c r="H340" s="2" t="n">
        <v>8</v>
      </c>
      <c r="I340" s="2" t="n">
        <v>13</v>
      </c>
      <c r="J340" s="5">
        <f>SUM(F340:I340)</f>
        <v/>
      </c>
      <c r="K340" s="4" t="inlineStr">
        <is>
          <t>CLOSEALLで代替</t>
        </is>
      </c>
      <c r="L340" s="3" t="inlineStr">
        <is>
          <t>kojacek</t>
        </is>
      </c>
      <c r="M340" s="3" t="inlineStr">
        <is>
          <t>kojacek.wordpress.com</t>
        </is>
      </c>
      <c r="N340" s="6" t="inlineStr">
        <is>
          <t>開く</t>
        </is>
      </c>
    </row>
    <row r="341">
      <c r="A341" s="2">
        <f>RANK(J341,$J$2:$J$489)</f>
        <v/>
      </c>
      <c r="B341" s="3" t="inlineStr">
        <is>
          <t>ハッチ・面積・長さ集計</t>
        </is>
      </c>
      <c r="C341" s="3" t="inlineStr">
        <is>
          <t>conta</t>
        </is>
      </c>
      <c r="D341" s="4" t="inlineStr">
        <is>
          <t>CONTA</t>
        </is>
      </c>
      <c r="E341" s="4" t="inlineStr">
        <is>
          <t>線・ポリ・円弧の合計長さ</t>
        </is>
      </c>
      <c r="F341" s="2" t="n">
        <v>7</v>
      </c>
      <c r="G341" s="2" t="n">
        <v>4</v>
      </c>
      <c r="H341" s="2" t="n">
        <v>11</v>
      </c>
      <c r="I341" s="2" t="n">
        <v>15</v>
      </c>
      <c r="J341" s="5">
        <f>SUM(F341:I341)</f>
        <v/>
      </c>
      <c r="K341" s="4" t="inlineStr">
        <is>
          <t>合計長さの基本</t>
        </is>
      </c>
      <c r="L341" s="3" t="inlineStr">
        <is>
          <t>EmiCAD</t>
        </is>
      </c>
      <c r="M341" s="3" t="inlineStr">
        <is>
          <t>EmiLISP Free (emicad.it)</t>
        </is>
      </c>
      <c r="N341" s="6" t="inlineStr">
        <is>
          <t>開く</t>
        </is>
      </c>
    </row>
    <row r="342">
      <c r="A342" s="2">
        <f>RANK(J342,$J$2:$J$489)</f>
        <v/>
      </c>
      <c r="B342" s="3" t="inlineStr">
        <is>
          <t>線・ポリライン編集</t>
        </is>
      </c>
      <c r="C342" s="3" t="inlineStr">
        <is>
          <t>convregpoli</t>
        </is>
      </c>
      <c r="D342" s="4" t="inlineStr">
        <is>
          <t>Converti regione in polilinee</t>
        </is>
      </c>
      <c r="E342" s="4" t="inlineStr">
        <is>
          <t>リージョンをポリラインに変換</t>
        </is>
      </c>
      <c r="F342" s="2" t="n">
        <v>12</v>
      </c>
      <c r="G342" s="2" t="n">
        <v>8</v>
      </c>
      <c r="H342" s="2" t="n">
        <v>7</v>
      </c>
      <c r="I342" s="2" t="n">
        <v>10</v>
      </c>
      <c r="J342" s="5">
        <f>SUM(F342:I342)</f>
        <v/>
      </c>
      <c r="K342" s="4" t="inlineStr">
        <is>
          <t>リージョンのポリ化</t>
        </is>
      </c>
      <c r="L342" s="3" t="inlineStr">
        <is>
          <t>EmiCAD</t>
        </is>
      </c>
      <c r="M342" s="3" t="inlineStr">
        <is>
          <t>EmiLISP Free (emicad.it)</t>
        </is>
      </c>
      <c r="N342" s="6" t="inlineStr">
        <is>
          <t>開く</t>
        </is>
      </c>
    </row>
    <row r="343">
      <c r="A343" s="2">
        <f>RANK(J343,$J$2:$J$489)</f>
        <v/>
      </c>
      <c r="B343" s="3" t="inlineStr">
        <is>
          <t>ブロック・属性</t>
        </is>
      </c>
      <c r="C343" s="3" t="inlineStr">
        <is>
          <t>-</t>
        </is>
      </c>
      <c r="D343" s="4" t="inlineStr">
        <is>
          <t>Ins</t>
        </is>
      </c>
      <c r="E343" s="4" t="inlineStr">
        <is>
          <t>全ブロックの挿入点を一覧ファイルに出力</t>
        </is>
      </c>
      <c r="F343" s="2" t="n">
        <v>10</v>
      </c>
      <c r="G343" s="2" t="n">
        <v>6</v>
      </c>
      <c r="H343" s="2" t="n">
        <v>9</v>
      </c>
      <c r="I343" s="2" t="n">
        <v>12</v>
      </c>
      <c r="J343" s="5">
        <f>SUM(F343:I343)</f>
        <v/>
      </c>
      <c r="K343" s="4" t="inlineStr">
        <is>
          <t>挿入点一覧出力</t>
        </is>
      </c>
      <c r="L343" s="3" t="inlineStr">
        <is>
          <t>CADwiesel</t>
        </is>
      </c>
      <c r="M343" s="3" t="inlineStr">
        <is>
          <t>CADwiesel</t>
        </is>
      </c>
      <c r="N343" s="6" t="inlineStr">
        <is>
          <t>開く</t>
        </is>
      </c>
    </row>
    <row r="344">
      <c r="A344" s="2">
        <f>RANK(J344,$J$2:$J$489)</f>
        <v/>
      </c>
      <c r="B344" s="3" t="inlineStr">
        <is>
          <t>ハッチ・面積・長さ集計</t>
        </is>
      </c>
      <c r="C344" s="3" t="inlineStr">
        <is>
          <t>-</t>
        </is>
      </c>
      <c r="D344" s="4" t="inlineStr">
        <is>
          <t>Laenge</t>
        </is>
      </c>
      <c r="E344" s="4" t="inlineStr">
        <is>
          <t>選択図形の合計長さを算出</t>
        </is>
      </c>
      <c r="F344" s="2" t="n">
        <v>7</v>
      </c>
      <c r="G344" s="2" t="n">
        <v>4</v>
      </c>
      <c r="H344" s="2" t="n">
        <v>11</v>
      </c>
      <c r="I344" s="2" t="n">
        <v>15</v>
      </c>
      <c r="J344" s="5">
        <f>SUM(F344:I344)</f>
        <v/>
      </c>
      <c r="K344" s="4" t="inlineStr">
        <is>
          <t>合計長さの基本</t>
        </is>
      </c>
      <c r="L344" s="3" t="inlineStr">
        <is>
          <t>CADwiesel</t>
        </is>
      </c>
      <c r="M344" s="3" t="inlineStr">
        <is>
          <t>CADwiesel</t>
        </is>
      </c>
      <c r="N344" s="6" t="inlineStr">
        <is>
          <t>開く</t>
        </is>
      </c>
    </row>
    <row r="345">
      <c r="A345" s="2">
        <f>RANK(J345,$J$2:$J$489)</f>
        <v/>
      </c>
      <c r="B345" s="3" t="inlineStr">
        <is>
          <t>画層</t>
        </is>
      </c>
      <c r="C345" s="3" t="inlineStr">
        <is>
          <t>LISO</t>
        </is>
      </c>
      <c r="D345" s="4" t="inlineStr">
        <is>
          <t>LayerIsoPro</t>
        </is>
      </c>
      <c r="E345" s="4" t="inlineStr">
        <is>
          <t>選択画層以外をフェード表示して分離</t>
        </is>
      </c>
      <c r="F345" s="2" t="n">
        <v>7</v>
      </c>
      <c r="G345" s="2" t="n">
        <v>6</v>
      </c>
      <c r="H345" s="2" t="n">
        <v>9</v>
      </c>
      <c r="I345" s="2" t="n">
        <v>15</v>
      </c>
      <c r="J345" s="5">
        <f>SUM(F345:I345)</f>
        <v/>
      </c>
      <c r="K345" s="4" t="inlineStr">
        <is>
          <t>標準LAYISOでフェード可</t>
        </is>
      </c>
      <c r="L345" s="3" t="inlineStr"/>
      <c r="M345" s="3" t="inlineStr">
        <is>
          <t>CADthèque</t>
        </is>
      </c>
      <c r="N345" s="6" t="inlineStr">
        <is>
          <t>開く</t>
        </is>
      </c>
    </row>
    <row r="346">
      <c r="A346" s="2">
        <f>RANK(J346,$J$2:$J$489)</f>
        <v/>
      </c>
      <c r="B346" s="3" t="inlineStr">
        <is>
          <t>作図</t>
        </is>
      </c>
      <c r="C346" s="3" t="inlineStr">
        <is>
          <t>-</t>
        </is>
      </c>
      <c r="D346" s="4" t="inlineStr">
        <is>
          <t>Lijnen verdelen met block</t>
        </is>
      </c>
      <c r="E346" s="4" t="inlineStr">
        <is>
          <t>複数の線を指定長さでブロック配置分割</t>
        </is>
      </c>
      <c r="F346" s="2" t="n">
        <v>11</v>
      </c>
      <c r="G346" s="2" t="n">
        <v>8</v>
      </c>
      <c r="H346" s="2" t="n">
        <v>8</v>
      </c>
      <c r="I346" s="2" t="n">
        <v>10</v>
      </c>
      <c r="J346" s="5">
        <f>SUM(F346:I346)</f>
        <v/>
      </c>
      <c r="K346" s="4" t="inlineStr">
        <is>
          <t>線上にブロック配置分割</t>
        </is>
      </c>
      <c r="L346" s="3" t="inlineStr">
        <is>
          <t>cadsite.be (Julien e.a.)</t>
        </is>
      </c>
      <c r="M346" s="3" t="inlineStr">
        <is>
          <t>juliens cadsite (BE)</t>
        </is>
      </c>
      <c r="N346" s="6" t="inlineStr">
        <is>
          <t>開く</t>
        </is>
      </c>
    </row>
    <row r="347">
      <c r="A347" s="2">
        <f>RANK(J347,$J$2:$J$489)</f>
        <v/>
      </c>
      <c r="B347" s="3" t="inlineStr">
        <is>
          <t>ブロック・属性</t>
        </is>
      </c>
      <c r="C347" s="3" t="inlineStr">
        <is>
          <t>-</t>
        </is>
      </c>
      <c r="D347" s="4" t="inlineStr">
        <is>
          <t>MINSERT → INSERT</t>
        </is>
      </c>
      <c r="E347" s="4" t="inlineStr">
        <is>
          <t>MINSERTを通常ブロック参照に変換</t>
        </is>
      </c>
      <c r="F347" s="2" t="n">
        <v>13</v>
      </c>
      <c r="G347" s="2" t="n">
        <v>8</v>
      </c>
      <c r="H347" s="2" t="n">
        <v>6</v>
      </c>
      <c r="I347" s="2" t="n">
        <v>10</v>
      </c>
      <c r="J347" s="5">
        <f>SUM(F347:I347)</f>
        <v/>
      </c>
      <c r="K347" s="4" t="inlineStr">
        <is>
          <t>MINSERT解除</t>
        </is>
      </c>
      <c r="L347" s="3" t="inlineStr">
        <is>
          <t>kojacek</t>
        </is>
      </c>
      <c r="M347" s="3" t="inlineStr">
        <is>
          <t>kojacek.wordpress.com</t>
        </is>
      </c>
      <c r="N347" s="6" t="inlineStr">
        <is>
          <t>開く</t>
        </is>
      </c>
    </row>
    <row r="348">
      <c r="A348" s="2">
        <f>RANK(J348,$J$2:$J$489)</f>
        <v/>
      </c>
      <c r="B348" s="3" t="inlineStr">
        <is>
          <t>印刷・レイアウト・図枠</t>
        </is>
      </c>
      <c r="C348" s="3" t="inlineStr">
        <is>
          <t>oog</t>
        </is>
      </c>
      <c r="D348" s="4" t="inlineStr">
        <is>
          <t>OOG</t>
        </is>
      </c>
      <c r="E348" s="4" t="inlineStr">
        <is>
          <t>レイアウトタブの並べ替え</t>
        </is>
      </c>
      <c r="F348" s="2" t="n">
        <v>8</v>
      </c>
      <c r="G348" s="2" t="n">
        <v>7</v>
      </c>
      <c r="H348" s="2" t="n">
        <v>8</v>
      </c>
      <c r="I348" s="2" t="n">
        <v>14</v>
      </c>
      <c r="J348" s="5">
        <f>SUM(F348:I348)</f>
        <v/>
      </c>
      <c r="K348" s="4" t="inlineStr">
        <is>
          <t>標準でドラッグ並替可</t>
        </is>
      </c>
      <c r="L348" s="3" t="inlineStr">
        <is>
          <t>Patrick_35</t>
        </is>
      </c>
      <c r="M348" s="3" t="inlineStr">
        <is>
          <t>CADxp (Patrick_35)</t>
        </is>
      </c>
      <c r="N348" s="6" t="inlineStr">
        <is>
          <t>開く</t>
        </is>
      </c>
    </row>
    <row r="349">
      <c r="A349" s="2">
        <f>RANK(J349,$J$2:$J$489)</f>
        <v/>
      </c>
      <c r="B349" s="3" t="inlineStr">
        <is>
          <t>3D</t>
        </is>
      </c>
      <c r="C349" s="3" t="inlineStr">
        <is>
          <t>2t3</t>
        </is>
      </c>
      <c r="D349" s="4" t="inlineStr">
        <is>
          <t>Poly2DTo3D</t>
        </is>
      </c>
      <c r="E349" s="4" t="inlineStr">
        <is>
          <t>2D/LWポリを高度をZにした3Dポリラインへ変換</t>
        </is>
      </c>
      <c r="F349" s="2" t="n">
        <v>12</v>
      </c>
      <c r="G349" s="2" t="n">
        <v>8</v>
      </c>
      <c r="H349" s="2" t="n">
        <v>8</v>
      </c>
      <c r="I349" s="2" t="n">
        <v>9</v>
      </c>
      <c r="J349" s="5">
        <f>SUM(F349:I349)</f>
        <v/>
      </c>
      <c r="K349" s="4" t="inlineStr">
        <is>
          <t>高度をZに変換</t>
        </is>
      </c>
      <c r="L349" s="3" t="inlineStr">
        <is>
          <t>Jörn Bosse</t>
        </is>
      </c>
      <c r="M349" s="3" t="inlineStr">
        <is>
          <t>Bosse Engineering</t>
        </is>
      </c>
      <c r="N349" s="6" t="inlineStr">
        <is>
          <t>開く</t>
        </is>
      </c>
    </row>
    <row r="350">
      <c r="A350" s="2">
        <f>RANK(J350,$J$2:$J$489)</f>
        <v/>
      </c>
      <c r="B350" s="3" t="inlineStr">
        <is>
          <t>LISP開発用の部品</t>
        </is>
      </c>
      <c r="C350" s="3" t="inlineStr">
        <is>
          <t>-</t>
        </is>
      </c>
      <c r="D350" s="4" t="inlineStr">
        <is>
          <t>SSX_*</t>
        </is>
      </c>
      <c r="E350" s="4" t="inlineStr">
        <is>
          <t>選択セット変換・動的ブロック名で絞込み関数</t>
        </is>
      </c>
      <c r="F350" s="2" t="n">
        <v>12</v>
      </c>
      <c r="G350" s="2" t="n">
        <v>9</v>
      </c>
      <c r="H350" s="2" t="n">
        <v>4</v>
      </c>
      <c r="I350" s="2" t="n">
        <v>12</v>
      </c>
      <c r="J350" s="5">
        <f>SUM(F350:I350)</f>
        <v/>
      </c>
      <c r="K350" s="4" t="inlineStr">
        <is>
          <t>動的ブロック選択関数</t>
        </is>
      </c>
      <c r="L350" s="3" t="inlineStr">
        <is>
          <t>CADPL (kojacek, kruuger et al.)</t>
        </is>
      </c>
      <c r="M350" s="3" t="inlineStr">
        <is>
          <t>GitHub: kruuger/CADPL-Pack-v1</t>
        </is>
      </c>
      <c r="N350" s="6" t="inlineStr">
        <is>
          <t>開く</t>
        </is>
      </c>
    </row>
    <row r="351">
      <c r="A351" s="2">
        <f>RANK(J351,$J$2:$J$489)</f>
        <v/>
      </c>
      <c r="B351" s="3" t="inlineStr">
        <is>
          <t>文字・テキスト</t>
        </is>
      </c>
      <c r="C351" s="3" t="inlineStr">
        <is>
          <t>-</t>
        </is>
      </c>
      <c r="D351" s="4" t="inlineStr">
        <is>
          <t>Tekst izometryczny</t>
        </is>
      </c>
      <c r="E351" s="4" t="inlineStr">
        <is>
          <t>文字を等角図の面に合わせて傾斜・回転</t>
        </is>
      </c>
      <c r="F351" s="2" t="n">
        <v>12</v>
      </c>
      <c r="G351" s="2" t="n">
        <v>9</v>
      </c>
      <c r="H351" s="2" t="n">
        <v>8</v>
      </c>
      <c r="I351" s="2" t="n">
        <v>8</v>
      </c>
      <c r="J351" s="5">
        <f>SUM(F351:I351)</f>
        <v/>
      </c>
      <c r="K351" s="4" t="inlineStr">
        <is>
          <t>等角図の文字傾斜</t>
        </is>
      </c>
      <c r="L351" s="3" t="inlineStr">
        <is>
          <t>kojacek</t>
        </is>
      </c>
      <c r="M351" s="3" t="inlineStr">
        <is>
          <t>kojacek.wordpress.com</t>
        </is>
      </c>
      <c r="N351" s="6" t="inlineStr">
        <is>
          <t>開く</t>
        </is>
      </c>
    </row>
    <row r="352">
      <c r="A352" s="2">
        <f>RANK(J352,$J$2:$J$489)</f>
        <v/>
      </c>
      <c r="B352" s="3" t="inlineStr">
        <is>
          <t>構造・鉄骨・機械</t>
        </is>
      </c>
      <c r="C352" s="3" t="inlineStr">
        <is>
          <t>torec / tec</t>
        </is>
      </c>
      <c r="D352" s="4" t="inlineStr">
        <is>
          <t>Tornillo / Tuerca</t>
        </is>
      </c>
      <c r="E352" s="4" t="inlineStr">
        <is>
          <t>六角ボルト・ナットの三面図を寸法入力で作図</t>
        </is>
      </c>
      <c r="F352" s="2" t="n">
        <v>13</v>
      </c>
      <c r="G352" s="2" t="n">
        <v>9</v>
      </c>
      <c r="H352" s="2" t="n">
        <v>8</v>
      </c>
      <c r="I352" s="2" t="n">
        <v>7</v>
      </c>
      <c r="J352" s="5">
        <f>SUM(F352:I352)</f>
        <v/>
      </c>
      <c r="K352" s="4" t="inlineStr">
        <is>
          <t>ボルト三面図</t>
        </is>
      </c>
      <c r="L352" s="3" t="inlineStr">
        <is>
          <t>J.A.M.G.P.A.</t>
        </is>
      </c>
      <c r="M352" s="3" t="inlineStr">
        <is>
          <t>jamgpa.com</t>
        </is>
      </c>
      <c r="N352" s="6" t="inlineStr">
        <is>
          <t>開く</t>
        </is>
      </c>
    </row>
    <row r="353">
      <c r="A353" s="2">
        <f>RANK(J353,$J$2:$J$489)</f>
        <v/>
      </c>
      <c r="B353" s="3" t="inlineStr">
        <is>
          <t>座標・測量・土木</t>
        </is>
      </c>
      <c r="C353" s="3" t="inlineStr">
        <is>
          <t>-</t>
        </is>
      </c>
      <c r="D353" s="4" t="inlineStr">
        <is>
          <t>xy-koor</t>
        </is>
      </c>
      <c r="E353" s="4" t="inlineStr">
        <is>
          <t>点の横にXY(Z)座標を記入</t>
        </is>
      </c>
      <c r="F353" s="2" t="n">
        <v>10</v>
      </c>
      <c r="G353" s="2" t="n">
        <v>6</v>
      </c>
      <c r="H353" s="2" t="n">
        <v>12</v>
      </c>
      <c r="I353" s="2" t="n">
        <v>9</v>
      </c>
      <c r="J353" s="5">
        <f>SUM(F353:I353)</f>
        <v/>
      </c>
      <c r="K353" s="4" t="inlineStr">
        <is>
          <t>点に座標記入</t>
        </is>
      </c>
      <c r="L353" s="3" t="inlineStr">
        <is>
          <t>CADwiesel</t>
        </is>
      </c>
      <c r="M353" s="3" t="inlineStr">
        <is>
          <t>CADwiesel</t>
        </is>
      </c>
      <c r="N353" s="6" t="inlineStr">
        <is>
          <t>開く</t>
        </is>
      </c>
    </row>
    <row r="354">
      <c r="A354" s="2">
        <f>RANK(J354,$J$2:$J$489)</f>
        <v/>
      </c>
      <c r="B354" s="3" t="inlineStr">
        <is>
          <t>LISP開発用の部品</t>
        </is>
      </c>
      <c r="C354" s="3" t="inlineStr">
        <is>
          <t>-</t>
        </is>
      </c>
      <c r="D354" s="4" t="inlineStr">
        <is>
          <t>ACX_*</t>
        </is>
      </c>
      <c r="E354" s="4" t="inlineStr">
        <is>
          <t>ActiveXで図形・画層・レイアウト等を作成/取得する関数群</t>
        </is>
      </c>
      <c r="F354" s="2" t="n">
        <v>10</v>
      </c>
      <c r="G354" s="2" t="n">
        <v>8</v>
      </c>
      <c r="H354" s="2" t="n">
        <v>4</v>
      </c>
      <c r="I354" s="2" t="n">
        <v>14</v>
      </c>
      <c r="J354" s="5">
        <f>SUM(F354:I354)</f>
        <v/>
      </c>
      <c r="K354" s="4" t="inlineStr">
        <is>
          <t>ActiveX作成関数群</t>
        </is>
      </c>
      <c r="L354" s="3" t="inlineStr">
        <is>
          <t>CADPL (kojacek, kruuger et al.)</t>
        </is>
      </c>
      <c r="M354" s="3" t="inlineStr">
        <is>
          <t>GitHub: kruuger/CADPL-Pack-v1</t>
        </is>
      </c>
      <c r="N354" s="6" t="inlineStr">
        <is>
          <t>開く</t>
        </is>
      </c>
    </row>
    <row r="355">
      <c r="A355" s="2">
        <f>RANK(J355,$J$2:$J$489)</f>
        <v/>
      </c>
      <c r="B355" s="3" t="inlineStr">
        <is>
          <t>選択・絞り込み</t>
        </is>
      </c>
      <c r="C355" s="3" t="inlineStr">
        <is>
          <t>Ldoppie / clean</t>
        </is>
      </c>
      <c r="D355" s="4" t="inlineStr">
        <is>
          <t>Cancella linee doppie</t>
        </is>
      </c>
      <c r="E355" s="4" t="inlineStr">
        <is>
          <t>重複・部分重複線を削除</t>
        </is>
      </c>
      <c r="F355" s="2" t="n">
        <v>8</v>
      </c>
      <c r="G355" s="2" t="n">
        <v>6</v>
      </c>
      <c r="H355" s="2" t="n">
        <v>9</v>
      </c>
      <c r="I355" s="2" t="n">
        <v>13</v>
      </c>
      <c r="J355" s="5">
        <f>SUM(F355:I355)</f>
        <v/>
      </c>
      <c r="K355" s="4" t="inlineStr">
        <is>
          <t>OVERKILLで代替</t>
        </is>
      </c>
      <c r="L355" s="3" t="inlineStr">
        <is>
          <t>EmiCAD</t>
        </is>
      </c>
      <c r="M355" s="3" t="inlineStr">
        <is>
          <t>EmiLISP Free (emicad.it)</t>
        </is>
      </c>
      <c r="N355" s="6" t="inlineStr">
        <is>
          <t>開く</t>
        </is>
      </c>
    </row>
    <row r="356">
      <c r="A356" s="2">
        <f>RANK(J356,$J$2:$J$489)</f>
        <v/>
      </c>
      <c r="B356" s="3" t="inlineStr">
        <is>
          <t>画層</t>
        </is>
      </c>
      <c r="C356" s="3" t="inlineStr">
        <is>
          <t>lay / layc</t>
        </is>
      </c>
      <c r="D356" s="4" t="inlineStr">
        <is>
          <t>Cancella oggetti layer</t>
        </is>
      </c>
      <c r="E356" s="4" t="inlineStr">
        <is>
          <t>指定画層・凍結画層の図形を一括削除</t>
        </is>
      </c>
      <c r="F356" s="2" t="n">
        <v>9</v>
      </c>
      <c r="G356" s="2" t="n">
        <v>6</v>
      </c>
      <c r="H356" s="2" t="n">
        <v>9</v>
      </c>
      <c r="I356" s="2" t="n">
        <v>12</v>
      </c>
      <c r="J356" s="5">
        <f>SUM(F356:I356)</f>
        <v/>
      </c>
      <c r="K356" s="4" t="inlineStr">
        <is>
          <t>LAYDELで代替</t>
        </is>
      </c>
      <c r="L356" s="3" t="inlineStr">
        <is>
          <t>EmiCAD</t>
        </is>
      </c>
      <c r="M356" s="3" t="inlineStr">
        <is>
          <t>EmiLISP Free (emicad.it)</t>
        </is>
      </c>
      <c r="N356" s="6" t="inlineStr">
        <is>
          <t>開く</t>
        </is>
      </c>
    </row>
    <row r="357">
      <c r="A357" s="2">
        <f>RANK(J357,$J$2:$J$489)</f>
        <v/>
      </c>
      <c r="B357" s="3" t="inlineStr">
        <is>
          <t>線・ポリライン編集</t>
        </is>
      </c>
      <c r="C357" s="3" t="inlineStr">
        <is>
          <t>clean_poly</t>
        </is>
      </c>
      <c r="D357" s="4" t="inlineStr">
        <is>
          <t>CleanPoly</t>
        </is>
      </c>
      <c r="E357" s="4" t="inlineStr">
        <is>
          <t>ポリラインの重複頂点を削除</t>
        </is>
      </c>
      <c r="F357" s="2" t="n">
        <v>8</v>
      </c>
      <c r="G357" s="2" t="n">
        <v>6</v>
      </c>
      <c r="H357" s="2" t="n">
        <v>8</v>
      </c>
      <c r="I357" s="2" t="n">
        <v>14</v>
      </c>
      <c r="J357" s="5">
        <f>SUM(F357:I357)</f>
        <v/>
      </c>
      <c r="K357" s="4" t="inlineStr">
        <is>
          <t>OVERKILLで概ね代替</t>
        </is>
      </c>
      <c r="L357" s="3" t="inlineStr">
        <is>
          <t>(gile)</t>
        </is>
      </c>
      <c r="M357" s="3" t="inlineStr">
        <is>
          <t>gileCAD</t>
        </is>
      </c>
      <c r="N357" s="6" t="inlineStr">
        <is>
          <t>開く</t>
        </is>
      </c>
    </row>
    <row r="358">
      <c r="A358" s="2">
        <f>RANK(J358,$J$2:$J$489)</f>
        <v/>
      </c>
      <c r="B358" s="3" t="inlineStr">
        <is>
          <t>ブロック・属性</t>
        </is>
      </c>
      <c r="C358" s="3" t="inlineStr">
        <is>
          <t>collblock</t>
        </is>
      </c>
      <c r="D358" s="4" t="inlineStr">
        <is>
          <t>Collega blocco a file</t>
        </is>
      </c>
      <c r="E358" s="4" t="inlineStr">
        <is>
          <t>ブロックに外部ファイルをリンクし起動</t>
        </is>
      </c>
      <c r="F358" s="2" t="n">
        <v>10</v>
      </c>
      <c r="G358" s="2" t="n">
        <v>10</v>
      </c>
      <c r="H358" s="2" t="n">
        <v>6</v>
      </c>
      <c r="I358" s="2" t="n">
        <v>10</v>
      </c>
      <c r="J358" s="5">
        <f>SUM(F358:I358)</f>
        <v/>
      </c>
      <c r="K358" s="4" t="inlineStr">
        <is>
          <t>ハイパーリンクで代替</t>
        </is>
      </c>
      <c r="L358" s="3" t="inlineStr">
        <is>
          <t>EmiCAD</t>
        </is>
      </c>
      <c r="M358" s="3" t="inlineStr">
        <is>
          <t>EmiLISP Free (emicad.it)</t>
        </is>
      </c>
      <c r="N358" s="6" t="inlineStr">
        <is>
          <t>開く</t>
        </is>
      </c>
    </row>
    <row r="359">
      <c r="A359" s="2">
        <f>RANK(J359,$J$2:$J$489)</f>
        <v/>
      </c>
      <c r="B359" s="3" t="inlineStr">
        <is>
          <t>印刷・レイアウト・図枠</t>
        </is>
      </c>
      <c r="C359" s="3" t="inlineStr">
        <is>
          <t>convstilestampa</t>
        </is>
      </c>
      <c r="D359" s="4" t="inlineStr">
        <is>
          <t>Colore ↔ Nome</t>
        </is>
      </c>
      <c r="E359" s="4" t="inlineStr">
        <is>
          <t>色従属/名前付き印刷スタイルを相互変換</t>
        </is>
      </c>
      <c r="F359" s="2" t="n">
        <v>12</v>
      </c>
      <c r="G359" s="2" t="n">
        <v>7</v>
      </c>
      <c r="H359" s="2" t="n">
        <v>7</v>
      </c>
      <c r="I359" s="2" t="n">
        <v>10</v>
      </c>
      <c r="J359" s="5">
        <f>SUM(F359:I359)</f>
        <v/>
      </c>
      <c r="K359" s="4" t="inlineStr">
        <is>
          <t>CONVERTCTBで代替可</t>
        </is>
      </c>
      <c r="L359" s="3" t="inlineStr">
        <is>
          <t>EmiCAD</t>
        </is>
      </c>
      <c r="M359" s="3" t="inlineStr">
        <is>
          <t>EmiLISP Free (emicad.it)</t>
        </is>
      </c>
      <c r="N359" s="6" t="inlineStr">
        <is>
          <t>開く</t>
        </is>
      </c>
    </row>
    <row r="360">
      <c r="A360" s="2">
        <f>RANK(J360,$J$2:$J$489)</f>
        <v/>
      </c>
      <c r="B360" s="3" t="inlineStr">
        <is>
          <t>3D</t>
        </is>
      </c>
      <c r="C360" s="3" t="inlineStr">
        <is>
          <t>curve2pipe</t>
        </is>
      </c>
      <c r="D360" s="4" t="inlineStr">
        <is>
          <t>Curve2Pipe</t>
        </is>
      </c>
      <c r="E360" s="4" t="inlineStr">
        <is>
          <t>曲線をパスにパイプ状ソリッドを押し出し</t>
        </is>
      </c>
      <c r="F360" s="2" t="n">
        <v>12</v>
      </c>
      <c r="G360" s="2" t="n">
        <v>11</v>
      </c>
      <c r="H360" s="2" t="n">
        <v>6</v>
      </c>
      <c r="I360" s="2" t="n">
        <v>7</v>
      </c>
      <c r="J360" s="5">
        <f>SUM(F360:I360)</f>
        <v/>
      </c>
      <c r="K360" s="4" t="inlineStr">
        <is>
          <t>SWEEPで代替可能</t>
        </is>
      </c>
      <c r="L360" s="3" t="inlineStr">
        <is>
          <t>(gile)</t>
        </is>
      </c>
      <c r="M360" s="3" t="inlineStr">
        <is>
          <t>gileCAD</t>
        </is>
      </c>
      <c r="N360" s="6" t="inlineStr">
        <is>
          <t>開く</t>
        </is>
      </c>
    </row>
    <row r="361">
      <c r="A361" s="2">
        <f>RANK(J361,$J$2:$J$489)</f>
        <v/>
      </c>
      <c r="B361" s="3" t="inlineStr">
        <is>
          <t>建築</t>
        </is>
      </c>
      <c r="C361" s="3" t="inlineStr">
        <is>
          <t>-</t>
        </is>
      </c>
      <c r="D361" s="4" t="inlineStr">
        <is>
          <t>Deur tekenen</t>
        </is>
      </c>
      <c r="E361" s="4" t="inlineStr">
        <is>
          <t>ドアを素早く作図</t>
        </is>
      </c>
      <c r="F361" s="2" t="n">
        <v>10</v>
      </c>
      <c r="G361" s="2" t="n">
        <v>8</v>
      </c>
      <c r="H361" s="2" t="n">
        <v>10</v>
      </c>
      <c r="I361" s="2" t="n">
        <v>8</v>
      </c>
      <c r="J361" s="5">
        <f>SUM(F361:I361)</f>
        <v/>
      </c>
      <c r="K361" s="4" t="inlineStr">
        <is>
          <t>ドア作図</t>
        </is>
      </c>
      <c r="L361" s="3" t="inlineStr">
        <is>
          <t>cadsite.be (Julien e.a.)</t>
        </is>
      </c>
      <c r="M361" s="3" t="inlineStr">
        <is>
          <t>juliens cadsite (BE)</t>
        </is>
      </c>
      <c r="N361" s="6" t="inlineStr">
        <is>
          <t>開く</t>
        </is>
      </c>
    </row>
    <row r="362">
      <c r="A362" s="2">
        <f>RANK(J362,$J$2:$J$489)</f>
        <v/>
      </c>
      <c r="B362" s="3" t="inlineStr">
        <is>
          <t>選択・絞り込み</t>
        </is>
      </c>
      <c r="C362" s="3" t="inlineStr">
        <is>
          <t>-</t>
        </is>
      </c>
      <c r="D362" s="4" t="inlineStr">
        <is>
          <t>Doppelt</t>
        </is>
      </c>
      <c r="E362" s="4" t="inlineStr">
        <is>
          <t>重複図形を検出し別画層へ移動または削除</t>
        </is>
      </c>
      <c r="F362" s="2" t="n">
        <v>7</v>
      </c>
      <c r="G362" s="2" t="n">
        <v>6</v>
      </c>
      <c r="H362" s="2" t="n">
        <v>9</v>
      </c>
      <c r="I362" s="2" t="n">
        <v>14</v>
      </c>
      <c r="J362" s="5">
        <f>SUM(F362:I362)</f>
        <v/>
      </c>
      <c r="K362" s="4" t="inlineStr">
        <is>
          <t>OVERKILLで代替</t>
        </is>
      </c>
      <c r="L362" s="3" t="inlineStr">
        <is>
          <t>CADwiesel</t>
        </is>
      </c>
      <c r="M362" s="3" t="inlineStr">
        <is>
          <t>CADwiesel</t>
        </is>
      </c>
      <c r="N362" s="6" t="inlineStr">
        <is>
          <t>開く</t>
        </is>
      </c>
    </row>
    <row r="363">
      <c r="A363" s="2">
        <f>RANK(J363,$J$2:$J$489)</f>
        <v/>
      </c>
      <c r="B363" s="3" t="inlineStr">
        <is>
          <t>3D</t>
        </is>
      </c>
      <c r="C363" s="3" t="inlineStr">
        <is>
          <t>slprof</t>
        </is>
      </c>
      <c r="D363" s="4" t="inlineStr">
        <is>
          <t>Estrai 2D da 3D</t>
        </is>
      </c>
      <c r="E363" s="4" t="inlineStr">
        <is>
          <t>3Dソリッドから2D図形を抽出（SOLPROF改良）</t>
        </is>
      </c>
      <c r="F363" s="2" t="n">
        <v>11</v>
      </c>
      <c r="G363" s="2" t="n">
        <v>9</v>
      </c>
      <c r="H363" s="2" t="n">
        <v>8</v>
      </c>
      <c r="I363" s="2" t="n">
        <v>8</v>
      </c>
      <c r="J363" s="5">
        <f>SUM(F363:I363)</f>
        <v/>
      </c>
      <c r="K363" s="4" t="inlineStr">
        <is>
          <t>SOLPROF改良</t>
        </is>
      </c>
      <c r="L363" s="3" t="inlineStr">
        <is>
          <t>EmiCAD</t>
        </is>
      </c>
      <c r="M363" s="3" t="inlineStr">
        <is>
          <t>EmiLISP Free (emicad.it)</t>
        </is>
      </c>
      <c r="N363" s="6" t="inlineStr">
        <is>
          <t>開く</t>
        </is>
      </c>
    </row>
    <row r="364">
      <c r="A364" s="2">
        <f>RANK(J364,$J$2:$J$489)</f>
        <v/>
      </c>
      <c r="B364" s="3" t="inlineStr">
        <is>
          <t>選択・絞り込み</t>
        </is>
      </c>
      <c r="C364" s="3" t="inlineStr">
        <is>
          <t>Filt</t>
        </is>
      </c>
      <c r="D364" s="4" t="inlineStr">
        <is>
          <t>Filtro</t>
        </is>
      </c>
      <c r="E364" s="4" t="inlineStr">
        <is>
          <t>基準図形のプロパティで選択を絞込み</t>
        </is>
      </c>
      <c r="F364" s="2" t="n">
        <v>7</v>
      </c>
      <c r="G364" s="2" t="n">
        <v>6</v>
      </c>
      <c r="H364" s="2" t="n">
        <v>9</v>
      </c>
      <c r="I364" s="2" t="n">
        <v>14</v>
      </c>
      <c r="J364" s="5">
        <f>SUM(F364:I364)</f>
        <v/>
      </c>
      <c r="K364" s="4" t="inlineStr">
        <is>
          <t>SELECTSIMILARで代替</t>
        </is>
      </c>
      <c r="L364" s="3" t="inlineStr">
        <is>
          <t>EmiCAD</t>
        </is>
      </c>
      <c r="M364" s="3" t="inlineStr">
        <is>
          <t>EmiLISP Free (emicad.it)</t>
        </is>
      </c>
      <c r="N364" s="6" t="inlineStr">
        <is>
          <t>開く</t>
        </is>
      </c>
    </row>
    <row r="365">
      <c r="A365" s="2">
        <f>RANK(J365,$J$2:$J$489)</f>
        <v/>
      </c>
      <c r="B365" s="3" t="inlineStr">
        <is>
          <t>ブロック・属性</t>
        </is>
      </c>
      <c r="C365" s="3" t="inlineStr">
        <is>
          <t>-</t>
        </is>
      </c>
      <c r="D365" s="4" t="inlineStr">
        <is>
          <t>HotBlock</t>
        </is>
      </c>
      <c r="E365" s="4" t="inlineStr">
        <is>
          <t>INI設定で構成するブロックライブラリメニュー</t>
        </is>
      </c>
      <c r="F365" s="2" t="n">
        <v>10</v>
      </c>
      <c r="G365" s="2" t="n">
        <v>8</v>
      </c>
      <c r="H365" s="2" t="n">
        <v>8</v>
      </c>
      <c r="I365" s="2" t="n">
        <v>10</v>
      </c>
      <c r="J365" s="5">
        <f>SUM(F365:I365)</f>
        <v/>
      </c>
      <c r="K365" s="4" t="inlineStr">
        <is>
          <t>ブロックライブラリ</t>
        </is>
      </c>
      <c r="L365" s="3" t="inlineStr">
        <is>
          <t>cadsite.be (Julien e.a.)</t>
        </is>
      </c>
      <c r="M365" s="3" t="inlineStr">
        <is>
          <t>juliens cadsite (BE)</t>
        </is>
      </c>
      <c r="N365" s="6" t="inlineStr">
        <is>
          <t>開く</t>
        </is>
      </c>
    </row>
    <row r="366">
      <c r="A366" s="2">
        <f>RANK(J366,$J$2:$J$489)</f>
        <v/>
      </c>
      <c r="B366" s="3" t="inlineStr">
        <is>
          <t>線・ポリライン編集</t>
        </is>
      </c>
      <c r="C366" s="3" t="inlineStr">
        <is>
          <t>-</t>
        </is>
      </c>
      <c r="D366" s="4" t="inlineStr">
        <is>
          <t>Konwersja elipsy do polilinii</t>
        </is>
      </c>
      <c r="E366" s="4" t="inlineStr">
        <is>
          <t>楕円を円弧ポリラインに変換</t>
        </is>
      </c>
      <c r="F366" s="2" t="n">
        <v>11</v>
      </c>
      <c r="G366" s="2" t="n">
        <v>8</v>
      </c>
      <c r="H366" s="2" t="n">
        <v>7</v>
      </c>
      <c r="I366" s="2" t="n">
        <v>10</v>
      </c>
      <c r="J366" s="5">
        <f>SUM(F366:I366)</f>
        <v/>
      </c>
      <c r="K366" s="4" t="inlineStr">
        <is>
          <t>楕円のポリ化</t>
        </is>
      </c>
      <c r="L366" s="3" t="inlineStr">
        <is>
          <t>kojacek</t>
        </is>
      </c>
      <c r="M366" s="3" t="inlineStr">
        <is>
          <t>kojacek.wordpress.com</t>
        </is>
      </c>
      <c r="N366" s="6" t="inlineStr">
        <is>
          <t>開く</t>
        </is>
      </c>
    </row>
    <row r="367">
      <c r="A367" s="2">
        <f>RANK(J367,$J$2:$J$489)</f>
        <v/>
      </c>
      <c r="B367" s="3" t="inlineStr">
        <is>
          <t>線・ポリライン編集</t>
        </is>
      </c>
      <c r="C367" s="3" t="inlineStr">
        <is>
          <t>-</t>
        </is>
      </c>
      <c r="D367" s="4" t="inlineStr">
        <is>
          <t>Kr2Pl</t>
        </is>
      </c>
      <c r="E367" s="4" t="inlineStr">
        <is>
          <t>円をLWポリラインに変換</t>
        </is>
      </c>
      <c r="F367" s="2" t="n">
        <v>11</v>
      </c>
      <c r="G367" s="2" t="n">
        <v>7</v>
      </c>
      <c r="H367" s="2" t="n">
        <v>7</v>
      </c>
      <c r="I367" s="2" t="n">
        <v>11</v>
      </c>
      <c r="J367" s="5">
        <f>SUM(F367:I367)</f>
        <v/>
      </c>
      <c r="K367" s="4" t="inlineStr">
        <is>
          <t>円をポリ化</t>
        </is>
      </c>
      <c r="L367" s="3" t="inlineStr">
        <is>
          <t>CADwiesel</t>
        </is>
      </c>
      <c r="M367" s="3" t="inlineStr">
        <is>
          <t>CADwiesel</t>
        </is>
      </c>
      <c r="N367" s="6" t="inlineStr">
        <is>
          <t>開く</t>
        </is>
      </c>
    </row>
    <row r="368">
      <c r="A368" s="2">
        <f>RANK(J368,$J$2:$J$489)</f>
        <v/>
      </c>
      <c r="B368" s="3" t="inlineStr">
        <is>
          <t>線・ポリライン編集</t>
        </is>
      </c>
      <c r="C368" s="3" t="inlineStr">
        <is>
          <t>-</t>
        </is>
      </c>
      <c r="D368" s="4" t="inlineStr">
        <is>
          <t>Kreise2Poly</t>
        </is>
      </c>
      <c r="E368" s="4" t="inlineStr">
        <is>
          <t>円をポリラインに変換</t>
        </is>
      </c>
      <c r="F368" s="2" t="n">
        <v>11</v>
      </c>
      <c r="G368" s="2" t="n">
        <v>7</v>
      </c>
      <c r="H368" s="2" t="n">
        <v>7</v>
      </c>
      <c r="I368" s="2" t="n">
        <v>11</v>
      </c>
      <c r="J368" s="5">
        <f>SUM(F368:I368)</f>
        <v/>
      </c>
      <c r="K368" s="4" t="inlineStr">
        <is>
          <t>円をポリ化</t>
        </is>
      </c>
      <c r="L368" s="3" t="inlineStr">
        <is>
          <t>Jörn Bosse</t>
        </is>
      </c>
      <c r="M368" s="3" t="inlineStr">
        <is>
          <t>Bosse Engineering</t>
        </is>
      </c>
      <c r="N368" s="6" t="inlineStr">
        <is>
          <t>開く</t>
        </is>
      </c>
    </row>
    <row r="369">
      <c r="A369" s="2">
        <f>RANK(J369,$J$2:$J$489)</f>
        <v/>
      </c>
      <c r="B369" s="3" t="inlineStr">
        <is>
          <t>文字・テキスト</t>
        </is>
      </c>
      <c r="C369" s="3" t="inlineStr">
        <is>
          <t>-</t>
        </is>
      </c>
      <c r="D369" s="4" t="inlineStr">
        <is>
          <t>MTEXT usuwanie maski tła</t>
        </is>
      </c>
      <c r="E369" s="4" t="inlineStr">
        <is>
          <t>MTEXTの背景マスクを一括解除</t>
        </is>
      </c>
      <c r="F369" s="2" t="n">
        <v>10</v>
      </c>
      <c r="G369" s="2" t="n">
        <v>6</v>
      </c>
      <c r="H369" s="2" t="n">
        <v>8</v>
      </c>
      <c r="I369" s="2" t="n">
        <v>12</v>
      </c>
      <c r="J369" s="5">
        <f>SUM(F369:I369)</f>
        <v/>
      </c>
      <c r="K369" s="4" t="inlineStr">
        <is>
          <t>背景マスク一括解除</t>
        </is>
      </c>
      <c r="L369" s="3" t="inlineStr">
        <is>
          <t>kojacek</t>
        </is>
      </c>
      <c r="M369" s="3" t="inlineStr">
        <is>
          <t>kojacek.wordpress.com</t>
        </is>
      </c>
      <c r="N369" s="6" t="inlineStr">
        <is>
          <t>開く</t>
        </is>
      </c>
    </row>
    <row r="370">
      <c r="A370" s="2">
        <f>RANK(J370,$J$2:$J$489)</f>
        <v/>
      </c>
      <c r="B370" s="3" t="inlineStr">
        <is>
          <t>線・ポリライン編集</t>
        </is>
      </c>
      <c r="C370" s="3" t="inlineStr">
        <is>
          <t>-</t>
        </is>
      </c>
      <c r="D370" s="4" t="inlineStr">
        <is>
          <t>Obrys polilinii z szerokością</t>
        </is>
      </c>
      <c r="E370" s="4" t="inlineStr">
        <is>
          <t>幅付きポリラインの外形線を作成</t>
        </is>
      </c>
      <c r="F370" s="2" t="n">
        <v>11</v>
      </c>
      <c r="G370" s="2" t="n">
        <v>8</v>
      </c>
      <c r="H370" s="2" t="n">
        <v>7</v>
      </c>
      <c r="I370" s="2" t="n">
        <v>10</v>
      </c>
      <c r="J370" s="5">
        <f>SUM(F370:I370)</f>
        <v/>
      </c>
      <c r="K370" s="4" t="inlineStr">
        <is>
          <t>幅付きポリ外形</t>
        </is>
      </c>
      <c r="L370" s="3" t="inlineStr">
        <is>
          <t>ZWCAD Polska</t>
        </is>
      </c>
      <c r="M370" s="3" t="inlineStr">
        <is>
          <t>zwcad.pl</t>
        </is>
      </c>
      <c r="N370" s="6" t="inlineStr">
        <is>
          <t>開く</t>
        </is>
      </c>
    </row>
    <row r="371">
      <c r="A371" s="2">
        <f>RANK(J371,$J$2:$J$489)</f>
        <v/>
      </c>
      <c r="B371" s="3" t="inlineStr">
        <is>
          <t>線・ポリライン編集</t>
        </is>
      </c>
      <c r="C371" s="3" t="inlineStr">
        <is>
          <t>-</t>
        </is>
      </c>
      <c r="D371" s="4" t="inlineStr">
        <is>
          <t>Poly2Kreis</t>
        </is>
      </c>
      <c r="E371" s="4" t="inlineStr">
        <is>
          <t>ポリラインを外形径の円に置換</t>
        </is>
      </c>
      <c r="F371" s="2" t="n">
        <v>12</v>
      </c>
      <c r="G371" s="2" t="n">
        <v>9</v>
      </c>
      <c r="H371" s="2" t="n">
        <v>6</v>
      </c>
      <c r="I371" s="2" t="n">
        <v>9</v>
      </c>
      <c r="J371" s="5">
        <f>SUM(F371:I371)</f>
        <v/>
      </c>
      <c r="K371" s="4" t="inlineStr">
        <is>
          <t>ポリを円に置換</t>
        </is>
      </c>
      <c r="L371" s="3" t="inlineStr">
        <is>
          <t>CADwiesel</t>
        </is>
      </c>
      <c r="M371" s="3" t="inlineStr">
        <is>
          <t>CADwiesel</t>
        </is>
      </c>
      <c r="N371" s="6" t="inlineStr">
        <is>
          <t>開く</t>
        </is>
      </c>
    </row>
    <row r="372">
      <c r="A372" s="2">
        <f>RANK(J372,$J$2:$J$489)</f>
        <v/>
      </c>
      <c r="B372" s="3" t="inlineStr">
        <is>
          <t>構造・鉄骨・機械</t>
        </is>
      </c>
      <c r="C372" s="3" t="inlineStr">
        <is>
          <t>-</t>
        </is>
      </c>
      <c r="D372" s="4" t="inlineStr">
        <is>
          <t>Rdm6</t>
        </is>
      </c>
      <c r="E372" s="4" t="inlineStr">
        <is>
          <t>構造解析ソフトRDM6用に形状を書き出し</t>
        </is>
      </c>
      <c r="F372" s="2" t="n">
        <v>15</v>
      </c>
      <c r="G372" s="2" t="n">
        <v>10</v>
      </c>
      <c r="H372" s="2" t="n">
        <v>7</v>
      </c>
      <c r="I372" s="2" t="n">
        <v>4</v>
      </c>
      <c r="J372" s="5">
        <f>SUM(F372:I372)</f>
        <v/>
      </c>
      <c r="K372" s="4" t="inlineStr">
        <is>
          <t>RDM6連携は限定的</t>
        </is>
      </c>
      <c r="L372" s="3" t="inlineStr">
        <is>
          <t>chenhaibin (Pascal, gile ほか)</t>
        </is>
      </c>
      <c r="M372" s="3" t="inlineStr">
        <is>
          <t>GitHub: chenhaibin/Utilitaires_AutoLisp</t>
        </is>
      </c>
      <c r="N372" s="6" t="inlineStr">
        <is>
          <t>開く</t>
        </is>
      </c>
    </row>
    <row r="373">
      <c r="A373" s="2">
        <f>RANK(J373,$J$2:$J$489)</f>
        <v/>
      </c>
      <c r="B373" s="3" t="inlineStr">
        <is>
          <t>3D</t>
        </is>
      </c>
      <c r="C373" s="3" t="inlineStr">
        <is>
          <t>res_hel</t>
        </is>
      </c>
      <c r="D373" s="4" t="inlineStr">
        <is>
          <t>Res_hel</t>
        </is>
      </c>
      <c r="E373" s="4" t="inlineStr">
        <is>
          <t>選択図形のらせん配列を作成</t>
        </is>
      </c>
      <c r="F373" s="2" t="n">
        <v>14</v>
      </c>
      <c r="G373" s="2" t="n">
        <v>12</v>
      </c>
      <c r="H373" s="2" t="n">
        <v>4</v>
      </c>
      <c r="I373" s="2" t="n">
        <v>6</v>
      </c>
      <c r="J373" s="5">
        <f>SUM(F373:I373)</f>
        <v/>
      </c>
      <c r="K373" s="4" t="inlineStr">
        <is>
          <t>らせん配列は用途限定</t>
        </is>
      </c>
      <c r="L373" s="3" t="inlineStr">
        <is>
          <t>(gile)</t>
        </is>
      </c>
      <c r="M373" s="3" t="inlineStr">
        <is>
          <t>gileCAD</t>
        </is>
      </c>
      <c r="N373" s="6" t="inlineStr">
        <is>
          <t>開く</t>
        </is>
      </c>
    </row>
    <row r="374">
      <c r="A374" s="2">
        <f>RANK(J374,$J$2:$J$489)</f>
        <v/>
      </c>
      <c r="B374" s="3" t="inlineStr">
        <is>
          <t>文字・テキスト</t>
        </is>
      </c>
      <c r="C374" s="3" t="inlineStr">
        <is>
          <t>-</t>
        </is>
      </c>
      <c r="D374" s="4" t="inlineStr">
        <is>
          <t>ReText</t>
        </is>
      </c>
      <c r="E374" s="4" t="inlineStr">
        <is>
          <t>図面全体の特定文字列を一括置換</t>
        </is>
      </c>
      <c r="F374" s="2" t="n">
        <v>5</v>
      </c>
      <c r="G374" s="2" t="n">
        <v>5</v>
      </c>
      <c r="H374" s="2" t="n">
        <v>10</v>
      </c>
      <c r="I374" s="2" t="n">
        <v>16</v>
      </c>
      <c r="J374" s="5">
        <f>SUM(F374:I374)</f>
        <v/>
      </c>
      <c r="K374" s="4" t="inlineStr">
        <is>
          <t>FINDで代替</t>
        </is>
      </c>
      <c r="L374" s="3" t="inlineStr">
        <is>
          <t>CADwiesel</t>
        </is>
      </c>
      <c r="M374" s="3" t="inlineStr">
        <is>
          <t>CADwiesel</t>
        </is>
      </c>
      <c r="N374" s="6" t="inlineStr">
        <is>
          <t>開く</t>
        </is>
      </c>
    </row>
    <row r="375">
      <c r="A375" s="2">
        <f>RANK(J375,$J$2:$J$489)</f>
        <v/>
      </c>
      <c r="B375" s="3" t="inlineStr">
        <is>
          <t>作図</t>
        </is>
      </c>
      <c r="C375" s="3" t="inlineStr">
        <is>
          <t>-</t>
        </is>
      </c>
      <c r="D375" s="4" t="inlineStr">
        <is>
          <t>Rysowanie paraboli</t>
        </is>
      </c>
      <c r="E375" s="4" t="inlineStr">
        <is>
          <t>2点間にたるみ指定で放物線を作図</t>
        </is>
      </c>
      <c r="F375" s="2" t="n">
        <v>13</v>
      </c>
      <c r="G375" s="2" t="n">
        <v>10</v>
      </c>
      <c r="H375" s="2" t="n">
        <v>6</v>
      </c>
      <c r="I375" s="2" t="n">
        <v>7</v>
      </c>
      <c r="J375" s="5">
        <f>SUM(F375:I375)</f>
        <v/>
      </c>
      <c r="K375" s="4" t="inlineStr">
        <is>
          <t>たるみ放物線作図</t>
        </is>
      </c>
      <c r="L375" s="3" t="inlineStr">
        <is>
          <t>ZWCAD Polska</t>
        </is>
      </c>
      <c r="M375" s="3" t="inlineStr">
        <is>
          <t>zwcad.pl</t>
        </is>
      </c>
      <c r="N375" s="6" t="inlineStr">
        <is>
          <t>開く</t>
        </is>
      </c>
    </row>
    <row r="376">
      <c r="A376" s="2">
        <f>RANK(J376,$J$2:$J$489)</f>
        <v/>
      </c>
      <c r="B376" s="3" t="inlineStr">
        <is>
          <t>構造・鉄骨・機械</t>
        </is>
      </c>
      <c r="C376" s="3" t="inlineStr">
        <is>
          <t>-</t>
        </is>
      </c>
      <c r="D376" s="4" t="inlineStr">
        <is>
          <t>Weldline</t>
        </is>
      </c>
      <c r="E376" s="4" t="inlineStr">
        <is>
          <t>溶接記号の複合線種</t>
        </is>
      </c>
      <c r="F376" s="2" t="n">
        <v>12</v>
      </c>
      <c r="G376" s="2" t="n">
        <v>12</v>
      </c>
      <c r="H376" s="2" t="n">
        <v>6</v>
      </c>
      <c r="I376" s="2" t="n">
        <v>6</v>
      </c>
      <c r="J376" s="5">
        <f>SUM(F376:I376)</f>
        <v/>
      </c>
      <c r="K376" s="4" t="inlineStr">
        <is>
          <t>溶接記号線種</t>
        </is>
      </c>
      <c r="L376" s="3" t="inlineStr">
        <is>
          <t>kojacek</t>
        </is>
      </c>
      <c r="M376" s="3" t="inlineStr">
        <is>
          <t>kojacek.wordpress.com</t>
        </is>
      </c>
      <c r="N376" s="6" t="inlineStr">
        <is>
          <t>開く</t>
        </is>
      </c>
    </row>
    <row r="377">
      <c r="A377" s="2">
        <f>RANK(J377,$J$2:$J$489)</f>
        <v/>
      </c>
      <c r="B377" s="3" t="inlineStr">
        <is>
          <t>作図</t>
        </is>
      </c>
      <c r="C377" s="3" t="inlineStr">
        <is>
          <t>ovaloopt / ovoideemy / ovoideemn</t>
        </is>
      </c>
      <c r="D377" s="4" t="inlineStr">
        <is>
          <t>Óvalo / Ovoide</t>
        </is>
      </c>
      <c r="E377" s="4" t="inlineStr">
        <is>
          <t>長短軸から楕円近似の卵形・オーバルを作図</t>
        </is>
      </c>
      <c r="F377" s="2" t="n">
        <v>14</v>
      </c>
      <c r="G377" s="2" t="n">
        <v>11</v>
      </c>
      <c r="H377" s="2" t="n">
        <v>5</v>
      </c>
      <c r="I377" s="2" t="n">
        <v>6</v>
      </c>
      <c r="J377" s="5">
        <f>SUM(F377:I377)</f>
        <v/>
      </c>
      <c r="K377" s="4" t="inlineStr">
        <is>
          <t>オーバル作図</t>
        </is>
      </c>
      <c r="L377" s="3" t="inlineStr">
        <is>
          <t>J.A.M.G.P.A.</t>
        </is>
      </c>
      <c r="M377" s="3" t="inlineStr">
        <is>
          <t>jamgpa.com</t>
        </is>
      </c>
      <c r="N377" s="6" t="inlineStr">
        <is>
          <t>開く</t>
        </is>
      </c>
    </row>
    <row r="378">
      <c r="A378" s="2">
        <f>RANK(J378,$J$2:$J$489)</f>
        <v/>
      </c>
      <c r="B378" s="3" t="inlineStr">
        <is>
          <t>ブロック・属性</t>
        </is>
      </c>
      <c r="C378" s="3" t="inlineStr">
        <is>
          <t>-</t>
        </is>
      </c>
      <c r="D378" s="4" t="inlineStr">
        <is>
          <t>BlockRotate</t>
        </is>
      </c>
      <c r="E378" s="4" t="inlineStr">
        <is>
          <t>ブロックを180°回転（向き反転）</t>
        </is>
      </c>
      <c r="F378" s="2" t="n">
        <v>9</v>
      </c>
      <c r="G378" s="2" t="n">
        <v>6</v>
      </c>
      <c r="H378" s="2" t="n">
        <v>9</v>
      </c>
      <c r="I378" s="2" t="n">
        <v>11</v>
      </c>
      <c r="J378" s="5">
        <f>SUM(F378:I378)</f>
        <v/>
      </c>
      <c r="K378" s="4" t="inlineStr">
        <is>
          <t>180°回転</t>
        </is>
      </c>
      <c r="L378" s="3" t="inlineStr">
        <is>
          <t>Jörn Bosse</t>
        </is>
      </c>
      <c r="M378" s="3" t="inlineStr">
        <is>
          <t>Bosse Engineering</t>
        </is>
      </c>
      <c r="N378" s="6" t="inlineStr">
        <is>
          <t>開く</t>
        </is>
      </c>
    </row>
    <row r="379">
      <c r="A379" s="2">
        <f>RANK(J379,$J$2:$J$489)</f>
        <v/>
      </c>
      <c r="B379" s="3" t="inlineStr">
        <is>
          <t>3D</t>
        </is>
      </c>
      <c r="C379" s="3" t="inlineStr">
        <is>
          <t>poli2d3d / poli3d2d / conpo</t>
        </is>
      </c>
      <c r="D379" s="4" t="inlineStr">
        <is>
          <t>Converti poli2D/3D</t>
        </is>
      </c>
      <c r="E379" s="4" t="inlineStr">
        <is>
          <t>2D/3Dポリラインや線を相互変換</t>
        </is>
      </c>
      <c r="F379" s="2" t="n">
        <v>11</v>
      </c>
      <c r="G379" s="2" t="n">
        <v>7</v>
      </c>
      <c r="H379" s="2" t="n">
        <v>8</v>
      </c>
      <c r="I379" s="2" t="n">
        <v>9</v>
      </c>
      <c r="J379" s="5">
        <f>SUM(F379:I379)</f>
        <v/>
      </c>
      <c r="K379" s="4" t="inlineStr">
        <is>
          <t>2D/3Dポリ変換</t>
        </is>
      </c>
      <c r="L379" s="3" t="inlineStr">
        <is>
          <t>EmiCAD</t>
        </is>
      </c>
      <c r="M379" s="3" t="inlineStr">
        <is>
          <t>EmiLISP Free (emicad.it)</t>
        </is>
      </c>
      <c r="N379" s="6" t="inlineStr">
        <is>
          <t>開く</t>
        </is>
      </c>
    </row>
    <row r="380">
      <c r="A380" s="2">
        <f>RANK(J380,$J$2:$J$489)</f>
        <v/>
      </c>
      <c r="B380" s="3" t="inlineStr">
        <is>
          <t>設定・環境</t>
        </is>
      </c>
      <c r="C380" s="3" t="inlineStr">
        <is>
          <t>def</t>
        </is>
      </c>
      <c r="D380" s="4" t="inlineStr">
        <is>
          <t>DEF</t>
        </is>
      </c>
      <c r="E380" s="4" t="inlineStr">
        <is>
          <t>選択図形の画層・色等を現在設定にする</t>
        </is>
      </c>
      <c r="F380" s="2" t="n">
        <v>7</v>
      </c>
      <c r="G380" s="2" t="n">
        <v>5</v>
      </c>
      <c r="H380" s="2" t="n">
        <v>8</v>
      </c>
      <c r="I380" s="2" t="n">
        <v>15</v>
      </c>
      <c r="J380" s="5">
        <f>SUM(F380:I380)</f>
        <v/>
      </c>
      <c r="K380" s="4" t="inlineStr">
        <is>
          <t>標準のADDSELECTED等で代替</t>
        </is>
      </c>
      <c r="L380" s="3" t="inlineStr">
        <is>
          <t>Patrick_35</t>
        </is>
      </c>
      <c r="M380" s="3" t="inlineStr">
        <is>
          <t>CADxp (Patrick_35)</t>
        </is>
      </c>
      <c r="N380" s="6" t="inlineStr">
        <is>
          <t>開く</t>
        </is>
      </c>
    </row>
    <row r="381">
      <c r="A381" s="2">
        <f>RANK(J381,$J$2:$J$489)</f>
        <v/>
      </c>
      <c r="B381" s="3" t="inlineStr">
        <is>
          <t>画層</t>
        </is>
      </c>
      <c r="C381" s="3" t="inlineStr">
        <is>
          <t>-</t>
        </is>
      </c>
      <c r="D381" s="4" t="inlineStr">
        <is>
          <t>Dellayer</t>
        </is>
      </c>
      <c r="E381" s="4" t="inlineStr">
        <is>
          <t>画層を図形ごと削除</t>
        </is>
      </c>
      <c r="F381" s="2" t="n">
        <v>8</v>
      </c>
      <c r="G381" s="2" t="n">
        <v>5</v>
      </c>
      <c r="H381" s="2" t="n">
        <v>9</v>
      </c>
      <c r="I381" s="2" t="n">
        <v>13</v>
      </c>
      <c r="J381" s="5">
        <f>SUM(F381:I381)</f>
        <v/>
      </c>
      <c r="K381" s="4" t="inlineStr">
        <is>
          <t>LAYDELで代替</t>
        </is>
      </c>
      <c r="L381" s="3" t="inlineStr">
        <is>
          <t>CADwiesel</t>
        </is>
      </c>
      <c r="M381" s="3" t="inlineStr">
        <is>
          <t>CADwiesel</t>
        </is>
      </c>
      <c r="N381" s="6" t="inlineStr">
        <is>
          <t>開く</t>
        </is>
      </c>
    </row>
    <row r="382">
      <c r="A382" s="2">
        <f>RANK(J382,$J$2:$J$489)</f>
        <v/>
      </c>
      <c r="B382" s="3" t="inlineStr">
        <is>
          <t>設定・環境</t>
        </is>
      </c>
      <c r="C382" s="3" t="inlineStr">
        <is>
          <t>-</t>
        </is>
      </c>
      <c r="D382" s="4" t="inlineStr">
        <is>
          <t>Delxdata / Md_eed</t>
        </is>
      </c>
      <c r="E382" s="4" t="inlineStr">
        <is>
          <t>Xdata/EEDをマーク・削除</t>
        </is>
      </c>
      <c r="F382" s="2" t="n">
        <v>12</v>
      </c>
      <c r="G382" s="2" t="n">
        <v>7</v>
      </c>
      <c r="H382" s="2" t="n">
        <v>6</v>
      </c>
      <c r="I382" s="2" t="n">
        <v>10</v>
      </c>
      <c r="J382" s="5">
        <f>SUM(F382:I382)</f>
        <v/>
      </c>
      <c r="K382" s="4" t="inlineStr">
        <is>
          <t>Xdata削除</t>
        </is>
      </c>
      <c r="L382" s="3" t="inlineStr">
        <is>
          <t>CADwiesel</t>
        </is>
      </c>
      <c r="M382" s="3" t="inlineStr">
        <is>
          <t>CADwiesel</t>
        </is>
      </c>
      <c r="N382" s="6" t="inlineStr">
        <is>
          <t>開く</t>
        </is>
      </c>
    </row>
    <row r="383">
      <c r="A383" s="2">
        <f>RANK(J383,$J$2:$J$489)</f>
        <v/>
      </c>
      <c r="B383" s="3" t="inlineStr">
        <is>
          <t>作図</t>
        </is>
      </c>
      <c r="C383" s="3" t="inlineStr">
        <is>
          <t>elli</t>
        </is>
      </c>
      <c r="D383" s="4" t="inlineStr">
        <is>
          <t>Ellisse assi inclinati</t>
        </is>
      </c>
      <c r="E383" s="4" t="inlineStr">
        <is>
          <t>平行四辺形に内接する等角楕円を作図</t>
        </is>
      </c>
      <c r="F383" s="2" t="n">
        <v>13</v>
      </c>
      <c r="G383" s="2" t="n">
        <v>10</v>
      </c>
      <c r="H383" s="2" t="n">
        <v>6</v>
      </c>
      <c r="I383" s="2" t="n">
        <v>6</v>
      </c>
      <c r="J383" s="5">
        <f>SUM(F383:I383)</f>
        <v/>
      </c>
      <c r="K383" s="4" t="inlineStr">
        <is>
          <t>等角楕円作図</t>
        </is>
      </c>
      <c r="L383" s="3" t="inlineStr">
        <is>
          <t>EmiCAD</t>
        </is>
      </c>
      <c r="M383" s="3" t="inlineStr">
        <is>
          <t>EmiLISP Free (emicad.it)</t>
        </is>
      </c>
      <c r="N383" s="6" t="inlineStr">
        <is>
          <t>開く</t>
        </is>
      </c>
    </row>
    <row r="384">
      <c r="A384" s="2">
        <f>RANK(J384,$J$2:$J$489)</f>
        <v/>
      </c>
      <c r="B384" s="3" t="inlineStr">
        <is>
          <t>設定・環境</t>
        </is>
      </c>
      <c r="C384" s="3" t="inlineStr">
        <is>
          <t>groupsdelete</t>
        </is>
      </c>
      <c r="D384" s="4" t="inlineStr">
        <is>
          <t>GroupsDelete</t>
        </is>
      </c>
      <c r="E384" s="4" t="inlineStr">
        <is>
          <t>全グループを一括削除</t>
        </is>
      </c>
      <c r="F384" s="2" t="n">
        <v>12</v>
      </c>
      <c r="G384" s="2" t="n">
        <v>6</v>
      </c>
      <c r="H384" s="2" t="n">
        <v>6</v>
      </c>
      <c r="I384" s="2" t="n">
        <v>11</v>
      </c>
      <c r="J384" s="5">
        <f>SUM(F384:I384)</f>
        <v/>
      </c>
      <c r="K384" s="4" t="inlineStr">
        <is>
          <t>全グループ削除</t>
        </is>
      </c>
      <c r="L384" s="3" t="inlineStr">
        <is>
          <t>Jörn Bosse</t>
        </is>
      </c>
      <c r="M384" s="3" t="inlineStr">
        <is>
          <t>Bosse Engineering</t>
        </is>
      </c>
      <c r="N384" s="6" t="inlineStr">
        <is>
          <t>開く</t>
        </is>
      </c>
    </row>
    <row r="385">
      <c r="A385" s="2">
        <f>RANK(J385,$J$2:$J$489)</f>
        <v/>
      </c>
      <c r="B385" s="3" t="inlineStr">
        <is>
          <t>ハッチ・面積・長さ集計</t>
        </is>
      </c>
      <c r="C385" s="3" t="inlineStr">
        <is>
          <t>HAT</t>
        </is>
      </c>
      <c r="D385" s="4" t="inlineStr">
        <is>
          <t>HAT (hatch transparency)</t>
        </is>
      </c>
      <c r="E385" s="4" t="inlineStr">
        <is>
          <t>ハッチの透過度を素早く変更</t>
        </is>
      </c>
      <c r="F385" s="2" t="n">
        <v>10</v>
      </c>
      <c r="G385" s="2" t="n">
        <v>6</v>
      </c>
      <c r="H385" s="2" t="n">
        <v>8</v>
      </c>
      <c r="I385" s="2" t="n">
        <v>11</v>
      </c>
      <c r="J385" s="5">
        <f>SUM(F385:I385)</f>
        <v/>
      </c>
      <c r="K385" s="4" t="inlineStr">
        <is>
          <t>ハッチ透過変更</t>
        </is>
      </c>
      <c r="L385" s="3" t="inlineStr">
        <is>
          <t>kojacek</t>
        </is>
      </c>
      <c r="M385" s="3" t="inlineStr">
        <is>
          <t>kojacek.wordpress.com</t>
        </is>
      </c>
      <c r="N385" s="6" t="inlineStr">
        <is>
          <t>開く</t>
        </is>
      </c>
    </row>
    <row r="386">
      <c r="A386" s="2">
        <f>RANK(J386,$J$2:$J$489)</f>
        <v/>
      </c>
      <c r="B386" s="3" t="inlineStr">
        <is>
          <t>ブロック・属性</t>
        </is>
      </c>
      <c r="C386" s="3" t="inlineStr">
        <is>
          <t>-</t>
        </is>
      </c>
      <c r="D386" s="4" t="inlineStr">
        <is>
          <t>Lgtoblock</t>
        </is>
      </c>
      <c r="E386" s="4" t="inlineStr">
        <is>
          <t>画層上の全図形を1つのブロックに</t>
        </is>
      </c>
      <c r="F386" s="2" t="n">
        <v>10</v>
      </c>
      <c r="G386" s="2" t="n">
        <v>6</v>
      </c>
      <c r="H386" s="2" t="n">
        <v>8</v>
      </c>
      <c r="I386" s="2" t="n">
        <v>11</v>
      </c>
      <c r="J386" s="5">
        <f>SUM(F386:I386)</f>
        <v/>
      </c>
      <c r="K386" s="4" t="inlineStr">
        <is>
          <t>画層単位ブロック化</t>
        </is>
      </c>
      <c r="L386" s="3" t="inlineStr">
        <is>
          <t>CADwiesel</t>
        </is>
      </c>
      <c r="M386" s="3" t="inlineStr">
        <is>
          <t>CADwiesel</t>
        </is>
      </c>
      <c r="N386" s="6" t="inlineStr">
        <is>
          <t>開く</t>
        </is>
      </c>
    </row>
    <row r="387">
      <c r="A387" s="2">
        <f>RANK(J387,$J$2:$J$489)</f>
        <v/>
      </c>
      <c r="B387" s="3" t="inlineStr">
        <is>
          <t>LISP開発用の部品</t>
        </is>
      </c>
      <c r="C387" s="3" t="inlineStr">
        <is>
          <t>-</t>
        </is>
      </c>
      <c r="D387" s="4" t="inlineStr">
        <is>
          <t>Ms_lib</t>
        </is>
      </c>
      <c r="E387" s="4" t="inlineStr">
        <is>
          <t>INIファイル読み書き関数</t>
        </is>
      </c>
      <c r="F387" s="2" t="n">
        <v>12</v>
      </c>
      <c r="G387" s="2" t="n">
        <v>8</v>
      </c>
      <c r="H387" s="2" t="n">
        <v>3</v>
      </c>
      <c r="I387" s="2" t="n">
        <v>12</v>
      </c>
      <c r="J387" s="5">
        <f>SUM(F387:I387)</f>
        <v/>
      </c>
      <c r="K387" s="4" t="inlineStr">
        <is>
          <t>INI入出力関数</t>
        </is>
      </c>
      <c r="L387" s="3" t="inlineStr">
        <is>
          <t>CADwiesel</t>
        </is>
      </c>
      <c r="M387" s="3" t="inlineStr">
        <is>
          <t>CADwiesel</t>
        </is>
      </c>
      <c r="N387" s="6" t="inlineStr">
        <is>
          <t>開く</t>
        </is>
      </c>
    </row>
    <row r="388">
      <c r="A388" s="2">
        <f>RANK(J388,$J$2:$J$489)</f>
        <v/>
      </c>
      <c r="B388" s="3" t="inlineStr">
        <is>
          <t>線・ポリライン編集</t>
        </is>
      </c>
      <c r="C388" s="3" t="inlineStr">
        <is>
          <t>-</t>
        </is>
      </c>
      <c r="D388" s="4" t="inlineStr">
        <is>
          <t>pl-dopp-vtx / pl-delvtx</t>
        </is>
      </c>
      <c r="E388" s="4" t="inlineStr">
        <is>
          <t>ポリラインの重複頂点・指定頂点を削除</t>
        </is>
      </c>
      <c r="F388" s="2" t="n">
        <v>8</v>
      </c>
      <c r="G388" s="2" t="n">
        <v>6</v>
      </c>
      <c r="H388" s="2" t="n">
        <v>8</v>
      </c>
      <c r="I388" s="2" t="n">
        <v>13</v>
      </c>
      <c r="J388" s="5">
        <f>SUM(F388:I388)</f>
        <v/>
      </c>
      <c r="K388" s="4" t="inlineStr">
        <is>
          <t>OVERKILL等で代替</t>
        </is>
      </c>
      <c r="L388" s="3" t="inlineStr">
        <is>
          <t>CADwiesel</t>
        </is>
      </c>
      <c r="M388" s="3" t="inlineStr">
        <is>
          <t>CADwiesel</t>
        </is>
      </c>
      <c r="N388" s="6" t="inlineStr">
        <is>
          <t>開く</t>
        </is>
      </c>
    </row>
    <row r="389">
      <c r="A389" s="2">
        <f>RANK(J389,$J$2:$J$489)</f>
        <v/>
      </c>
      <c r="B389" s="3" t="inlineStr">
        <is>
          <t>線・ポリライン編集</t>
        </is>
      </c>
      <c r="C389" s="3" t="inlineStr">
        <is>
          <t>cleanpoli</t>
        </is>
      </c>
      <c r="D389" s="4" t="inlineStr">
        <is>
          <t>Pulisci vertici sovrapposti</t>
        </is>
      </c>
      <c r="E389" s="4" t="inlineStr">
        <is>
          <t>ポリラインの重複頂点・線分を削除</t>
        </is>
      </c>
      <c r="F389" s="2" t="n">
        <v>8</v>
      </c>
      <c r="G389" s="2" t="n">
        <v>6</v>
      </c>
      <c r="H389" s="2" t="n">
        <v>8</v>
      </c>
      <c r="I389" s="2" t="n">
        <v>13</v>
      </c>
      <c r="J389" s="5">
        <f>SUM(F389:I389)</f>
        <v/>
      </c>
      <c r="K389" s="4" t="inlineStr">
        <is>
          <t>OVERKILLで代替</t>
        </is>
      </c>
      <c r="L389" s="3" t="inlineStr">
        <is>
          <t>EmiCAD</t>
        </is>
      </c>
      <c r="M389" s="3" t="inlineStr">
        <is>
          <t>EmiLISP Free (emicad.it)</t>
        </is>
      </c>
      <c r="N389" s="6" t="inlineStr">
        <is>
          <t>開く</t>
        </is>
      </c>
    </row>
    <row r="390">
      <c r="A390" s="2">
        <f>RANK(J390,$J$2:$J$489)</f>
        <v/>
      </c>
      <c r="B390" s="3" t="inlineStr">
        <is>
          <t>線・ポリライン編集</t>
        </is>
      </c>
      <c r="C390" s="3" t="inlineStr">
        <is>
          <t>sl</t>
        </is>
      </c>
      <c r="D390" s="4" t="inlineStr">
        <is>
          <t>SL</t>
        </is>
      </c>
      <c r="E390" s="4" t="inlineStr">
        <is>
          <t>BREAKで切った部分を現在画層の新しい線で置換</t>
        </is>
      </c>
      <c r="F390" s="2" t="n">
        <v>10</v>
      </c>
      <c r="G390" s="2" t="n">
        <v>8</v>
      </c>
      <c r="H390" s="2" t="n">
        <v>7</v>
      </c>
      <c r="I390" s="2" t="n">
        <v>10</v>
      </c>
      <c r="J390" s="5">
        <f>SUM(F390:I390)</f>
        <v/>
      </c>
      <c r="K390" s="4" t="inlineStr">
        <is>
          <t>切断部を線で置換</t>
        </is>
      </c>
      <c r="L390" s="3" t="inlineStr">
        <is>
          <t>Christoph Spiegel</t>
        </is>
      </c>
      <c r="M390" s="3" t="inlineStr">
        <is>
          <t>CAD-Spiegel</t>
        </is>
      </c>
      <c r="N390" s="6" t="inlineStr">
        <is>
          <t>開く</t>
        </is>
      </c>
    </row>
    <row r="391">
      <c r="A391" s="2">
        <f>RANK(J391,$J$2:$J$489)</f>
        <v/>
      </c>
      <c r="B391" s="3" t="inlineStr">
        <is>
          <t>線・ポリライン編集</t>
        </is>
      </c>
      <c r="C391" s="3" t="inlineStr">
        <is>
          <t>-</t>
        </is>
      </c>
      <c r="D391" s="4" t="inlineStr">
        <is>
          <t>Spline2Poly</t>
        </is>
      </c>
      <c r="E391" s="4" t="inlineStr">
        <is>
          <t>スプラインを精度指定で3Dポリラインに変換</t>
        </is>
      </c>
      <c r="F391" s="2" t="n">
        <v>10</v>
      </c>
      <c r="G391" s="2" t="n">
        <v>8</v>
      </c>
      <c r="H391" s="2" t="n">
        <v>8</v>
      </c>
      <c r="I391" s="2" t="n">
        <v>9</v>
      </c>
      <c r="J391" s="5">
        <f>SUM(F391:I391)</f>
        <v/>
      </c>
      <c r="K391" s="4" t="inlineStr">
        <is>
          <t>SPLINEDIT変換で代替</t>
        </is>
      </c>
      <c r="L391" s="3" t="inlineStr">
        <is>
          <t>CADwiesel</t>
        </is>
      </c>
      <c r="M391" s="3" t="inlineStr">
        <is>
          <t>CADwiesel</t>
        </is>
      </c>
      <c r="N391" s="6" t="inlineStr">
        <is>
          <t>開く</t>
        </is>
      </c>
    </row>
    <row r="392">
      <c r="A392" s="2">
        <f>RANK(J392,$J$2:$J$489)</f>
        <v/>
      </c>
      <c r="B392" s="3" t="inlineStr">
        <is>
          <t>LISP開発用の部品</t>
        </is>
      </c>
      <c r="C392" s="3" t="inlineStr">
        <is>
          <t>-</t>
        </is>
      </c>
      <c r="D392" s="4" t="inlineStr">
        <is>
          <t>SYS_*</t>
        </is>
      </c>
      <c r="E392" s="4" t="inlineStr">
        <is>
          <t>UNDO制御・ファイル読書き・フォント/日時/エラー処理関数群</t>
        </is>
      </c>
      <c r="F392" s="2" t="n">
        <v>10</v>
      </c>
      <c r="G392" s="2" t="n">
        <v>7</v>
      </c>
      <c r="H392" s="2" t="n">
        <v>4</v>
      </c>
      <c r="I392" s="2" t="n">
        <v>14</v>
      </c>
      <c r="J392" s="5">
        <f>SUM(F392:I392)</f>
        <v/>
      </c>
      <c r="K392" s="4" t="inlineStr">
        <is>
          <t>UNDO/エラー処理関数</t>
        </is>
      </c>
      <c r="L392" s="3" t="inlineStr">
        <is>
          <t>CADPL (kojacek, kruuger et al.)</t>
        </is>
      </c>
      <c r="M392" s="3" t="inlineStr">
        <is>
          <t>GitHub: kruuger/CADPL-Pack-v1</t>
        </is>
      </c>
      <c r="N392" s="6" t="inlineStr">
        <is>
          <t>開く</t>
        </is>
      </c>
    </row>
    <row r="393">
      <c r="A393" s="2">
        <f>RANK(J393,$J$2:$J$489)</f>
        <v/>
      </c>
      <c r="B393" s="3" t="inlineStr">
        <is>
          <t>3D</t>
        </is>
      </c>
      <c r="C393" s="3" t="inlineStr">
        <is>
          <t>-</t>
        </is>
      </c>
      <c r="D393" s="4" t="inlineStr">
        <is>
          <t>Text 2 3DSOLID</t>
        </is>
      </c>
      <c r="E393" s="4" t="inlineStr">
        <is>
          <t>文字を押し出しソリッドに変換</t>
        </is>
      </c>
      <c r="F393" s="2" t="n">
        <v>13</v>
      </c>
      <c r="G393" s="2" t="n">
        <v>11</v>
      </c>
      <c r="H393" s="2" t="n">
        <v>5</v>
      </c>
      <c r="I393" s="2" t="n">
        <v>6</v>
      </c>
      <c r="J393" s="5">
        <f>SUM(F393:I393)</f>
        <v/>
      </c>
      <c r="K393" s="4" t="inlineStr">
        <is>
          <t>文字を立体化</t>
        </is>
      </c>
      <c r="L393" s="3" t="inlineStr">
        <is>
          <t>kojacek</t>
        </is>
      </c>
      <c r="M393" s="3" t="inlineStr">
        <is>
          <t>kojacek.wordpress.com</t>
        </is>
      </c>
      <c r="N393" s="6" t="inlineStr">
        <is>
          <t>開く</t>
        </is>
      </c>
    </row>
    <row r="394">
      <c r="A394" s="2">
        <f>RANK(J394,$J$2:$J$489)</f>
        <v/>
      </c>
      <c r="B394" s="3" t="inlineStr">
        <is>
          <t>文字・テキスト</t>
        </is>
      </c>
      <c r="C394" s="3" t="inlineStr">
        <is>
          <t>-</t>
        </is>
      </c>
      <c r="D394" s="4" t="inlineStr">
        <is>
          <t>TextDoppeltUnterstrichen</t>
        </is>
      </c>
      <c r="E394" s="4" t="inlineStr">
        <is>
          <t>測量図用に数字を二重下線化</t>
        </is>
      </c>
      <c r="F394" s="2" t="n">
        <v>14</v>
      </c>
      <c r="G394" s="2" t="n">
        <v>10</v>
      </c>
      <c r="H394" s="2" t="n">
        <v>6</v>
      </c>
      <c r="I394" s="2" t="n">
        <v>5</v>
      </c>
      <c r="J394" s="5">
        <f>SUM(F394:I394)</f>
        <v/>
      </c>
      <c r="K394" s="4" t="inlineStr">
        <is>
          <t>測量図の二重下線</t>
        </is>
      </c>
      <c r="L394" s="3" t="inlineStr">
        <is>
          <t>Jörn Bosse</t>
        </is>
      </c>
      <c r="M394" s="3" t="inlineStr">
        <is>
          <t>Bosse Engineering</t>
        </is>
      </c>
      <c r="N394" s="6" t="inlineStr">
        <is>
          <t>開く</t>
        </is>
      </c>
    </row>
    <row r="395">
      <c r="A395" s="2">
        <f>RANK(J395,$J$2:$J$489)</f>
        <v/>
      </c>
      <c r="B395" s="3" t="inlineStr">
        <is>
          <t>3D</t>
        </is>
      </c>
      <c r="C395" s="3" t="inlineStr">
        <is>
          <t>-</t>
        </is>
      </c>
      <c r="D395" s="4" t="inlineStr">
        <is>
          <t>2D→3D Polyline</t>
        </is>
      </c>
      <c r="E395" s="4" t="inlineStr">
        <is>
          <t>2Dポリラインを3Dポリラインに変換</t>
        </is>
      </c>
      <c r="F395" s="2" t="n">
        <v>11</v>
      </c>
      <c r="G395" s="2" t="n">
        <v>7</v>
      </c>
      <c r="H395" s="2" t="n">
        <v>7</v>
      </c>
      <c r="I395" s="2" t="n">
        <v>9</v>
      </c>
      <c r="J395" s="5">
        <f>SUM(F395:I395)</f>
        <v/>
      </c>
      <c r="K395" s="4" t="inlineStr">
        <is>
          <t>2D→3Dポリ変換</t>
        </is>
      </c>
      <c r="L395" s="3" t="inlineStr">
        <is>
          <t>çizim okulu</t>
        </is>
      </c>
      <c r="M395" s="3" t="inlineStr">
        <is>
          <t>Çizim Okulu</t>
        </is>
      </c>
      <c r="N395" s="6" t="inlineStr">
        <is>
          <t>開く</t>
        </is>
      </c>
    </row>
    <row r="396">
      <c r="A396" s="2">
        <f>RANK(J396,$J$2:$J$489)</f>
        <v/>
      </c>
      <c r="B396" s="3" t="inlineStr">
        <is>
          <t>設定・環境</t>
        </is>
      </c>
      <c r="C396" s="3" t="inlineStr">
        <is>
          <t>adprop</t>
        </is>
      </c>
      <c r="D396" s="4" t="inlineStr">
        <is>
          <t>Adotta proprietà oggetto</t>
        </is>
      </c>
      <c r="E396" s="4" t="inlineStr">
        <is>
          <t>選択図形の画層・色・線種・各スタイル等を現在設定に</t>
        </is>
      </c>
      <c r="F396" s="2" t="n">
        <v>7</v>
      </c>
      <c r="G396" s="2" t="n">
        <v>5</v>
      </c>
      <c r="H396" s="2" t="n">
        <v>8</v>
      </c>
      <c r="I396" s="2" t="n">
        <v>14</v>
      </c>
      <c r="J396" s="5">
        <f>SUM(F396:I396)</f>
        <v/>
      </c>
      <c r="K396" s="4" t="inlineStr">
        <is>
          <t>ADDSELECTED等で代替</t>
        </is>
      </c>
      <c r="L396" s="3" t="inlineStr">
        <is>
          <t>EmiCAD</t>
        </is>
      </c>
      <c r="M396" s="3" t="inlineStr">
        <is>
          <t>EmiLISP Free (emicad.it)</t>
        </is>
      </c>
      <c r="N396" s="6" t="inlineStr">
        <is>
          <t>開く</t>
        </is>
      </c>
    </row>
    <row r="397">
      <c r="A397" s="2">
        <f>RANK(J397,$J$2:$J$489)</f>
        <v/>
      </c>
      <c r="B397" s="3" t="inlineStr">
        <is>
          <t>ブロック・属性</t>
        </is>
      </c>
      <c r="C397" s="3" t="inlineStr">
        <is>
          <t>-</t>
        </is>
      </c>
      <c r="D397" s="4" t="inlineStr">
        <is>
          <t>Bl-Txt</t>
        </is>
      </c>
      <c r="E397" s="4" t="inlineStr">
        <is>
          <t>全ブロック参照をハンドル・画層付きでテキスト出力</t>
        </is>
      </c>
      <c r="F397" s="2" t="n">
        <v>10</v>
      </c>
      <c r="G397" s="2" t="n">
        <v>6</v>
      </c>
      <c r="H397" s="2" t="n">
        <v>7</v>
      </c>
      <c r="I397" s="2" t="n">
        <v>11</v>
      </c>
      <c r="J397" s="5">
        <f>SUM(F397:I397)</f>
        <v/>
      </c>
      <c r="K397" s="4" t="inlineStr">
        <is>
          <t>ブロック参照一覧出力</t>
        </is>
      </c>
      <c r="L397" s="3" t="inlineStr">
        <is>
          <t>CADwiesel</t>
        </is>
      </c>
      <c r="M397" s="3" t="inlineStr">
        <is>
          <t>CADwiesel</t>
        </is>
      </c>
      <c r="N397" s="6" t="inlineStr">
        <is>
          <t>開く</t>
        </is>
      </c>
    </row>
    <row r="398">
      <c r="A398" s="2">
        <f>RANK(J398,$J$2:$J$489)</f>
        <v/>
      </c>
      <c r="B398" s="3" t="inlineStr">
        <is>
          <t>設定・環境</t>
        </is>
      </c>
      <c r="C398" s="3" t="inlineStr">
        <is>
          <t>-</t>
        </is>
      </c>
      <c r="D398" s="4" t="inlineStr">
        <is>
          <t>DDSysvar (Jeremiah Daniels)</t>
        </is>
      </c>
      <c r="E398" s="4" t="inlineStr">
        <is>
          <t>多数のシステム変数をダイアログで編集</t>
        </is>
      </c>
      <c r="F398" s="2" t="n">
        <v>11</v>
      </c>
      <c r="G398" s="2" t="n">
        <v>7</v>
      </c>
      <c r="H398" s="2" t="n">
        <v>5</v>
      </c>
      <c r="I398" s="2" t="n">
        <v>11</v>
      </c>
      <c r="J398" s="5">
        <f>SUM(F398:I398)</f>
        <v/>
      </c>
      <c r="K398" s="4" t="inlineStr">
        <is>
          <t>システム変数ダイアログ</t>
        </is>
      </c>
      <c r="L398" s="3" t="inlineStr">
        <is>
          <t>cadsite.be (Julien e.a.)</t>
        </is>
      </c>
      <c r="M398" s="3" t="inlineStr">
        <is>
          <t>juliens cadsite (BE)</t>
        </is>
      </c>
      <c r="N398" s="6" t="inlineStr">
        <is>
          <t>開く</t>
        </is>
      </c>
    </row>
    <row r="399">
      <c r="A399" s="2">
        <f>RANK(J399,$J$2:$J$489)</f>
        <v/>
      </c>
      <c r="B399" s="3" t="inlineStr">
        <is>
          <t>設定・環境</t>
        </is>
      </c>
      <c r="C399" s="3" t="inlineStr">
        <is>
          <t>-</t>
        </is>
      </c>
      <c r="D399" s="4" t="inlineStr">
        <is>
          <t>Delete_Sortents</t>
        </is>
      </c>
      <c r="E399" s="4" t="inlineStr">
        <is>
          <t>保存された描画順情報を全削除</t>
        </is>
      </c>
      <c r="F399" s="2" t="n">
        <v>12</v>
      </c>
      <c r="G399" s="2" t="n">
        <v>7</v>
      </c>
      <c r="H399" s="2" t="n">
        <v>5</v>
      </c>
      <c r="I399" s="2" t="n">
        <v>10</v>
      </c>
      <c r="J399" s="5">
        <f>SUM(F399:I399)</f>
        <v/>
      </c>
      <c r="K399" s="4" t="inlineStr">
        <is>
          <t>描画順情報の削除</t>
        </is>
      </c>
      <c r="L399" s="3" t="inlineStr">
        <is>
          <t>CADwiesel</t>
        </is>
      </c>
      <c r="M399" s="3" t="inlineStr">
        <is>
          <t>CADwiesel</t>
        </is>
      </c>
      <c r="N399" s="6" t="inlineStr">
        <is>
          <t>開く</t>
        </is>
      </c>
    </row>
    <row r="400">
      <c r="A400" s="2">
        <f>RANK(J400,$J$2:$J$489)</f>
        <v/>
      </c>
      <c r="B400" s="3" t="inlineStr">
        <is>
          <t>LISP開発用の部品</t>
        </is>
      </c>
      <c r="C400" s="3" t="inlineStr">
        <is>
          <t>-</t>
        </is>
      </c>
      <c r="D400" s="4" t="inlineStr">
        <is>
          <t>ENT_* / DXF_*</t>
        </is>
      </c>
      <c r="E400" s="4" t="inlineStr">
        <is>
          <t>entmakeで線・円・文字・表・ブロック等を作る関数群</t>
        </is>
      </c>
      <c r="F400" s="2" t="n">
        <v>10</v>
      </c>
      <c r="G400" s="2" t="n">
        <v>7</v>
      </c>
      <c r="H400" s="2" t="n">
        <v>4</v>
      </c>
      <c r="I400" s="2" t="n">
        <v>13</v>
      </c>
      <c r="J400" s="5">
        <f>SUM(F400:I400)</f>
        <v/>
      </c>
      <c r="K400" s="4" t="inlineStr">
        <is>
          <t>entmake関数群</t>
        </is>
      </c>
      <c r="L400" s="3" t="inlineStr">
        <is>
          <t>CADPL (kojacek, kruuger et al.)</t>
        </is>
      </c>
      <c r="M400" s="3" t="inlineStr">
        <is>
          <t>GitHub: kruuger/CADPL-Pack-v1</t>
        </is>
      </c>
      <c r="N400" s="6" t="inlineStr">
        <is>
          <t>開く</t>
        </is>
      </c>
    </row>
    <row r="401">
      <c r="A401" s="2">
        <f>RANK(J401,$J$2:$J$489)</f>
        <v/>
      </c>
      <c r="B401" s="3" t="inlineStr">
        <is>
          <t>印刷・レイアウト・図枠</t>
        </is>
      </c>
      <c r="C401" s="3" t="inlineStr">
        <is>
          <t>-</t>
        </is>
      </c>
      <c r="D401" s="4" t="inlineStr">
        <is>
          <t>Escalar Ventanas en Espacio Papel</t>
        </is>
      </c>
      <c r="E401" s="4" t="inlineStr">
        <is>
          <t>ペーパー空間ビューポートの尺度設定（有料）</t>
        </is>
      </c>
      <c r="F401" s="2" t="n">
        <v>8</v>
      </c>
      <c r="G401" s="2" t="n">
        <v>7</v>
      </c>
      <c r="H401" s="2" t="n">
        <v>8</v>
      </c>
      <c r="I401" s="2" t="n">
        <v>11</v>
      </c>
      <c r="J401" s="5">
        <f>SUM(F401:I401)</f>
        <v/>
      </c>
      <c r="K401" s="4" t="inlineStr">
        <is>
          <t>VP尺度（有料）</t>
        </is>
      </c>
      <c r="L401" s="3" t="inlineStr">
        <is>
          <t>Andrés S. del Toro</t>
        </is>
      </c>
      <c r="M401" s="3" t="inlineStr">
        <is>
          <t>andresdeltoro.es</t>
        </is>
      </c>
      <c r="N401" s="6" t="inlineStr">
        <is>
          <t>開く</t>
        </is>
      </c>
    </row>
    <row r="402">
      <c r="A402" s="2">
        <f>RANK(J402,$J$2:$J$489)</f>
        <v/>
      </c>
      <c r="B402" s="3" t="inlineStr">
        <is>
          <t>設定・環境</t>
        </is>
      </c>
      <c r="C402" s="3" t="inlineStr">
        <is>
          <t>-</t>
        </is>
      </c>
      <c r="D402" s="4" t="inlineStr">
        <is>
          <t>Farben</t>
        </is>
      </c>
      <c r="E402" s="4" t="inlineStr">
        <is>
          <t>図面で使われている色の一覧</t>
        </is>
      </c>
      <c r="F402" s="2" t="n">
        <v>12</v>
      </c>
      <c r="G402" s="2" t="n">
        <v>7</v>
      </c>
      <c r="H402" s="2" t="n">
        <v>5</v>
      </c>
      <c r="I402" s="2" t="n">
        <v>10</v>
      </c>
      <c r="J402" s="5">
        <f>SUM(F402:I402)</f>
        <v/>
      </c>
      <c r="K402" s="4" t="inlineStr">
        <is>
          <t>使用色一覧</t>
        </is>
      </c>
      <c r="L402" s="3" t="inlineStr">
        <is>
          <t>CADwiesel</t>
        </is>
      </c>
      <c r="M402" s="3" t="inlineStr">
        <is>
          <t>CADwiesel</t>
        </is>
      </c>
      <c r="N402" s="6" t="inlineStr">
        <is>
          <t>開く</t>
        </is>
      </c>
    </row>
    <row r="403">
      <c r="A403" s="2">
        <f>RANK(J403,$J$2:$J$489)</f>
        <v/>
      </c>
      <c r="B403" s="3" t="inlineStr">
        <is>
          <t>ハッチ・面積・長さ集計</t>
        </is>
      </c>
      <c r="C403" s="3" t="inlineStr">
        <is>
          <t>ingombro</t>
        </is>
      </c>
      <c r="D403" s="4" t="inlineStr">
        <is>
          <t>Ingombro</t>
        </is>
      </c>
      <c r="E403" s="4" t="inlineStr">
        <is>
          <t>ポリライン/リージョンの外形寸法(XY幅)を算出</t>
        </is>
      </c>
      <c r="F403" s="2" t="n">
        <v>10</v>
      </c>
      <c r="G403" s="2" t="n">
        <v>7</v>
      </c>
      <c r="H403" s="2" t="n">
        <v>6</v>
      </c>
      <c r="I403" s="2" t="n">
        <v>11</v>
      </c>
      <c r="J403" s="5">
        <f>SUM(F403:I403)</f>
        <v/>
      </c>
      <c r="K403" s="4" t="inlineStr">
        <is>
          <t>外形寸法算出</t>
        </is>
      </c>
      <c r="L403" s="3" t="inlineStr">
        <is>
          <t>EmiCAD</t>
        </is>
      </c>
      <c r="M403" s="3" t="inlineStr">
        <is>
          <t>EmiLISP Free (emicad.it)</t>
        </is>
      </c>
      <c r="N403" s="6" t="inlineStr">
        <is>
          <t>開く</t>
        </is>
      </c>
    </row>
    <row r="404">
      <c r="A404" s="2">
        <f>RANK(J404,$J$2:$J$489)</f>
        <v/>
      </c>
      <c r="B404" s="3" t="inlineStr">
        <is>
          <t>構造・鉄骨・機械</t>
        </is>
      </c>
      <c r="C404" s="3" t="inlineStr">
        <is>
          <t>-</t>
        </is>
      </c>
      <c r="D404" s="4" t="inlineStr">
        <is>
          <t>Koła zębate</t>
        </is>
      </c>
      <c r="E404" s="4" t="inlineStr">
        <is>
          <t>歯車を作図しプロパティで編集</t>
        </is>
      </c>
      <c r="F404" s="2" t="n">
        <v>13</v>
      </c>
      <c r="G404" s="2" t="n">
        <v>11</v>
      </c>
      <c r="H404" s="2" t="n">
        <v>5</v>
      </c>
      <c r="I404" s="2" t="n">
        <v>5</v>
      </c>
      <c r="J404" s="5">
        <f>SUM(F404:I404)</f>
        <v/>
      </c>
      <c r="K404" s="4" t="inlineStr">
        <is>
          <t>歯車作図</t>
        </is>
      </c>
      <c r="L404" s="3" t="inlineStr">
        <is>
          <t>ZWCAD Polska</t>
        </is>
      </c>
      <c r="M404" s="3" t="inlineStr">
        <is>
          <t>zwcad.pl</t>
        </is>
      </c>
      <c r="N404" s="6" t="inlineStr">
        <is>
          <t>開く</t>
        </is>
      </c>
    </row>
    <row r="405">
      <c r="A405" s="2">
        <f>RANK(J405,$J$2:$J$489)</f>
        <v/>
      </c>
      <c r="B405" s="3" t="inlineStr">
        <is>
          <t>画層</t>
        </is>
      </c>
      <c r="C405" s="3" t="inlineStr">
        <is>
          <t>-</t>
        </is>
      </c>
      <c r="D405" s="4" t="inlineStr">
        <is>
          <t>Layblaet</t>
        </is>
      </c>
      <c r="E405" s="4" t="inlineStr">
        <is>
          <t>画層を1つずつ前後にめくって表示確認</t>
        </is>
      </c>
      <c r="F405" s="2" t="n">
        <v>7</v>
      </c>
      <c r="G405" s="2" t="n">
        <v>8</v>
      </c>
      <c r="H405" s="2" t="n">
        <v>7</v>
      </c>
      <c r="I405" s="2" t="n">
        <v>12</v>
      </c>
      <c r="J405" s="5">
        <f>SUM(F405:I405)</f>
        <v/>
      </c>
      <c r="K405" s="4" t="inlineStr">
        <is>
          <t>LAYWALKで代替</t>
        </is>
      </c>
      <c r="L405" s="3" t="inlineStr">
        <is>
          <t>CADwiesel</t>
        </is>
      </c>
      <c r="M405" s="3" t="inlineStr">
        <is>
          <t>CADwiesel</t>
        </is>
      </c>
      <c r="N405" s="6" t="inlineStr">
        <is>
          <t>開く</t>
        </is>
      </c>
    </row>
    <row r="406">
      <c r="A406" s="2">
        <f>RANK(J406,$J$2:$J$489)</f>
        <v/>
      </c>
      <c r="B406" s="3" t="inlineStr">
        <is>
          <t>画層</t>
        </is>
      </c>
      <c r="C406" s="3" t="inlineStr">
        <is>
          <t>-</t>
        </is>
      </c>
      <c r="D406" s="4" t="inlineStr">
        <is>
          <t>LayerSorter</t>
        </is>
      </c>
      <c r="E406" s="4" t="inlineStr">
        <is>
          <t>画層を表示順に並べ替え（有料）</t>
        </is>
      </c>
      <c r="F406" s="2" t="n">
        <v>12</v>
      </c>
      <c r="G406" s="2" t="n">
        <v>7</v>
      </c>
      <c r="H406" s="2" t="n">
        <v>5</v>
      </c>
      <c r="I406" s="2" t="n">
        <v>10</v>
      </c>
      <c r="J406" s="5">
        <f>SUM(F406:I406)</f>
        <v/>
      </c>
      <c r="K406" s="4" t="inlineStr">
        <is>
          <t>画層並替（有料）</t>
        </is>
      </c>
      <c r="L406" s="3" t="inlineStr">
        <is>
          <t>CADwiesel</t>
        </is>
      </c>
      <c r="M406" s="3" t="inlineStr">
        <is>
          <t>CADwiesel</t>
        </is>
      </c>
      <c r="N406" s="6" t="inlineStr">
        <is>
          <t>開く</t>
        </is>
      </c>
    </row>
    <row r="407">
      <c r="A407" s="2">
        <f>RANK(J407,$J$2:$J$489)</f>
        <v/>
      </c>
      <c r="B407" s="3" t="inlineStr">
        <is>
          <t>作図</t>
        </is>
      </c>
      <c r="C407" s="3" t="inlineStr">
        <is>
          <t>-</t>
        </is>
      </c>
      <c r="D407" s="4" t="inlineStr">
        <is>
          <t>Multioffset</t>
        </is>
      </c>
      <c r="E407" s="4" t="inlineStr">
        <is>
          <t>回数と間隔指定で連続オフセット</t>
        </is>
      </c>
      <c r="F407" s="2" t="n">
        <v>8</v>
      </c>
      <c r="G407" s="2" t="n">
        <v>6</v>
      </c>
      <c r="H407" s="2" t="n">
        <v>8</v>
      </c>
      <c r="I407" s="2" t="n">
        <v>12</v>
      </c>
      <c r="J407" s="5">
        <f>SUM(F407:I407)</f>
        <v/>
      </c>
      <c r="K407" s="4" t="inlineStr">
        <is>
          <t>ARRAYで代替可</t>
        </is>
      </c>
      <c r="L407" s="3" t="inlineStr">
        <is>
          <t>CADwiesel</t>
        </is>
      </c>
      <c r="M407" s="3" t="inlineStr">
        <is>
          <t>CADwiesel</t>
        </is>
      </c>
      <c r="N407" s="6" t="inlineStr">
        <is>
          <t>開く</t>
        </is>
      </c>
    </row>
    <row r="408">
      <c r="A408" s="2">
        <f>RANK(J408,$J$2:$J$489)</f>
        <v/>
      </c>
      <c r="B408" s="3" t="inlineStr">
        <is>
          <t>座標・測量・土木</t>
        </is>
      </c>
      <c r="C408" s="3" t="inlineStr">
        <is>
          <t>pen</t>
        </is>
      </c>
      <c r="D408" s="4" t="inlineStr">
        <is>
          <t>PEN</t>
        </is>
      </c>
      <c r="E408" s="4" t="inlineStr">
        <is>
          <t>線の勾配％を計算</t>
        </is>
      </c>
      <c r="F408" s="2" t="n">
        <v>10</v>
      </c>
      <c r="G408" s="2" t="n">
        <v>6</v>
      </c>
      <c r="H408" s="2" t="n">
        <v>8</v>
      </c>
      <c r="I408" s="2" t="n">
        <v>10</v>
      </c>
      <c r="J408" s="5">
        <f>SUM(F408:I408)</f>
        <v/>
      </c>
      <c r="K408" s="4" t="inlineStr">
        <is>
          <t>勾配計算</t>
        </is>
      </c>
      <c r="L408" s="3" t="inlineStr">
        <is>
          <t>EmiCAD</t>
        </is>
      </c>
      <c r="M408" s="3" t="inlineStr">
        <is>
          <t>EmiLISP Free (emicad.it)</t>
        </is>
      </c>
      <c r="N408" s="6" t="inlineStr">
        <is>
          <t>開く</t>
        </is>
      </c>
    </row>
    <row r="409">
      <c r="A409" s="2">
        <f>RANK(J409,$J$2:$J$489)</f>
        <v/>
      </c>
      <c r="B409" s="3" t="inlineStr">
        <is>
          <t>線・ポリライン編集</t>
        </is>
      </c>
      <c r="C409" s="3" t="inlineStr">
        <is>
          <t>-</t>
        </is>
      </c>
      <c r="D409" s="4" t="inlineStr">
        <is>
          <t>Pkonv</t>
        </is>
      </c>
      <c r="E409" s="4" t="inlineStr">
        <is>
          <t>幅付きポリラインの幅を全て0に</t>
        </is>
      </c>
      <c r="F409" s="2" t="n">
        <v>9</v>
      </c>
      <c r="G409" s="2" t="n">
        <v>5</v>
      </c>
      <c r="H409" s="2" t="n">
        <v>8</v>
      </c>
      <c r="I409" s="2" t="n">
        <v>12</v>
      </c>
      <c r="J409" s="5">
        <f>SUM(F409:I409)</f>
        <v/>
      </c>
      <c r="K409" s="4" t="inlineStr">
        <is>
          <t>PEDIT幅で代替</t>
        </is>
      </c>
      <c r="L409" s="3" t="inlineStr">
        <is>
          <t>CADwiesel</t>
        </is>
      </c>
      <c r="M409" s="3" t="inlineStr">
        <is>
          <t>CADwiesel</t>
        </is>
      </c>
      <c r="N409" s="6" t="inlineStr">
        <is>
          <t>開く</t>
        </is>
      </c>
    </row>
    <row r="410">
      <c r="A410" s="2">
        <f>RANK(J410,$J$2:$J$489)</f>
        <v/>
      </c>
      <c r="B410" s="3" t="inlineStr">
        <is>
          <t>線・ポリライン編集</t>
        </is>
      </c>
      <c r="C410" s="3" t="inlineStr">
        <is>
          <t>divsp</t>
        </is>
      </c>
      <c r="D410" s="4" t="inlineStr">
        <is>
          <t>Podział krzywych</t>
        </is>
      </c>
      <c r="E410" s="4" t="inlineStr">
        <is>
          <t>任意曲線を等分割（点/ブロック/分割）</t>
        </is>
      </c>
      <c r="F410" s="2" t="n">
        <v>7</v>
      </c>
      <c r="G410" s="2" t="n">
        <v>6</v>
      </c>
      <c r="H410" s="2" t="n">
        <v>8</v>
      </c>
      <c r="I410" s="2" t="n">
        <v>13</v>
      </c>
      <c r="J410" s="5">
        <f>SUM(F410:I410)</f>
        <v/>
      </c>
      <c r="K410" s="4" t="inlineStr">
        <is>
          <t>DIVIDEで概ね代替</t>
        </is>
      </c>
      <c r="L410" s="3" t="inlineStr">
        <is>
          <t>kojacek</t>
        </is>
      </c>
      <c r="M410" s="3" t="inlineStr">
        <is>
          <t>kojacek.wordpress.com</t>
        </is>
      </c>
      <c r="N410" s="6" t="inlineStr">
        <is>
          <t>開く</t>
        </is>
      </c>
    </row>
    <row r="411">
      <c r="A411" s="2">
        <f>RANK(J411,$J$2:$J$489)</f>
        <v/>
      </c>
      <c r="B411" s="3" t="inlineStr">
        <is>
          <t>引出線・注記</t>
        </is>
      </c>
      <c r="C411" s="3" t="inlineStr">
        <is>
          <t>-</t>
        </is>
      </c>
      <c r="D411" s="4" t="inlineStr">
        <is>
          <t>Rysowanie strzałki (arrow)</t>
        </is>
      </c>
      <c r="E411" s="4" t="inlineStr">
        <is>
          <t>ポリラインで矢印を作図</t>
        </is>
      </c>
      <c r="F411" s="2" t="n">
        <v>9</v>
      </c>
      <c r="G411" s="2" t="n">
        <v>7</v>
      </c>
      <c r="H411" s="2" t="n">
        <v>7</v>
      </c>
      <c r="I411" s="2" t="n">
        <v>11</v>
      </c>
      <c r="J411" s="5">
        <f>SUM(F411:I411)</f>
        <v/>
      </c>
      <c r="K411" s="4" t="inlineStr">
        <is>
          <t>矢印作図</t>
        </is>
      </c>
      <c r="L411" s="3" t="inlineStr">
        <is>
          <t>kojacek</t>
        </is>
      </c>
      <c r="M411" s="3" t="inlineStr">
        <is>
          <t>kojacek.wordpress.com</t>
        </is>
      </c>
      <c r="N411" s="6" t="inlineStr">
        <is>
          <t>開く</t>
        </is>
      </c>
    </row>
    <row r="412">
      <c r="A412" s="2">
        <f>RANK(J412,$J$2:$J$489)</f>
        <v/>
      </c>
      <c r="B412" s="3" t="inlineStr">
        <is>
          <t>文字・テキスト</t>
        </is>
      </c>
      <c r="C412" s="3" t="inlineStr">
        <is>
          <t>-</t>
        </is>
      </c>
      <c r="D412" s="4" t="inlineStr">
        <is>
          <t>Sbox</t>
        </is>
      </c>
      <c r="E412" s="4" t="inlineStr">
        <is>
          <t>文字を影付き枠で囲む</t>
        </is>
      </c>
      <c r="F412" s="2" t="n">
        <v>9</v>
      </c>
      <c r="G412" s="2" t="n">
        <v>8</v>
      </c>
      <c r="H412" s="2" t="n">
        <v>6</v>
      </c>
      <c r="I412" s="2" t="n">
        <v>11</v>
      </c>
      <c r="J412" s="5">
        <f>SUM(F412:I412)</f>
        <v/>
      </c>
      <c r="K412" s="4" t="inlineStr">
        <is>
          <t>影付き枠は装飾</t>
        </is>
      </c>
      <c r="L412" s="3" t="inlineStr">
        <is>
          <t>CADwiesel</t>
        </is>
      </c>
      <c r="M412" s="3" t="inlineStr">
        <is>
          <t>CADwiesel</t>
        </is>
      </c>
      <c r="N412" s="6" t="inlineStr">
        <is>
          <t>開く</t>
        </is>
      </c>
    </row>
    <row r="413">
      <c r="A413" s="2">
        <f>RANK(J413,$J$2:$J$489)</f>
        <v/>
      </c>
      <c r="B413" s="3" t="inlineStr">
        <is>
          <t>引出線・注記</t>
        </is>
      </c>
      <c r="C413" s="3" t="inlineStr">
        <is>
          <t>-</t>
        </is>
      </c>
      <c r="D413" s="4" t="inlineStr">
        <is>
          <t>SLEADER</t>
        </is>
      </c>
      <c r="E413" s="4" t="inlineStr">
        <is>
          <t>プロパティ指定で簡易引出線作成</t>
        </is>
      </c>
      <c r="F413" s="2" t="n">
        <v>9</v>
      </c>
      <c r="G413" s="2" t="n">
        <v>7</v>
      </c>
      <c r="H413" s="2" t="n">
        <v>7</v>
      </c>
      <c r="I413" s="2" t="n">
        <v>11</v>
      </c>
      <c r="J413" s="5">
        <f>SUM(F413:I413)</f>
        <v/>
      </c>
      <c r="K413" s="4" t="inlineStr">
        <is>
          <t>簡易引出線</t>
        </is>
      </c>
      <c r="L413" s="3" t="inlineStr">
        <is>
          <t>kojacek</t>
        </is>
      </c>
      <c r="M413" s="3" t="inlineStr">
        <is>
          <t>kojacek.wordpress.com</t>
        </is>
      </c>
      <c r="N413" s="6" t="inlineStr">
        <is>
          <t>開く</t>
        </is>
      </c>
    </row>
    <row r="414">
      <c r="A414" s="2">
        <f>RANK(J414,$J$2:$J$489)</f>
        <v/>
      </c>
      <c r="B414" s="3" t="inlineStr">
        <is>
          <t>表示・UCS・ビュー</t>
        </is>
      </c>
      <c r="C414" s="3" t="inlineStr">
        <is>
          <t>0-9</t>
        </is>
      </c>
      <c r="D414" s="4" t="inlineStr">
        <is>
          <t>Vues_pavé</t>
        </is>
      </c>
      <c r="E414" s="4" t="inlineStr">
        <is>
          <t>テンキー0-9に標準/等角ビューを割当</t>
        </is>
      </c>
      <c r="F414" s="2" t="n">
        <v>8</v>
      </c>
      <c r="G414" s="2" t="n">
        <v>12</v>
      </c>
      <c r="H414" s="2" t="n">
        <v>7</v>
      </c>
      <c r="I414" s="2" t="n">
        <v>7</v>
      </c>
      <c r="J414" s="5">
        <f>SUM(F414:I414)</f>
        <v/>
      </c>
      <c r="K414" s="4" t="inlineStr">
        <is>
          <t>ビューキー割当は好み</t>
        </is>
      </c>
      <c r="L414" s="3" t="inlineStr">
        <is>
          <t>(gile)</t>
        </is>
      </c>
      <c r="M414" s="3" t="inlineStr">
        <is>
          <t>gileCAD</t>
        </is>
      </c>
      <c r="N414" s="6" t="inlineStr">
        <is>
          <t>開く</t>
        </is>
      </c>
    </row>
    <row r="415">
      <c r="A415" s="2">
        <f>RANK(J415,$J$2:$J$489)</f>
        <v/>
      </c>
      <c r="B415" s="3" t="inlineStr">
        <is>
          <t>設定・環境</t>
        </is>
      </c>
      <c r="C415" s="3" t="inlineStr">
        <is>
          <t>xdd</t>
        </is>
      </c>
      <c r="D415" s="4" t="inlineStr">
        <is>
          <t>XDatenDelete</t>
        </is>
      </c>
      <c r="E415" s="4" t="inlineStr">
        <is>
          <t>選択図形のXdataを全削除</t>
        </is>
      </c>
      <c r="F415" s="2" t="n">
        <v>12</v>
      </c>
      <c r="G415" s="2" t="n">
        <v>6</v>
      </c>
      <c r="H415" s="2" t="n">
        <v>6</v>
      </c>
      <c r="I415" s="2" t="n">
        <v>10</v>
      </c>
      <c r="J415" s="5">
        <f>SUM(F415:I415)</f>
        <v/>
      </c>
      <c r="K415" s="4" t="inlineStr">
        <is>
          <t>Xdata削除</t>
        </is>
      </c>
      <c r="L415" s="3" t="inlineStr">
        <is>
          <t>Jörn Bosse</t>
        </is>
      </c>
      <c r="M415" s="3" t="inlineStr">
        <is>
          <t>Bosse Engineering</t>
        </is>
      </c>
      <c r="N415" s="6" t="inlineStr">
        <is>
          <t>開く</t>
        </is>
      </c>
    </row>
    <row r="416">
      <c r="A416" s="2">
        <f>RANK(J416,$J$2:$J$489)</f>
        <v/>
      </c>
      <c r="B416" s="3" t="inlineStr">
        <is>
          <t>印刷・レイアウト・図枠</t>
        </is>
      </c>
      <c r="C416" s="3" t="inlineStr">
        <is>
          <t>zf</t>
        </is>
      </c>
      <c r="D416" s="4" t="inlineStr">
        <is>
          <t>Zoom XP per layout</t>
        </is>
      </c>
      <c r="E416" s="4" t="inlineStr">
        <is>
          <t>ビューポート尺度を簡単設定</t>
        </is>
      </c>
      <c r="F416" s="2" t="n">
        <v>8</v>
      </c>
      <c r="G416" s="2" t="n">
        <v>6</v>
      </c>
      <c r="H416" s="2" t="n">
        <v>8</v>
      </c>
      <c r="I416" s="2" t="n">
        <v>12</v>
      </c>
      <c r="J416" s="5">
        <f>SUM(F416:I416)</f>
        <v/>
      </c>
      <c r="K416" s="4" t="inlineStr">
        <is>
          <t>VP尺度は標準で可</t>
        </is>
      </c>
      <c r="L416" s="3" t="inlineStr">
        <is>
          <t>EmiCAD</t>
        </is>
      </c>
      <c r="M416" s="3" t="inlineStr">
        <is>
          <t>EmiLISP Free (emicad.it)</t>
        </is>
      </c>
      <c r="N416" s="6" t="inlineStr">
        <is>
          <t>開く</t>
        </is>
      </c>
    </row>
    <row r="417">
      <c r="A417" s="2">
        <f>RANK(J417,$J$2:$J$489)</f>
        <v/>
      </c>
      <c r="B417" s="3" t="inlineStr">
        <is>
          <t>構造・鉄骨・機械</t>
        </is>
      </c>
      <c r="C417" s="3" t="inlineStr">
        <is>
          <t>civata</t>
        </is>
      </c>
      <c r="D417" s="4" t="inlineStr">
        <is>
          <t>Civata ve Somun</t>
        </is>
      </c>
      <c r="E417" s="4" t="inlineStr">
        <is>
          <t>ボルト・ナットを作図</t>
        </is>
      </c>
      <c r="F417" s="2" t="n">
        <v>11</v>
      </c>
      <c r="G417" s="2" t="n">
        <v>8</v>
      </c>
      <c r="H417" s="2" t="n">
        <v>7</v>
      </c>
      <c r="I417" s="2" t="n">
        <v>7</v>
      </c>
      <c r="J417" s="5">
        <f>SUM(F417:I417)</f>
        <v/>
      </c>
      <c r="K417" s="4" t="inlineStr">
        <is>
          <t>ボルト作図</t>
        </is>
      </c>
      <c r="L417" s="3" t="inlineStr">
        <is>
          <t>çizim okulu</t>
        </is>
      </c>
      <c r="M417" s="3" t="inlineStr">
        <is>
          <t>Çizim Okulu</t>
        </is>
      </c>
      <c r="N417" s="6" t="inlineStr">
        <is>
          <t>開く</t>
        </is>
      </c>
    </row>
    <row r="418">
      <c r="A418" s="2">
        <f>RANK(J418,$J$2:$J$489)</f>
        <v/>
      </c>
      <c r="B418" s="3" t="inlineStr">
        <is>
          <t>文字・テキスト</t>
        </is>
      </c>
      <c r="C418" s="3" t="inlineStr">
        <is>
          <t>-</t>
        </is>
      </c>
      <c r="D418" s="4" t="inlineStr">
        <is>
          <t>Ddattve</t>
        </is>
      </c>
      <c r="E418" s="4" t="inlineStr">
        <is>
          <t>ブロック内外問わず文字・属性をワンクリック編集</t>
        </is>
      </c>
      <c r="F418" s="2" t="n">
        <v>6</v>
      </c>
      <c r="G418" s="2" t="n">
        <v>5</v>
      </c>
      <c r="H418" s="2" t="n">
        <v>8</v>
      </c>
      <c r="I418" s="2" t="n">
        <v>14</v>
      </c>
      <c r="J418" s="5">
        <f>SUM(F418:I418)</f>
        <v/>
      </c>
      <c r="K418" s="4" t="inlineStr">
        <is>
          <t>TEXTEDITで代替</t>
        </is>
      </c>
      <c r="L418" s="3" t="inlineStr">
        <is>
          <t>CADwiesel</t>
        </is>
      </c>
      <c r="M418" s="3" t="inlineStr">
        <is>
          <t>CADwiesel</t>
        </is>
      </c>
      <c r="N418" s="6" t="inlineStr">
        <is>
          <t>開く</t>
        </is>
      </c>
    </row>
    <row r="419">
      <c r="A419" s="2">
        <f>RANK(J419,$J$2:$J$489)</f>
        <v/>
      </c>
      <c r="B419" s="3" t="inlineStr">
        <is>
          <t>作図</t>
        </is>
      </c>
      <c r="C419" s="3" t="inlineStr">
        <is>
          <t>-</t>
        </is>
      </c>
      <c r="D419" s="4" t="inlineStr">
        <is>
          <t>Dopełnienie łuku (+)</t>
        </is>
      </c>
      <c r="E419" s="4" t="inlineStr">
        <is>
          <t>円弧の補円弧を作図</t>
        </is>
      </c>
      <c r="F419" s="2" t="n">
        <v>11</v>
      </c>
      <c r="G419" s="2" t="n">
        <v>9</v>
      </c>
      <c r="H419" s="2" t="n">
        <v>5</v>
      </c>
      <c r="I419" s="2" t="n">
        <v>8</v>
      </c>
      <c r="J419" s="5">
        <f>SUM(F419:I419)</f>
        <v/>
      </c>
      <c r="K419" s="4" t="inlineStr">
        <is>
          <t>補円弧作図</t>
        </is>
      </c>
      <c r="L419" s="3" t="inlineStr">
        <is>
          <t>kojacek</t>
        </is>
      </c>
      <c r="M419" s="3" t="inlineStr">
        <is>
          <t>kojacek.wordpress.com</t>
        </is>
      </c>
      <c r="N419" s="6" t="inlineStr">
        <is>
          <t>開く</t>
        </is>
      </c>
    </row>
    <row r="420">
      <c r="A420" s="2">
        <f>RANK(J420,$J$2:$J$489)</f>
        <v/>
      </c>
      <c r="B420" s="3" t="inlineStr">
        <is>
          <t>LISP開発用の部品</t>
        </is>
      </c>
      <c r="C420" s="3" t="inlineStr">
        <is>
          <t>-</t>
        </is>
      </c>
      <c r="D420" s="4" t="inlineStr">
        <is>
          <t>gc_List / gc_String</t>
        </is>
      </c>
      <c r="E420" s="4" t="inlineStr">
        <is>
          <t>リスト・文字列処理関数ライブラリ</t>
        </is>
      </c>
      <c r="F420" s="2" t="n">
        <v>8</v>
      </c>
      <c r="G420" s="2" t="n">
        <v>6</v>
      </c>
      <c r="H420" s="2" t="n">
        <v>4</v>
      </c>
      <c r="I420" s="2" t="n">
        <v>15</v>
      </c>
      <c r="J420" s="5">
        <f>SUM(F420:I420)</f>
        <v/>
      </c>
      <c r="K420" s="4" t="inlineStr">
        <is>
          <t>標準関数の補完</t>
        </is>
      </c>
      <c r="L420" s="3" t="inlineStr">
        <is>
          <t>(gile)</t>
        </is>
      </c>
      <c r="M420" s="3" t="inlineStr">
        <is>
          <t>gileCAD</t>
        </is>
      </c>
      <c r="N420" s="6" t="inlineStr">
        <is>
          <t>開く</t>
        </is>
      </c>
    </row>
    <row r="421">
      <c r="A421" s="2">
        <f>RANK(J421,$J$2:$J$489)</f>
        <v/>
      </c>
      <c r="B421" s="3" t="inlineStr">
        <is>
          <t>外部参照・図面管理・一括処理</t>
        </is>
      </c>
      <c r="C421" s="3" t="inlineStr">
        <is>
          <t>imm</t>
        </is>
      </c>
      <c r="D421" s="4" t="inlineStr">
        <is>
          <t>IMM</t>
        </is>
      </c>
      <c r="E421" s="4" t="inlineStr">
        <is>
          <t>画像を選択してアンロード/デタッチ/再ロード</t>
        </is>
      </c>
      <c r="F421" s="2" t="n">
        <v>8</v>
      </c>
      <c r="G421" s="2" t="n">
        <v>6</v>
      </c>
      <c r="H421" s="2" t="n">
        <v>8</v>
      </c>
      <c r="I421" s="2" t="n">
        <v>11</v>
      </c>
      <c r="J421" s="5">
        <f>SUM(F421:I421)</f>
        <v/>
      </c>
      <c r="K421" s="4" t="inlineStr">
        <is>
          <t>外部参照パレットで代替</t>
        </is>
      </c>
      <c r="L421" s="3" t="inlineStr">
        <is>
          <t>EmiCAD</t>
        </is>
      </c>
      <c r="M421" s="3" t="inlineStr">
        <is>
          <t>EmiLISP Free (emicad.it)</t>
        </is>
      </c>
      <c r="N421" s="6" t="inlineStr">
        <is>
          <t>開く</t>
        </is>
      </c>
    </row>
    <row r="422">
      <c r="A422" s="2">
        <f>RANK(J422,$J$2:$J$489)</f>
        <v/>
      </c>
      <c r="B422" s="3" t="inlineStr">
        <is>
          <t>線・ポリライン編集</t>
        </is>
      </c>
      <c r="C422" s="3" t="inlineStr">
        <is>
          <t>join3dpoly</t>
        </is>
      </c>
      <c r="D422" s="4" t="inlineStr">
        <is>
          <t>Join3dpoly</t>
        </is>
      </c>
      <c r="E422" s="4" t="inlineStr">
        <is>
          <t>選択図形を3Dポリラインに結合</t>
        </is>
      </c>
      <c r="F422" s="2" t="n">
        <v>11</v>
      </c>
      <c r="G422" s="2" t="n">
        <v>7</v>
      </c>
      <c r="H422" s="2" t="n">
        <v>8</v>
      </c>
      <c r="I422" s="2" t="n">
        <v>7</v>
      </c>
      <c r="J422" s="5">
        <f>SUM(F422:I422)</f>
        <v/>
      </c>
      <c r="K422" s="4" t="inlineStr">
        <is>
          <t>3Dポリ結合補助</t>
        </is>
      </c>
      <c r="L422" s="3" t="inlineStr">
        <is>
          <t>(gile)</t>
        </is>
      </c>
      <c r="M422" s="3" t="inlineStr">
        <is>
          <t>gileCAD</t>
        </is>
      </c>
      <c r="N422" s="6" t="inlineStr">
        <is>
          <t>開く</t>
        </is>
      </c>
    </row>
    <row r="423">
      <c r="A423" s="2">
        <f>RANK(J423,$J$2:$J$489)</f>
        <v/>
      </c>
      <c r="B423" s="3" t="inlineStr">
        <is>
          <t>外部参照・図面管理・一括処理</t>
        </is>
      </c>
      <c r="C423" s="3" t="inlineStr">
        <is>
          <t>-</t>
        </is>
      </c>
      <c r="D423" s="4" t="inlineStr">
        <is>
          <t>Konverter</t>
        </is>
      </c>
      <c r="E423" s="4" t="inlineStr">
        <is>
          <t>DWGバージョンを一括変換</t>
        </is>
      </c>
      <c r="F423" s="2" t="n">
        <v>7</v>
      </c>
      <c r="G423" s="2" t="n">
        <v>5</v>
      </c>
      <c r="H423" s="2" t="n">
        <v>10</v>
      </c>
      <c r="I423" s="2" t="n">
        <v>11</v>
      </c>
      <c r="J423" s="5">
        <f>SUM(F423:I423)</f>
        <v/>
      </c>
      <c r="K423" s="4" t="inlineStr">
        <is>
          <t>DWG変換は標準機能</t>
        </is>
      </c>
      <c r="L423" s="3" t="inlineStr">
        <is>
          <t>CADwiesel</t>
        </is>
      </c>
      <c r="M423" s="3" t="inlineStr">
        <is>
          <t>CADwiesel</t>
        </is>
      </c>
      <c r="N423" s="6" t="inlineStr">
        <is>
          <t>開く</t>
        </is>
      </c>
    </row>
    <row r="424">
      <c r="A424" s="2">
        <f>RANK(J424,$J$2:$J$489)</f>
        <v/>
      </c>
      <c r="B424" s="3" t="inlineStr">
        <is>
          <t>ブロック・属性</t>
        </is>
      </c>
      <c r="C424" s="3" t="inlineStr">
        <is>
          <t>mod_block</t>
        </is>
      </c>
      <c r="D424" s="4" t="inlineStr">
        <is>
          <t>Modifica blocco</t>
        </is>
      </c>
      <c r="E424" s="4" t="inlineStr">
        <is>
          <t>ブロックに図形を追加・削除</t>
        </is>
      </c>
      <c r="F424" s="2" t="n">
        <v>7</v>
      </c>
      <c r="G424" s="2" t="n">
        <v>6</v>
      </c>
      <c r="H424" s="2" t="n">
        <v>8</v>
      </c>
      <c r="I424" s="2" t="n">
        <v>12</v>
      </c>
      <c r="J424" s="5">
        <f>SUM(F424:I424)</f>
        <v/>
      </c>
      <c r="K424" s="4" t="inlineStr">
        <is>
          <t>REFEDIT等で代替</t>
        </is>
      </c>
      <c r="L424" s="3" t="inlineStr">
        <is>
          <t>EmiCAD</t>
        </is>
      </c>
      <c r="M424" s="3" t="inlineStr">
        <is>
          <t>EmiLISP Free (emicad.it)</t>
        </is>
      </c>
      <c r="N424" s="6" t="inlineStr">
        <is>
          <t>開く</t>
        </is>
      </c>
    </row>
    <row r="425">
      <c r="A425" s="2">
        <f>RANK(J425,$J$2:$J$489)</f>
        <v/>
      </c>
      <c r="B425" s="3" t="inlineStr">
        <is>
          <t>外部参照・図面管理・一括処理</t>
        </is>
      </c>
      <c r="C425" s="3" t="inlineStr">
        <is>
          <t>rxref</t>
        </is>
      </c>
      <c r="D425" s="4" t="inlineStr">
        <is>
          <t>RXREF</t>
        </is>
      </c>
      <c r="E425" s="4" t="inlineStr">
        <is>
          <t>外部参照・画像を相対パス化</t>
        </is>
      </c>
      <c r="F425" s="2" t="n">
        <v>7</v>
      </c>
      <c r="G425" s="2" t="n">
        <v>6</v>
      </c>
      <c r="H425" s="2" t="n">
        <v>8</v>
      </c>
      <c r="I425" s="2" t="n">
        <v>12</v>
      </c>
      <c r="J425" s="5">
        <f>SUM(F425:I425)</f>
        <v/>
      </c>
      <c r="K425" s="4" t="inlineStr">
        <is>
          <t>相対パスは標準で可</t>
        </is>
      </c>
      <c r="L425" s="3" t="inlineStr">
        <is>
          <t>Patrick_35</t>
        </is>
      </c>
      <c r="M425" s="3" t="inlineStr">
        <is>
          <t>CADxp (Patrick_35)</t>
        </is>
      </c>
      <c r="N425" s="6" t="inlineStr">
        <is>
          <t>開く</t>
        </is>
      </c>
    </row>
    <row r="426">
      <c r="A426" s="2">
        <f>RANK(J426,$J$2:$J$489)</f>
        <v/>
      </c>
      <c r="B426" s="3" t="inlineStr">
        <is>
          <t>文字・テキスト</t>
        </is>
      </c>
      <c r="C426" s="3" t="inlineStr">
        <is>
          <t>testosin / testodes / testocentro</t>
        </is>
      </c>
      <c r="D426" s="4" t="inlineStr">
        <is>
          <t>Scrivi testo</t>
        </is>
      </c>
      <c r="E426" s="4" t="inlineStr">
        <is>
          <t>左/右/中央揃えで複数行の文字を連続記入</t>
        </is>
      </c>
      <c r="F426" s="2" t="n">
        <v>8</v>
      </c>
      <c r="G426" s="2" t="n">
        <v>6</v>
      </c>
      <c r="H426" s="2" t="n">
        <v>7</v>
      </c>
      <c r="I426" s="2" t="n">
        <v>12</v>
      </c>
      <c r="J426" s="5">
        <f>SUM(F426:I426)</f>
        <v/>
      </c>
      <c r="K426" s="4" t="inlineStr">
        <is>
          <t>文字連続記入</t>
        </is>
      </c>
      <c r="L426" s="3" t="inlineStr">
        <is>
          <t>EmiCAD</t>
        </is>
      </c>
      <c r="M426" s="3" t="inlineStr">
        <is>
          <t>EmiLISP Free (emicad.it)</t>
        </is>
      </c>
      <c r="N426" s="6" t="inlineStr">
        <is>
          <t>開く</t>
        </is>
      </c>
    </row>
    <row r="427">
      <c r="A427" s="2">
        <f>RANK(J427,$J$2:$J$489)</f>
        <v/>
      </c>
      <c r="B427" s="3" t="inlineStr">
        <is>
          <t>線・ポリライン編集</t>
        </is>
      </c>
      <c r="C427" s="3" t="inlineStr">
        <is>
          <t>Unlinee</t>
        </is>
      </c>
      <c r="D427" s="4" t="inlineStr">
        <is>
          <t>Unisce linee adiacenti</t>
        </is>
      </c>
      <c r="E427" s="4" t="inlineStr">
        <is>
          <t>同一直線上の隣接線を1本に結合</t>
        </is>
      </c>
      <c r="F427" s="2" t="n">
        <v>7</v>
      </c>
      <c r="G427" s="2" t="n">
        <v>5</v>
      </c>
      <c r="H427" s="2" t="n">
        <v>8</v>
      </c>
      <c r="I427" s="2" t="n">
        <v>13</v>
      </c>
      <c r="J427" s="5">
        <f>SUM(F427:I427)</f>
        <v/>
      </c>
      <c r="K427" s="4" t="inlineStr">
        <is>
          <t>JOIN/OVERKILLで代替</t>
        </is>
      </c>
      <c r="L427" s="3" t="inlineStr">
        <is>
          <t>EmiCAD</t>
        </is>
      </c>
      <c r="M427" s="3" t="inlineStr">
        <is>
          <t>EmiLISP Free (emicad.it)</t>
        </is>
      </c>
      <c r="N427" s="6" t="inlineStr">
        <is>
          <t>開く</t>
        </is>
      </c>
    </row>
    <row r="428">
      <c r="A428" s="2">
        <f>RANK(J428,$J$2:$J$489)</f>
        <v/>
      </c>
      <c r="B428" s="3" t="inlineStr">
        <is>
          <t>LISP開発用の部品</t>
        </is>
      </c>
      <c r="C428" s="3" t="inlineStr">
        <is>
          <t>-</t>
        </is>
      </c>
      <c r="D428" s="4" t="inlineStr">
        <is>
          <t>USR_* / UCS_*</t>
        </is>
      </c>
      <c r="E428" s="4" t="inlineStr">
        <is>
          <t>ユーザー入力（点・キーワード・図形選択）ヘルパー</t>
        </is>
      </c>
      <c r="F428" s="2" t="n">
        <v>9</v>
      </c>
      <c r="G428" s="2" t="n">
        <v>7</v>
      </c>
      <c r="H428" s="2" t="n">
        <v>4</v>
      </c>
      <c r="I428" s="2" t="n">
        <v>13</v>
      </c>
      <c r="J428" s="5">
        <f>SUM(F428:I428)</f>
        <v/>
      </c>
      <c r="K428" s="4" t="inlineStr">
        <is>
          <t>入力ヘルパー</t>
        </is>
      </c>
      <c r="L428" s="3" t="inlineStr">
        <is>
          <t>CADPL (kojacek, kruuger et al.)</t>
        </is>
      </c>
      <c r="M428" s="3" t="inlineStr">
        <is>
          <t>GitHub: kruuger/CADPL-Pack-v1</t>
        </is>
      </c>
      <c r="N428" s="6" t="inlineStr">
        <is>
          <t>開く</t>
        </is>
      </c>
    </row>
    <row r="429">
      <c r="A429" s="2">
        <f>RANK(J429,$J$2:$J$489)</f>
        <v/>
      </c>
      <c r="B429" s="3" t="inlineStr">
        <is>
          <t>線・ポリライン編集</t>
        </is>
      </c>
      <c r="C429" s="3" t="inlineStr">
        <is>
          <t>-</t>
        </is>
      </c>
      <c r="D429" s="4" t="inlineStr">
        <is>
          <t>3D polyline → LWpolyline</t>
        </is>
      </c>
      <c r="E429" s="4" t="inlineStr">
        <is>
          <t>3DポリラインをLWポリラインに変換</t>
        </is>
      </c>
      <c r="F429" s="2" t="n">
        <v>10</v>
      </c>
      <c r="G429" s="2" t="n">
        <v>6</v>
      </c>
      <c r="H429" s="2" t="n">
        <v>7</v>
      </c>
      <c r="I429" s="2" t="n">
        <v>9</v>
      </c>
      <c r="J429" s="5">
        <f>SUM(F429:I429)</f>
        <v/>
      </c>
      <c r="K429" s="4" t="inlineStr">
        <is>
          <t>3Dポリ→LW変換</t>
        </is>
      </c>
      <c r="L429" s="3" t="inlineStr">
        <is>
          <t>kojacek</t>
        </is>
      </c>
      <c r="M429" s="3" t="inlineStr">
        <is>
          <t>kojacek.wordpress.com</t>
        </is>
      </c>
      <c r="N429" s="6" t="inlineStr">
        <is>
          <t>開く</t>
        </is>
      </c>
    </row>
    <row r="430">
      <c r="A430" s="2">
        <f>RANK(J430,$J$2:$J$489)</f>
        <v/>
      </c>
      <c r="B430" s="3" t="inlineStr">
        <is>
          <t>ブロック・属性</t>
        </is>
      </c>
      <c r="C430" s="3" t="inlineStr">
        <is>
          <t>-</t>
        </is>
      </c>
      <c r="D430" s="4" t="inlineStr">
        <is>
          <t>Attsort</t>
        </is>
      </c>
      <c r="E430" s="4" t="inlineStr">
        <is>
          <t>ブロック定義の属性の問合せ順を並べ替え</t>
        </is>
      </c>
      <c r="F430" s="2" t="n">
        <v>8</v>
      </c>
      <c r="G430" s="2" t="n">
        <v>6</v>
      </c>
      <c r="H430" s="2" t="n">
        <v>6</v>
      </c>
      <c r="I430" s="2" t="n">
        <v>12</v>
      </c>
      <c r="J430" s="5">
        <f>SUM(F430:I430)</f>
        <v/>
      </c>
      <c r="K430" s="4" t="inlineStr">
        <is>
          <t>BATTMANで代替可</t>
        </is>
      </c>
      <c r="L430" s="3" t="inlineStr">
        <is>
          <t>CADwiesel</t>
        </is>
      </c>
      <c r="M430" s="3" t="inlineStr">
        <is>
          <t>CADwiesel</t>
        </is>
      </c>
      <c r="N430" s="6" t="inlineStr">
        <is>
          <t>開く</t>
        </is>
      </c>
    </row>
    <row r="431">
      <c r="A431" s="2">
        <f>RANK(J431,$J$2:$J$489)</f>
        <v/>
      </c>
      <c r="B431" s="3" t="inlineStr">
        <is>
          <t>表示・UCS・ビュー</t>
        </is>
      </c>
      <c r="C431" s="3" t="inlineStr">
        <is>
          <t>-</t>
        </is>
      </c>
      <c r="D431" s="4" t="inlineStr">
        <is>
          <t>Bw-view</t>
        </is>
      </c>
      <c r="E431" s="4" t="inlineStr">
        <is>
          <t>スライド付きボタンで名前付きビューを管理</t>
        </is>
      </c>
      <c r="F431" s="2" t="n">
        <v>9</v>
      </c>
      <c r="G431" s="2" t="n">
        <v>10</v>
      </c>
      <c r="H431" s="2" t="n">
        <v>5</v>
      </c>
      <c r="I431" s="2" t="n">
        <v>8</v>
      </c>
      <c r="J431" s="5">
        <f>SUM(F431:I431)</f>
        <v/>
      </c>
      <c r="K431" s="4" t="inlineStr">
        <is>
          <t>古いスライド式ビュー管理</t>
        </is>
      </c>
      <c r="L431" s="3" t="inlineStr">
        <is>
          <t>CADwiesel</t>
        </is>
      </c>
      <c r="M431" s="3" t="inlineStr">
        <is>
          <t>CADwiesel</t>
        </is>
      </c>
      <c r="N431" s="6" t="inlineStr">
        <is>
          <t>開く</t>
        </is>
      </c>
    </row>
    <row r="432">
      <c r="A432" s="2">
        <f>RANK(J432,$J$2:$J$489)</f>
        <v/>
      </c>
      <c r="B432" s="3" t="inlineStr">
        <is>
          <t>引出線・注記</t>
        </is>
      </c>
      <c r="C432" s="3" t="inlineStr">
        <is>
          <t>freccia</t>
        </is>
      </c>
      <c r="D432" s="4" t="inlineStr">
        <is>
          <t>Freccia</t>
        </is>
      </c>
      <c r="E432" s="4" t="inlineStr">
        <is>
          <t>寸法指定で中抜き/塗り矢印を作図</t>
        </is>
      </c>
      <c r="F432" s="2" t="n">
        <v>8</v>
      </c>
      <c r="G432" s="2" t="n">
        <v>6</v>
      </c>
      <c r="H432" s="2" t="n">
        <v>7</v>
      </c>
      <c r="I432" s="2" t="n">
        <v>11</v>
      </c>
      <c r="J432" s="5">
        <f>SUM(F432:I432)</f>
        <v/>
      </c>
      <c r="K432" s="4" t="inlineStr">
        <is>
          <t>矢印作図</t>
        </is>
      </c>
      <c r="L432" s="3" t="inlineStr">
        <is>
          <t>EmiCAD</t>
        </is>
      </c>
      <c r="M432" s="3" t="inlineStr">
        <is>
          <t>EmiLISP Free (emicad.it)</t>
        </is>
      </c>
      <c r="N432" s="6" t="inlineStr">
        <is>
          <t>開く</t>
        </is>
      </c>
    </row>
    <row r="433">
      <c r="A433" s="2">
        <f>RANK(J433,$J$2:$J$489)</f>
        <v/>
      </c>
      <c r="B433" s="3" t="inlineStr">
        <is>
          <t>ハッチ・面積・長さ集計</t>
        </is>
      </c>
      <c r="C433" s="3" t="inlineStr">
        <is>
          <t>-</t>
        </is>
      </c>
      <c r="D433" s="4" t="inlineStr">
        <is>
          <t>Hatch-del</t>
        </is>
      </c>
      <c r="E433" s="4" t="inlineStr">
        <is>
          <t>ブロック内含め全ハッチを削除</t>
        </is>
      </c>
      <c r="F433" s="2" t="n">
        <v>9</v>
      </c>
      <c r="G433" s="2" t="n">
        <v>5</v>
      </c>
      <c r="H433" s="2" t="n">
        <v>7</v>
      </c>
      <c r="I433" s="2" t="n">
        <v>11</v>
      </c>
      <c r="J433" s="5">
        <f>SUM(F433:I433)</f>
        <v/>
      </c>
      <c r="K433" s="4" t="inlineStr">
        <is>
          <t>ブロック内ハッチも削除</t>
        </is>
      </c>
      <c r="L433" s="3" t="inlineStr">
        <is>
          <t>CADwiesel</t>
        </is>
      </c>
      <c r="M433" s="3" t="inlineStr">
        <is>
          <t>CADwiesel</t>
        </is>
      </c>
      <c r="N433" s="6" t="inlineStr">
        <is>
          <t>開く</t>
        </is>
      </c>
    </row>
    <row r="434">
      <c r="A434" s="2">
        <f>RANK(J434,$J$2:$J$489)</f>
        <v/>
      </c>
      <c r="B434" s="3" t="inlineStr">
        <is>
          <t>設定・環境</t>
        </is>
      </c>
      <c r="C434" s="3" t="inlineStr">
        <is>
          <t>BKG</t>
        </is>
      </c>
      <c r="D434" s="4" t="inlineStr">
        <is>
          <t>Kolor tła ekranu</t>
        </is>
      </c>
      <c r="E434" s="4" t="inlineStr">
        <is>
          <t>背景色とクロスヘア色をワンキーで入替</t>
        </is>
      </c>
      <c r="F434" s="2" t="n">
        <v>9</v>
      </c>
      <c r="G434" s="2" t="n">
        <v>8</v>
      </c>
      <c r="H434" s="2" t="n">
        <v>4</v>
      </c>
      <c r="I434" s="2" t="n">
        <v>11</v>
      </c>
      <c r="J434" s="5">
        <f>SUM(F434:I434)</f>
        <v/>
      </c>
      <c r="K434" s="4" t="inlineStr">
        <is>
          <t>背景色トグル</t>
        </is>
      </c>
      <c r="L434" s="3" t="inlineStr">
        <is>
          <t>kojacek</t>
        </is>
      </c>
      <c r="M434" s="3" t="inlineStr">
        <is>
          <t>kojacek.wordpress.com</t>
        </is>
      </c>
      <c r="N434" s="6" t="inlineStr">
        <is>
          <t>開く</t>
        </is>
      </c>
    </row>
    <row r="435">
      <c r="A435" s="2">
        <f>RANK(J435,$J$2:$J$489)</f>
        <v/>
      </c>
      <c r="B435" s="3" t="inlineStr">
        <is>
          <t>画層</t>
        </is>
      </c>
      <c r="C435" s="3" t="inlineStr">
        <is>
          <t>LMELT</t>
        </is>
      </c>
      <c r="D435" s="4" t="inlineStr">
        <is>
          <t>LayerMelt</t>
        </is>
      </c>
      <c r="E435" s="4" t="inlineStr">
        <is>
          <t>画層の図形を現在画層へ統合</t>
        </is>
      </c>
      <c r="F435" s="2" t="n">
        <v>6</v>
      </c>
      <c r="G435" s="2" t="n">
        <v>4</v>
      </c>
      <c r="H435" s="2" t="n">
        <v>8</v>
      </c>
      <c r="I435" s="2" t="n">
        <v>14</v>
      </c>
      <c r="J435" s="5">
        <f>SUM(F435:I435)</f>
        <v/>
      </c>
      <c r="K435" s="4" t="inlineStr">
        <is>
          <t>LAYMRGで代替</t>
        </is>
      </c>
      <c r="L435" s="3" t="inlineStr"/>
      <c r="M435" s="3" t="inlineStr">
        <is>
          <t>CADthèque</t>
        </is>
      </c>
      <c r="N435" s="6" t="inlineStr">
        <is>
          <t>開く</t>
        </is>
      </c>
    </row>
    <row r="436">
      <c r="A436" s="2">
        <f>RANK(J436,$J$2:$J$489)</f>
        <v/>
      </c>
      <c r="B436" s="3" t="inlineStr">
        <is>
          <t>設定・環境</t>
        </is>
      </c>
      <c r="C436" s="3" t="inlineStr">
        <is>
          <t>-</t>
        </is>
      </c>
      <c r="D436" s="4" t="inlineStr">
        <is>
          <t>Menugroup</t>
        </is>
      </c>
      <c r="E436" s="4" t="inlineStr">
        <is>
          <t>ツールバー表示を一括管理</t>
        </is>
      </c>
      <c r="F436" s="2" t="n">
        <v>10</v>
      </c>
      <c r="G436" s="2" t="n">
        <v>7</v>
      </c>
      <c r="H436" s="2" t="n">
        <v>5</v>
      </c>
      <c r="I436" s="2" t="n">
        <v>10</v>
      </c>
      <c r="J436" s="5">
        <f>SUM(F436:I436)</f>
        <v/>
      </c>
      <c r="K436" s="4" t="inlineStr">
        <is>
          <t>ツールバー管理</t>
        </is>
      </c>
      <c r="L436" s="3" t="inlineStr">
        <is>
          <t>kojacek</t>
        </is>
      </c>
      <c r="M436" s="3" t="inlineStr">
        <is>
          <t>kojacek.wordpress.com</t>
        </is>
      </c>
      <c r="N436" s="6" t="inlineStr">
        <is>
          <t>開く</t>
        </is>
      </c>
    </row>
    <row r="437">
      <c r="A437" s="2">
        <f>RANK(J437,$J$2:$J$489)</f>
        <v/>
      </c>
      <c r="B437" s="3" t="inlineStr">
        <is>
          <t>線・ポリライン編集</t>
        </is>
      </c>
      <c r="C437" s="3" t="inlineStr">
        <is>
          <t>-</t>
        </is>
      </c>
      <c r="D437" s="4" t="inlineStr">
        <is>
          <t>Pverbind / Convpoly</t>
        </is>
      </c>
      <c r="E437" s="4" t="inlineStr">
        <is>
          <t>端点が接する線・円弧をポリラインに結合/変換</t>
        </is>
      </c>
      <c r="F437" s="2" t="n">
        <v>5</v>
      </c>
      <c r="G437" s="2" t="n">
        <v>4</v>
      </c>
      <c r="H437" s="2" t="n">
        <v>9</v>
      </c>
      <c r="I437" s="2" t="n">
        <v>14</v>
      </c>
      <c r="J437" s="5">
        <f>SUM(F437:I437)</f>
        <v/>
      </c>
      <c r="K437" s="4" t="inlineStr">
        <is>
          <t>JOIN/PEDITで代替</t>
        </is>
      </c>
      <c r="L437" s="3" t="inlineStr">
        <is>
          <t>CADwiesel</t>
        </is>
      </c>
      <c r="M437" s="3" t="inlineStr">
        <is>
          <t>CADwiesel</t>
        </is>
      </c>
      <c r="N437" s="6" t="inlineStr">
        <is>
          <t>開く</t>
        </is>
      </c>
    </row>
    <row r="438">
      <c r="A438" s="2">
        <f>RANK(J438,$J$2:$J$489)</f>
        <v/>
      </c>
      <c r="B438" s="3" t="inlineStr">
        <is>
          <t>外部参照・図面管理・一括処理</t>
        </is>
      </c>
      <c r="C438" s="3" t="inlineStr">
        <is>
          <t>sbia</t>
        </is>
      </c>
      <c r="D438" s="4" t="inlineStr">
        <is>
          <t>Regola luminosità immagini</t>
        </is>
      </c>
      <c r="E438" s="4" t="inlineStr">
        <is>
          <t>選択画像の明るさを調整</t>
        </is>
      </c>
      <c r="F438" s="2" t="n">
        <v>11</v>
      </c>
      <c r="G438" s="2" t="n">
        <v>8</v>
      </c>
      <c r="H438" s="2" t="n">
        <v>5</v>
      </c>
      <c r="I438" s="2" t="n">
        <v>8</v>
      </c>
      <c r="J438" s="5">
        <f>SUM(F438:I438)</f>
        <v/>
      </c>
      <c r="K438" s="4" t="inlineStr">
        <is>
          <t>画像明るさ調整</t>
        </is>
      </c>
      <c r="L438" s="3" t="inlineStr">
        <is>
          <t>EmiCAD</t>
        </is>
      </c>
      <c r="M438" s="3" t="inlineStr">
        <is>
          <t>EmiLISP Free (emicad.it)</t>
        </is>
      </c>
      <c r="N438" s="6" t="inlineStr">
        <is>
          <t>開く</t>
        </is>
      </c>
    </row>
    <row r="439">
      <c r="A439" s="2">
        <f>RANK(J439,$J$2:$J$489)</f>
        <v/>
      </c>
      <c r="B439" s="3" t="inlineStr">
        <is>
          <t>ハッチ・面積・長さ集計</t>
        </is>
      </c>
      <c r="C439" s="3" t="inlineStr">
        <is>
          <t>-</t>
        </is>
      </c>
      <c r="D439" s="4" t="inlineStr">
        <is>
          <t>Schwpkt</t>
        </is>
      </c>
      <c r="E439" s="4" t="inlineStr">
        <is>
          <t>領域の重心を計算</t>
        </is>
      </c>
      <c r="F439" s="2" t="n">
        <v>10</v>
      </c>
      <c r="G439" s="2" t="n">
        <v>8</v>
      </c>
      <c r="H439" s="2" t="n">
        <v>5</v>
      </c>
      <c r="I439" s="2" t="n">
        <v>9</v>
      </c>
      <c r="J439" s="5">
        <f>SUM(F439:I439)</f>
        <v/>
      </c>
      <c r="K439" s="4" t="inlineStr">
        <is>
          <t>MASSPROPで代替可</t>
        </is>
      </c>
      <c r="L439" s="3" t="inlineStr">
        <is>
          <t>CADwiesel</t>
        </is>
      </c>
      <c r="M439" s="3" t="inlineStr">
        <is>
          <t>CADwiesel</t>
        </is>
      </c>
      <c r="N439" s="6" t="inlineStr">
        <is>
          <t>開く</t>
        </is>
      </c>
    </row>
    <row r="440">
      <c r="A440" s="2">
        <f>RANK(J440,$J$2:$J$489)</f>
        <v/>
      </c>
      <c r="B440" s="3" t="inlineStr">
        <is>
          <t>外部参照・図面管理・一括処理</t>
        </is>
      </c>
      <c r="C440" s="3" t="inlineStr">
        <is>
          <t>-</t>
        </is>
      </c>
      <c r="D440" s="4" t="inlineStr">
        <is>
          <t>Widoczność Xref-ów</t>
        </is>
      </c>
      <c r="E440" s="4" t="inlineStr">
        <is>
          <t>外部参照の表示切替</t>
        </is>
      </c>
      <c r="F440" s="2" t="n">
        <v>9</v>
      </c>
      <c r="G440" s="2" t="n">
        <v>6</v>
      </c>
      <c r="H440" s="2" t="n">
        <v>6</v>
      </c>
      <c r="I440" s="2" t="n">
        <v>11</v>
      </c>
      <c r="J440" s="5">
        <f>SUM(F440:I440)</f>
        <v/>
      </c>
      <c r="K440" s="4" t="inlineStr">
        <is>
          <t>Xref表示切替</t>
        </is>
      </c>
      <c r="L440" s="3" t="inlineStr">
        <is>
          <t>kojacek</t>
        </is>
      </c>
      <c r="M440" s="3" t="inlineStr">
        <is>
          <t>kojacek.wordpress.com</t>
        </is>
      </c>
      <c r="N440" s="6" t="inlineStr">
        <is>
          <t>開く</t>
        </is>
      </c>
    </row>
    <row r="441">
      <c r="A441" s="2">
        <f>RANK(J441,$J$2:$J$489)</f>
        <v/>
      </c>
      <c r="B441" s="3" t="inlineStr">
        <is>
          <t>選択・絞り込み</t>
        </is>
      </c>
      <c r="C441" s="3" t="inlineStr">
        <is>
          <t>-</t>
        </is>
      </c>
      <c r="D441" s="4" t="inlineStr">
        <is>
          <t>Zbiór wskazań - polilinia</t>
        </is>
      </c>
      <c r="E441" s="4" t="inlineStr">
        <is>
          <t>ポリライン経路に沿って図形を選択</t>
        </is>
      </c>
      <c r="F441" s="2" t="n">
        <v>7</v>
      </c>
      <c r="G441" s="2" t="n">
        <v>6</v>
      </c>
      <c r="H441" s="2" t="n">
        <v>7</v>
      </c>
      <c r="I441" s="2" t="n">
        <v>12</v>
      </c>
      <c r="J441" s="5">
        <f>SUM(F441:I441)</f>
        <v/>
      </c>
      <c r="K441" s="4" t="inlineStr">
        <is>
          <t>フェンス選択で代替</t>
        </is>
      </c>
      <c r="L441" s="3" t="inlineStr">
        <is>
          <t>kojacek</t>
        </is>
      </c>
      <c r="M441" s="3" t="inlineStr">
        <is>
          <t>kojacek.wordpress.com</t>
        </is>
      </c>
      <c r="N441" s="6" t="inlineStr">
        <is>
          <t>開く</t>
        </is>
      </c>
    </row>
    <row r="442">
      <c r="A442" s="2">
        <f>RANK(J442,$J$2:$J$489)</f>
        <v/>
      </c>
      <c r="B442" s="3" t="inlineStr">
        <is>
          <t>ブロック・属性</t>
        </is>
      </c>
      <c r="C442" s="3" t="inlineStr">
        <is>
          <t>-</t>
        </is>
      </c>
      <c r="D442" s="4" t="inlineStr">
        <is>
          <t>Zmiana widoczności atrybutów</t>
        </is>
      </c>
      <c r="E442" s="4" t="inlineStr">
        <is>
          <t>属性の表示モードを切替</t>
        </is>
      </c>
      <c r="F442" s="2" t="n">
        <v>9</v>
      </c>
      <c r="G442" s="2" t="n">
        <v>6</v>
      </c>
      <c r="H442" s="2" t="n">
        <v>6</v>
      </c>
      <c r="I442" s="2" t="n">
        <v>11</v>
      </c>
      <c r="J442" s="5">
        <f>SUM(F442:I442)</f>
        <v/>
      </c>
      <c r="K442" s="4" t="inlineStr">
        <is>
          <t>属性表示切替</t>
        </is>
      </c>
      <c r="L442" s="3" t="inlineStr">
        <is>
          <t>kojacek</t>
        </is>
      </c>
      <c r="M442" s="3" t="inlineStr">
        <is>
          <t>kojacek.wordpress.com</t>
        </is>
      </c>
      <c r="N442" s="6" t="inlineStr">
        <is>
          <t>開く</t>
        </is>
      </c>
    </row>
    <row r="443">
      <c r="A443" s="2">
        <f>RANK(J443,$J$2:$J$489)</f>
        <v/>
      </c>
      <c r="B443" s="3" t="inlineStr">
        <is>
          <t>設定・環境</t>
        </is>
      </c>
      <c r="C443" s="3" t="inlineStr">
        <is>
          <t>-</t>
        </is>
      </c>
      <c r="D443" s="4" t="inlineStr">
        <is>
          <t>Code / Enfo</t>
        </is>
      </c>
      <c r="E443" s="4" t="inlineStr">
        <is>
          <t>図形のDXFグループコード表示・直接編集</t>
        </is>
      </c>
      <c r="F443" s="2" t="n">
        <v>11</v>
      </c>
      <c r="G443" s="2" t="n">
        <v>8</v>
      </c>
      <c r="H443" s="2" t="n">
        <v>4</v>
      </c>
      <c r="I443" s="2" t="n">
        <v>8</v>
      </c>
      <c r="J443" s="5">
        <f>SUM(F443:I443)</f>
        <v/>
      </c>
      <c r="K443" s="4" t="inlineStr">
        <is>
          <t>開発者向けDXF編集</t>
        </is>
      </c>
      <c r="L443" s="3" t="inlineStr">
        <is>
          <t>CADwiesel</t>
        </is>
      </c>
      <c r="M443" s="3" t="inlineStr">
        <is>
          <t>CADwiesel</t>
        </is>
      </c>
      <c r="N443" s="6" t="inlineStr">
        <is>
          <t>開く</t>
        </is>
      </c>
    </row>
    <row r="444">
      <c r="A444" s="2">
        <f>RANK(J444,$J$2:$J$489)</f>
        <v/>
      </c>
      <c r="B444" s="3" t="inlineStr">
        <is>
          <t>画層</t>
        </is>
      </c>
      <c r="C444" s="3" t="inlineStr">
        <is>
          <t>coi</t>
        </is>
      </c>
      <c r="D444" s="4" t="inlineStr">
        <is>
          <t>Copia / Incolla layer</t>
        </is>
      </c>
      <c r="E444" s="4" t="inlineStr">
        <is>
          <t>画層や図面の一部を別図面へコピペ</t>
        </is>
      </c>
      <c r="F444" s="2" t="n">
        <v>8</v>
      </c>
      <c r="G444" s="2" t="n">
        <v>7</v>
      </c>
      <c r="H444" s="2" t="n">
        <v>6</v>
      </c>
      <c r="I444" s="2" t="n">
        <v>10</v>
      </c>
      <c r="J444" s="5">
        <f>SUM(F444:I444)</f>
        <v/>
      </c>
      <c r="K444" s="4" t="inlineStr">
        <is>
          <t>COPYCLIPで代替</t>
        </is>
      </c>
      <c r="L444" s="3" t="inlineStr">
        <is>
          <t>EmiCAD</t>
        </is>
      </c>
      <c r="M444" s="3" t="inlineStr">
        <is>
          <t>EmiLISP Free (emicad.it)</t>
        </is>
      </c>
      <c r="N444" s="6" t="inlineStr">
        <is>
          <t>開く</t>
        </is>
      </c>
    </row>
    <row r="445">
      <c r="A445" s="2">
        <f>RANK(J445,$J$2:$J$489)</f>
        <v/>
      </c>
      <c r="B445" s="3" t="inlineStr">
        <is>
          <t>作図</t>
        </is>
      </c>
      <c r="C445" s="3" t="inlineStr">
        <is>
          <t>-</t>
        </is>
      </c>
      <c r="D445" s="4" t="inlineStr">
        <is>
          <t>Daire ortasına aks</t>
        </is>
      </c>
      <c r="E445" s="4" t="inlineStr">
        <is>
          <t>円の中心に中心線（十字）を作図</t>
        </is>
      </c>
      <c r="F445" s="2" t="n">
        <v>6</v>
      </c>
      <c r="G445" s="2" t="n">
        <v>5</v>
      </c>
      <c r="H445" s="2" t="n">
        <v>8</v>
      </c>
      <c r="I445" s="2" t="n">
        <v>12</v>
      </c>
      <c r="J445" s="5">
        <f>SUM(F445:I445)</f>
        <v/>
      </c>
      <c r="K445" s="4" t="inlineStr">
        <is>
          <t>CENTERMARKで代替</t>
        </is>
      </c>
      <c r="L445" s="3" t="inlineStr">
        <is>
          <t>çizim okulu</t>
        </is>
      </c>
      <c r="M445" s="3" t="inlineStr">
        <is>
          <t>Çizim Okulu</t>
        </is>
      </c>
      <c r="N445" s="6" t="inlineStr">
        <is>
          <t>開く</t>
        </is>
      </c>
    </row>
    <row r="446">
      <c r="A446" s="2">
        <f>RANK(J446,$J$2:$J$489)</f>
        <v/>
      </c>
      <c r="B446" s="3" t="inlineStr">
        <is>
          <t>設定・環境</t>
        </is>
      </c>
      <c r="C446" s="3" t="inlineStr">
        <is>
          <t>-</t>
        </is>
      </c>
      <c r="D446" s="4" t="inlineStr">
        <is>
          <t>Einfarb</t>
        </is>
      </c>
      <c r="E446" s="4" t="inlineStr">
        <is>
          <t>選択図形の色を参照図形/ダイアログで一括設定</t>
        </is>
      </c>
      <c r="F446" s="2" t="n">
        <v>7</v>
      </c>
      <c r="G446" s="2" t="n">
        <v>4</v>
      </c>
      <c r="H446" s="2" t="n">
        <v>7</v>
      </c>
      <c r="I446" s="2" t="n">
        <v>13</v>
      </c>
      <c r="J446" s="5">
        <f>SUM(F446:I446)</f>
        <v/>
      </c>
      <c r="K446" s="4" t="inlineStr">
        <is>
          <t>標準で色一括変更可</t>
        </is>
      </c>
      <c r="L446" s="3" t="inlineStr">
        <is>
          <t>CADwiesel</t>
        </is>
      </c>
      <c r="M446" s="3" t="inlineStr">
        <is>
          <t>CADwiesel</t>
        </is>
      </c>
      <c r="N446" s="6" t="inlineStr">
        <is>
          <t>開く</t>
        </is>
      </c>
    </row>
    <row r="447">
      <c r="A447" s="2">
        <f>RANK(J447,$J$2:$J$489)</f>
        <v/>
      </c>
      <c r="B447" s="3" t="inlineStr">
        <is>
          <t>線・ポリライン編集</t>
        </is>
      </c>
      <c r="C447" s="3" t="inlineStr">
        <is>
          <t>-</t>
        </is>
      </c>
      <c r="D447" s="4" t="inlineStr">
        <is>
          <t>Fasen2000</t>
        </is>
      </c>
      <c r="E447" s="4" t="inlineStr">
        <is>
          <t>2本の線/ポリを任意角度で面取り接続</t>
        </is>
      </c>
      <c r="F447" s="2" t="n">
        <v>7</v>
      </c>
      <c r="G447" s="2" t="n">
        <v>6</v>
      </c>
      <c r="H447" s="2" t="n">
        <v>7</v>
      </c>
      <c r="I447" s="2" t="n">
        <v>11</v>
      </c>
      <c r="J447" s="5">
        <f>SUM(F447:I447)</f>
        <v/>
      </c>
      <c r="K447" s="4" t="inlineStr">
        <is>
          <t>CHAMFERで代替</t>
        </is>
      </c>
      <c r="L447" s="3" t="inlineStr">
        <is>
          <t>CADwiesel</t>
        </is>
      </c>
      <c r="M447" s="3" t="inlineStr">
        <is>
          <t>CADwiesel</t>
        </is>
      </c>
      <c r="N447" s="6" t="inlineStr">
        <is>
          <t>開く</t>
        </is>
      </c>
    </row>
    <row r="448">
      <c r="A448" s="2">
        <f>RANK(J448,$J$2:$J$489)</f>
        <v/>
      </c>
      <c r="B448" s="3" t="inlineStr">
        <is>
          <t>画層</t>
        </is>
      </c>
      <c r="C448" s="3" t="inlineStr">
        <is>
          <t>laymache / laycure</t>
        </is>
      </c>
      <c r="D448" s="4" t="inlineStr">
        <is>
          <t>Machprop layer</t>
        </is>
      </c>
      <c r="E448" s="4" t="inlineStr">
        <is>
          <t>図形を目標図形の画層/現在画層へ移動</t>
        </is>
      </c>
      <c r="F448" s="2" t="n">
        <v>5</v>
      </c>
      <c r="G448" s="2" t="n">
        <v>4</v>
      </c>
      <c r="H448" s="2" t="n">
        <v>8</v>
      </c>
      <c r="I448" s="2" t="n">
        <v>14</v>
      </c>
      <c r="J448" s="5">
        <f>SUM(F448:I448)</f>
        <v/>
      </c>
      <c r="K448" s="4" t="inlineStr">
        <is>
          <t>LAYMCH/LAYCURで代替</t>
        </is>
      </c>
      <c r="L448" s="3" t="inlineStr">
        <is>
          <t>EmiCAD</t>
        </is>
      </c>
      <c r="M448" s="3" t="inlineStr">
        <is>
          <t>EmiLISP Free (emicad.it)</t>
        </is>
      </c>
      <c r="N448" s="6" t="inlineStr">
        <is>
          <t>開く</t>
        </is>
      </c>
    </row>
    <row r="449">
      <c r="A449" s="2">
        <f>RANK(J449,$J$2:$J$489)</f>
        <v/>
      </c>
      <c r="B449" s="3" t="inlineStr">
        <is>
          <t>作図</t>
        </is>
      </c>
      <c r="C449" s="3" t="inlineStr">
        <is>
          <t>mcopy</t>
        </is>
      </c>
      <c r="D449" s="4" t="inlineStr">
        <is>
          <t>Mcopy</t>
        </is>
      </c>
      <c r="E449" s="4" t="inlineStr">
        <is>
          <t>指定オフセットで連続多重コピー</t>
        </is>
      </c>
      <c r="F449" s="2" t="n">
        <v>7</v>
      </c>
      <c r="G449" s="2" t="n">
        <v>6</v>
      </c>
      <c r="H449" s="2" t="n">
        <v>6</v>
      </c>
      <c r="I449" s="2" t="n">
        <v>12</v>
      </c>
      <c r="J449" s="5">
        <f>SUM(F449:I449)</f>
        <v/>
      </c>
      <c r="K449" s="4" t="inlineStr">
        <is>
          <t>ARRAYで代替可</t>
        </is>
      </c>
      <c r="L449" s="3" t="inlineStr">
        <is>
          <t>(gile)</t>
        </is>
      </c>
      <c r="M449" s="3" t="inlineStr">
        <is>
          <t>gileCAD</t>
        </is>
      </c>
      <c r="N449" s="6" t="inlineStr">
        <is>
          <t>開く</t>
        </is>
      </c>
    </row>
    <row r="450">
      <c r="A450" s="2">
        <f>RANK(J450,$J$2:$J$489)</f>
        <v/>
      </c>
      <c r="B450" s="3" t="inlineStr">
        <is>
          <t>寸法</t>
        </is>
      </c>
      <c r="C450" s="3" t="inlineStr">
        <is>
          <t>-</t>
        </is>
      </c>
      <c r="D450" s="4" t="inlineStr">
        <is>
          <t>Obrót wymiaru</t>
        </is>
      </c>
      <c r="E450" s="4" t="inlineStr">
        <is>
          <t>寸法を回転</t>
        </is>
      </c>
      <c r="F450" s="2" t="n">
        <v>8</v>
      </c>
      <c r="G450" s="2" t="n">
        <v>6</v>
      </c>
      <c r="H450" s="2" t="n">
        <v>6</v>
      </c>
      <c r="I450" s="2" t="n">
        <v>11</v>
      </c>
      <c r="J450" s="5">
        <f>SUM(F450:I450)</f>
        <v/>
      </c>
      <c r="K450" s="4" t="inlineStr">
        <is>
          <t>寸法回転</t>
        </is>
      </c>
      <c r="L450" s="3" t="inlineStr">
        <is>
          <t>kojacek</t>
        </is>
      </c>
      <c r="M450" s="3" t="inlineStr">
        <is>
          <t>kojacek.wordpress.com</t>
        </is>
      </c>
      <c r="N450" s="6" t="inlineStr">
        <is>
          <t>開く</t>
        </is>
      </c>
    </row>
    <row r="451">
      <c r="A451" s="2">
        <f>RANK(J451,$J$2:$J$489)</f>
        <v/>
      </c>
      <c r="B451" s="3" t="inlineStr">
        <is>
          <t>寸法</t>
        </is>
      </c>
      <c r="C451" s="3" t="inlineStr">
        <is>
          <t>-</t>
        </is>
      </c>
      <c r="D451" s="4" t="inlineStr">
        <is>
          <t>Ramka tekstu wymiarowego</t>
        </is>
      </c>
      <c r="E451" s="4" t="inlineStr">
        <is>
          <t>寸法値の枠表示を切替</t>
        </is>
      </c>
      <c r="F451" s="2" t="n">
        <v>9</v>
      </c>
      <c r="G451" s="2" t="n">
        <v>6</v>
      </c>
      <c r="H451" s="2" t="n">
        <v>5</v>
      </c>
      <c r="I451" s="2" t="n">
        <v>11</v>
      </c>
      <c r="J451" s="5">
        <f>SUM(F451:I451)</f>
        <v/>
      </c>
      <c r="K451" s="4" t="inlineStr">
        <is>
          <t>寸法値枠トグル</t>
        </is>
      </c>
      <c r="L451" s="3" t="inlineStr">
        <is>
          <t>kojacek</t>
        </is>
      </c>
      <c r="M451" s="3" t="inlineStr">
        <is>
          <t>kojacek.wordpress.com</t>
        </is>
      </c>
      <c r="N451" s="6" t="inlineStr">
        <is>
          <t>開く</t>
        </is>
      </c>
    </row>
    <row r="452">
      <c r="A452" s="2">
        <f>RANK(J452,$J$2:$J$489)</f>
        <v/>
      </c>
      <c r="B452" s="3" t="inlineStr">
        <is>
          <t>3D</t>
        </is>
      </c>
      <c r="C452" s="3" t="inlineStr">
        <is>
          <t>roscaiso3d / helice3d / muelle3d</t>
        </is>
      </c>
      <c r="D452" s="4" t="inlineStr">
        <is>
          <t>Rosca / Hélice / Muelle 3D</t>
        </is>
      </c>
      <c r="E452" s="4" t="inlineStr">
        <is>
          <t>ISOねじ・らせん・3Dばねを作図</t>
        </is>
      </c>
      <c r="F452" s="2" t="n">
        <v>11</v>
      </c>
      <c r="G452" s="2" t="n">
        <v>9</v>
      </c>
      <c r="H452" s="2" t="n">
        <v>5</v>
      </c>
      <c r="I452" s="2" t="n">
        <v>6</v>
      </c>
      <c r="J452" s="5">
        <f>SUM(F452:I452)</f>
        <v/>
      </c>
      <c r="K452" s="4" t="inlineStr">
        <is>
          <t>ねじ・ばね3D</t>
        </is>
      </c>
      <c r="L452" s="3" t="inlineStr">
        <is>
          <t>J.A.M.G.P.A.</t>
        </is>
      </c>
      <c r="M452" s="3" t="inlineStr">
        <is>
          <t>jamgpa.com</t>
        </is>
      </c>
      <c r="N452" s="6" t="inlineStr">
        <is>
          <t>開く</t>
        </is>
      </c>
    </row>
    <row r="453">
      <c r="A453" s="2">
        <f>RANK(J453,$J$2:$J$489)</f>
        <v/>
      </c>
      <c r="B453" s="3" t="inlineStr">
        <is>
          <t>外部参照・図面管理・一括処理</t>
        </is>
      </c>
      <c r="C453" s="3" t="inlineStr">
        <is>
          <t>-</t>
        </is>
      </c>
      <c r="D453" s="4" t="inlineStr">
        <is>
          <t>XRef</t>
        </is>
      </c>
      <c r="E453" s="4" t="inlineStr">
        <is>
          <t>右クリック用の外部参照操作コマンド集</t>
        </is>
      </c>
      <c r="F453" s="2" t="n">
        <v>8</v>
      </c>
      <c r="G453" s="2" t="n">
        <v>6</v>
      </c>
      <c r="H453" s="2" t="n">
        <v>7</v>
      </c>
      <c r="I453" s="2" t="n">
        <v>10</v>
      </c>
      <c r="J453" s="5">
        <f>SUM(F453:I453)</f>
        <v/>
      </c>
      <c r="K453" s="4" t="inlineStr">
        <is>
          <t>Xref操作メニュー</t>
        </is>
      </c>
      <c r="L453" s="3" t="inlineStr">
        <is>
          <t>Christoph Spiegel</t>
        </is>
      </c>
      <c r="M453" s="3" t="inlineStr">
        <is>
          <t>CAD-Spiegel</t>
        </is>
      </c>
      <c r="N453" s="6" t="inlineStr">
        <is>
          <t>開く</t>
        </is>
      </c>
    </row>
    <row r="454">
      <c r="A454" s="2">
        <f>RANK(J454,$J$2:$J$489)</f>
        <v/>
      </c>
      <c r="B454" s="3" t="inlineStr">
        <is>
          <t>LISP開発用の部品</t>
        </is>
      </c>
      <c r="C454" s="3" t="inlineStr">
        <is>
          <t>-</t>
        </is>
      </c>
      <c r="D454" s="4" t="inlineStr">
        <is>
          <t>CAL_ / CON_*</t>
        </is>
      </c>
      <c r="E454" s="4" t="inlineStr">
        <is>
          <t>数列・ビット・値/文字/行列変換関数群</t>
        </is>
      </c>
      <c r="F454" s="2" t="n">
        <v>9</v>
      </c>
      <c r="G454" s="2" t="n">
        <v>7</v>
      </c>
      <c r="H454" s="2" t="n">
        <v>3</v>
      </c>
      <c r="I454" s="2" t="n">
        <v>11</v>
      </c>
      <c r="J454" s="5">
        <f>SUM(F454:I454)</f>
        <v/>
      </c>
      <c r="K454" s="4" t="inlineStr">
        <is>
          <t>変換関数群</t>
        </is>
      </c>
      <c r="L454" s="3" t="inlineStr">
        <is>
          <t>CADPL (kojacek, kruuger et al.)</t>
        </is>
      </c>
      <c r="M454" s="3" t="inlineStr">
        <is>
          <t>GitHub: kruuger/CADPL-Pack-v1</t>
        </is>
      </c>
      <c r="N454" s="6" t="inlineStr">
        <is>
          <t>開く</t>
        </is>
      </c>
    </row>
    <row r="455">
      <c r="A455" s="2">
        <f>RANK(J455,$J$2:$J$489)</f>
        <v/>
      </c>
      <c r="B455" s="3" t="inlineStr">
        <is>
          <t>作図</t>
        </is>
      </c>
      <c r="C455" s="3" t="inlineStr">
        <is>
          <t>cicloide / epicicloide / hipocicloide</t>
        </is>
      </c>
      <c r="D455" s="4" t="inlineStr">
        <is>
          <t>Cicloides</t>
        </is>
      </c>
      <c r="E455" s="4" t="inlineStr">
        <is>
          <t>サイクロイド・外/内サイクロイドを作図</t>
        </is>
      </c>
      <c r="F455" s="2" t="n">
        <v>13</v>
      </c>
      <c r="G455" s="2" t="n">
        <v>10</v>
      </c>
      <c r="H455" s="2" t="n">
        <v>3</v>
      </c>
      <c r="I455" s="2" t="n">
        <v>4</v>
      </c>
      <c r="J455" s="5">
        <f>SUM(F455:I455)</f>
        <v/>
      </c>
      <c r="K455" s="4" t="inlineStr">
        <is>
          <t>サイクロイド作図</t>
        </is>
      </c>
      <c r="L455" s="3" t="inlineStr">
        <is>
          <t>J.A.M.G.P.A.</t>
        </is>
      </c>
      <c r="M455" s="3" t="inlineStr">
        <is>
          <t>jamgpa.com</t>
        </is>
      </c>
      <c r="N455" s="6" t="inlineStr">
        <is>
          <t>開く</t>
        </is>
      </c>
    </row>
    <row r="456">
      <c r="A456" s="2">
        <f>RANK(J456,$J$2:$J$489)</f>
        <v/>
      </c>
      <c r="B456" s="3" t="inlineStr">
        <is>
          <t>構造・鉄骨・機械</t>
        </is>
      </c>
      <c r="C456" s="3" t="inlineStr">
        <is>
          <t>-</t>
        </is>
      </c>
      <c r="D456" s="4" t="inlineStr">
        <is>
          <t>EA</t>
        </is>
      </c>
      <c r="E456" s="4" t="inlineStr">
        <is>
          <t>Mechanical情報点をAccessへ出力</t>
        </is>
      </c>
      <c r="F456" s="2" t="n">
        <v>14</v>
      </c>
      <c r="G456" s="2" t="n">
        <v>8</v>
      </c>
      <c r="H456" s="2" t="n">
        <v>5</v>
      </c>
      <c r="I456" s="2" t="n">
        <v>3</v>
      </c>
      <c r="J456" s="5">
        <f>SUM(F456:I456)</f>
        <v/>
      </c>
      <c r="K456" s="4" t="inlineStr">
        <is>
          <t>旧Mechanical専用</t>
        </is>
      </c>
      <c r="L456" s="3" t="inlineStr">
        <is>
          <t>CADwiesel</t>
        </is>
      </c>
      <c r="M456" s="3" t="inlineStr">
        <is>
          <t>CADwiesel</t>
        </is>
      </c>
      <c r="N456" s="6" t="inlineStr">
        <is>
          <t>開く</t>
        </is>
      </c>
    </row>
    <row r="457">
      <c r="A457" s="2">
        <f>RANK(J457,$J$2:$J$489)</f>
        <v/>
      </c>
      <c r="B457" s="3" t="inlineStr">
        <is>
          <t>構造・鉄骨・機械</t>
        </is>
      </c>
      <c r="C457" s="3" t="inlineStr">
        <is>
          <t>muelle2d</t>
        </is>
      </c>
      <c r="D457" s="4" t="inlineStr">
        <is>
          <t>Muelle 2D</t>
        </is>
      </c>
      <c r="E457" s="4" t="inlineStr">
        <is>
          <t>2Dばね図を作図</t>
        </is>
      </c>
      <c r="F457" s="2" t="n">
        <v>12</v>
      </c>
      <c r="G457" s="2" t="n">
        <v>8</v>
      </c>
      <c r="H457" s="2" t="n">
        <v>5</v>
      </c>
      <c r="I457" s="2" t="n">
        <v>5</v>
      </c>
      <c r="J457" s="5">
        <f>SUM(F457:I457)</f>
        <v/>
      </c>
      <c r="K457" s="4" t="inlineStr">
        <is>
          <t>2Dばね図</t>
        </is>
      </c>
      <c r="L457" s="3" t="inlineStr">
        <is>
          <t>J.A.M.G.P.A.</t>
        </is>
      </c>
      <c r="M457" s="3" t="inlineStr">
        <is>
          <t>jamgpa.com</t>
        </is>
      </c>
      <c r="N457" s="6" t="inlineStr">
        <is>
          <t>開く</t>
        </is>
      </c>
    </row>
    <row r="458">
      <c r="A458" s="2">
        <f>RANK(J458,$J$2:$J$489)</f>
        <v/>
      </c>
      <c r="B458" s="3" t="inlineStr">
        <is>
          <t>建築</t>
        </is>
      </c>
      <c r="C458" s="3" t="inlineStr">
        <is>
          <t>st</t>
        </is>
      </c>
      <c r="D458" s="4" t="inlineStr">
        <is>
          <t>Stiegen</t>
        </is>
      </c>
      <c r="E458" s="4" t="inlineStr">
        <is>
          <t>断面の階段を作図</t>
        </is>
      </c>
      <c r="F458" s="2" t="n">
        <v>9</v>
      </c>
      <c r="G458" s="2" t="n">
        <v>7</v>
      </c>
      <c r="H458" s="2" t="n">
        <v>6</v>
      </c>
      <c r="I458" s="2" t="n">
        <v>8</v>
      </c>
      <c r="J458" s="5">
        <f>SUM(F458:I458)</f>
        <v/>
      </c>
      <c r="K458" s="4" t="inlineStr">
        <is>
          <t>階段断面作図</t>
        </is>
      </c>
      <c r="L458" s="3" t="inlineStr">
        <is>
          <t>Christoph Spiegel</t>
        </is>
      </c>
      <c r="M458" s="3" t="inlineStr">
        <is>
          <t>CAD-Spiegel</t>
        </is>
      </c>
      <c r="N458" s="6" t="inlineStr">
        <is>
          <t>開く</t>
        </is>
      </c>
    </row>
    <row r="459">
      <c r="A459" s="2">
        <f>RANK(J459,$J$2:$J$489)</f>
        <v/>
      </c>
      <c r="B459" s="3" t="inlineStr">
        <is>
          <t>線・ポリライン編集</t>
        </is>
      </c>
      <c r="C459" s="3" t="inlineStr">
        <is>
          <t>vc</t>
        </is>
      </c>
      <c r="D459" s="4" t="inlineStr">
        <is>
          <t>vc - Verschneidung</t>
        </is>
      </c>
      <c r="E459" s="4" t="inlineStr">
        <is>
          <t>2本の線を交点まで延長/トリム</t>
        </is>
      </c>
      <c r="F459" s="2" t="n">
        <v>6</v>
      </c>
      <c r="G459" s="2" t="n">
        <v>5</v>
      </c>
      <c r="H459" s="2" t="n">
        <v>7</v>
      </c>
      <c r="I459" s="2" t="n">
        <v>12</v>
      </c>
      <c r="J459" s="5">
        <f>SUM(F459:I459)</f>
        <v/>
      </c>
      <c r="K459" s="4" t="inlineStr">
        <is>
          <t>FILLET/EXTENDで代替</t>
        </is>
      </c>
      <c r="L459" s="3" t="inlineStr">
        <is>
          <t>Christoph Spiegel</t>
        </is>
      </c>
      <c r="M459" s="3" t="inlineStr">
        <is>
          <t>CAD-Spiegel</t>
        </is>
      </c>
      <c r="N459" s="6" t="inlineStr">
        <is>
          <t>開く</t>
        </is>
      </c>
    </row>
    <row r="460">
      <c r="A460" s="2">
        <f>RANK(J460,$J$2:$J$489)</f>
        <v/>
      </c>
      <c r="B460" s="3" t="inlineStr">
        <is>
          <t>建築</t>
        </is>
      </c>
      <c r="C460" s="3" t="inlineStr">
        <is>
          <t>pventana / V3D</t>
        </is>
      </c>
      <c r="D460" s="4" t="inlineStr">
        <is>
          <t>Ventana</t>
        </is>
      </c>
      <c r="E460" s="4" t="inlineStr">
        <is>
          <t>平面の窓・3D窓を作図</t>
        </is>
      </c>
      <c r="F460" s="2" t="n">
        <v>10</v>
      </c>
      <c r="G460" s="2" t="n">
        <v>7</v>
      </c>
      <c r="H460" s="2" t="n">
        <v>6</v>
      </c>
      <c r="I460" s="2" t="n">
        <v>7</v>
      </c>
      <c r="J460" s="5">
        <f>SUM(F460:I460)</f>
        <v/>
      </c>
      <c r="K460" s="4" t="inlineStr">
        <is>
          <t>窓作図</t>
        </is>
      </c>
      <c r="L460" s="3" t="inlineStr">
        <is>
          <t>J.A.M.G.P.A.</t>
        </is>
      </c>
      <c r="M460" s="3" t="inlineStr">
        <is>
          <t>jamgpa.com</t>
        </is>
      </c>
      <c r="N460" s="6" t="inlineStr">
        <is>
          <t>開く</t>
        </is>
      </c>
    </row>
    <row r="461">
      <c r="A461" s="2">
        <f>RANK(J461,$J$2:$J$489)</f>
        <v/>
      </c>
      <c r="B461" s="3" t="inlineStr">
        <is>
          <t>LISP開発用の部品</t>
        </is>
      </c>
      <c r="C461" s="3" t="inlineStr">
        <is>
          <t>-</t>
        </is>
      </c>
      <c r="D461" s="4" t="inlineStr">
        <is>
          <t>XDT_*</t>
        </is>
      </c>
      <c r="E461" s="4" t="inlineStr">
        <is>
          <t>Xdataの取得・設定・削除関数群</t>
        </is>
      </c>
      <c r="F461" s="2" t="n">
        <v>10</v>
      </c>
      <c r="G461" s="2" t="n">
        <v>6</v>
      </c>
      <c r="H461" s="2" t="n">
        <v>3</v>
      </c>
      <c r="I461" s="2" t="n">
        <v>11</v>
      </c>
      <c r="J461" s="5">
        <f>SUM(F461:I461)</f>
        <v/>
      </c>
      <c r="K461" s="4" t="inlineStr">
        <is>
          <t>Xdata関数</t>
        </is>
      </c>
      <c r="L461" s="3" t="inlineStr">
        <is>
          <t>CADPL (kojacek, kruuger et al.)</t>
        </is>
      </c>
      <c r="M461" s="3" t="inlineStr">
        <is>
          <t>GitHub: kruuger/CADPL-Pack-v1</t>
        </is>
      </c>
      <c r="N461" s="6" t="inlineStr">
        <is>
          <t>開く</t>
        </is>
      </c>
    </row>
    <row r="462">
      <c r="A462" s="2">
        <f>RANK(J462,$J$2:$J$489)</f>
        <v/>
      </c>
      <c r="B462" s="3" t="inlineStr">
        <is>
          <t>作図</t>
        </is>
      </c>
      <c r="C462" s="3" t="inlineStr">
        <is>
          <t>aureo</t>
        </is>
      </c>
      <c r="D462" s="4" t="inlineStr">
        <is>
          <t>Aureo</t>
        </is>
      </c>
      <c r="E462" s="4" t="inlineStr">
        <is>
          <t>線分を黄金分割</t>
        </is>
      </c>
      <c r="F462" s="2" t="n">
        <v>12</v>
      </c>
      <c r="G462" s="2" t="n">
        <v>9</v>
      </c>
      <c r="H462" s="2" t="n">
        <v>3</v>
      </c>
      <c r="I462" s="2" t="n">
        <v>5</v>
      </c>
      <c r="J462" s="5">
        <f>SUM(F462:I462)</f>
        <v/>
      </c>
      <c r="K462" s="4" t="inlineStr">
        <is>
          <t>黄金分割</t>
        </is>
      </c>
      <c r="L462" s="3" t="inlineStr">
        <is>
          <t>J.A.M.G.P.A.</t>
        </is>
      </c>
      <c r="M462" s="3" t="inlineStr">
        <is>
          <t>jamgpa.com</t>
        </is>
      </c>
      <c r="N462" s="6" t="inlineStr">
        <is>
          <t>開く</t>
        </is>
      </c>
    </row>
    <row r="463">
      <c r="A463" s="2">
        <f>RANK(J463,$J$2:$J$489)</f>
        <v/>
      </c>
      <c r="B463" s="3" t="inlineStr">
        <is>
          <t>線・ポリライン編集</t>
        </is>
      </c>
      <c r="C463" s="3" t="inlineStr">
        <is>
          <t>-</t>
        </is>
      </c>
      <c r="D463" s="4" t="inlineStr">
        <is>
          <t>c2a</t>
        </is>
      </c>
      <c r="E463" s="4" t="inlineStr">
        <is>
          <t>円を2点で2つの円弧に分割</t>
        </is>
      </c>
      <c r="F463" s="2" t="n">
        <v>9</v>
      </c>
      <c r="G463" s="2" t="n">
        <v>6</v>
      </c>
      <c r="H463" s="2" t="n">
        <v>5</v>
      </c>
      <c r="I463" s="2" t="n">
        <v>9</v>
      </c>
      <c r="J463" s="5">
        <f>SUM(F463:I463)</f>
        <v/>
      </c>
      <c r="K463" s="4" t="inlineStr">
        <is>
          <t>BREAKで代替可</t>
        </is>
      </c>
      <c r="L463" s="3" t="inlineStr">
        <is>
          <t>CADwiesel</t>
        </is>
      </c>
      <c r="M463" s="3" t="inlineStr">
        <is>
          <t>CADwiesel</t>
        </is>
      </c>
      <c r="N463" s="6" t="inlineStr">
        <is>
          <t>開く</t>
        </is>
      </c>
    </row>
    <row r="464">
      <c r="A464" s="2">
        <f>RANK(J464,$J$2:$J$489)</f>
        <v/>
      </c>
      <c r="B464" s="3" t="inlineStr">
        <is>
          <t>建築</t>
        </is>
      </c>
      <c r="C464" s="3" t="inlineStr">
        <is>
          <t>escalera1</t>
        </is>
      </c>
      <c r="D464" s="4" t="inlineStr">
        <is>
          <t>Escalera</t>
        </is>
      </c>
      <c r="E464" s="4" t="inlineStr">
        <is>
          <t>高さ・長さ・段数から階段断面を作図</t>
        </is>
      </c>
      <c r="F464" s="2" t="n">
        <v>9</v>
      </c>
      <c r="G464" s="2" t="n">
        <v>7</v>
      </c>
      <c r="H464" s="2" t="n">
        <v>6</v>
      </c>
      <c r="I464" s="2" t="n">
        <v>7</v>
      </c>
      <c r="J464" s="5">
        <f>SUM(F464:I464)</f>
        <v/>
      </c>
      <c r="K464" s="4" t="inlineStr">
        <is>
          <t>階段断面作図</t>
        </is>
      </c>
      <c r="L464" s="3" t="inlineStr">
        <is>
          <t>J.A.M.G.P.A.</t>
        </is>
      </c>
      <c r="M464" s="3" t="inlineStr">
        <is>
          <t>jamgpa.com</t>
        </is>
      </c>
      <c r="N464" s="6" t="inlineStr">
        <is>
          <t>開く</t>
        </is>
      </c>
    </row>
    <row r="465">
      <c r="A465" s="2">
        <f>RANK(J465,$J$2:$J$489)</f>
        <v/>
      </c>
      <c r="B465" s="3" t="inlineStr">
        <is>
          <t>作図</t>
        </is>
      </c>
      <c r="C465" s="3" t="inlineStr">
        <is>
          <t>esparq / lemniscata / elipsec</t>
        </is>
      </c>
      <c r="D465" s="4" t="inlineStr">
        <is>
          <t>Espiral / Lemniscata / Elipse</t>
        </is>
      </c>
      <c r="E465" s="4" t="inlineStr">
        <is>
          <t>アルキメデス螺旋・レムニスケート・共役径楕円を作図</t>
        </is>
      </c>
      <c r="F465" s="2" t="n">
        <v>13</v>
      </c>
      <c r="G465" s="2" t="n">
        <v>9</v>
      </c>
      <c r="H465" s="2" t="n">
        <v>3</v>
      </c>
      <c r="I465" s="2" t="n">
        <v>4</v>
      </c>
      <c r="J465" s="5">
        <f>SUM(F465:I465)</f>
        <v/>
      </c>
      <c r="K465" s="4" t="inlineStr">
        <is>
          <t>特殊曲線作図</t>
        </is>
      </c>
      <c r="L465" s="3" t="inlineStr">
        <is>
          <t>J.A.M.G.P.A.</t>
        </is>
      </c>
      <c r="M465" s="3" t="inlineStr">
        <is>
          <t>jamgpa.com</t>
        </is>
      </c>
      <c r="N465" s="6" t="inlineStr">
        <is>
          <t>開く</t>
        </is>
      </c>
    </row>
    <row r="466">
      <c r="A466" s="2">
        <f>RANK(J466,$J$2:$J$489)</f>
        <v/>
      </c>
      <c r="B466" s="3" t="inlineStr">
        <is>
          <t>作図</t>
        </is>
      </c>
      <c r="C466" s="3" t="inlineStr">
        <is>
          <t>inserpunto</t>
        </is>
      </c>
      <c r="D466" s="4" t="inlineStr">
        <is>
          <t>Inserisci punto nel cerchio</t>
        </is>
      </c>
      <c r="E466" s="4" t="inlineStr">
        <is>
          <t>円の中心に点を挿入</t>
        </is>
      </c>
      <c r="F466" s="2" t="n">
        <v>8</v>
      </c>
      <c r="G466" s="2" t="n">
        <v>5</v>
      </c>
      <c r="H466" s="2" t="n">
        <v>6</v>
      </c>
      <c r="I466" s="2" t="n">
        <v>10</v>
      </c>
      <c r="J466" s="5">
        <f>SUM(F466:I466)</f>
        <v/>
      </c>
      <c r="K466" s="4" t="inlineStr">
        <is>
          <t>円中心に点</t>
        </is>
      </c>
      <c r="L466" s="3" t="inlineStr">
        <is>
          <t>EmiCAD</t>
        </is>
      </c>
      <c r="M466" s="3" t="inlineStr">
        <is>
          <t>EmiLISP Free (emicad.it)</t>
        </is>
      </c>
      <c r="N466" s="6" t="inlineStr">
        <is>
          <t>開く</t>
        </is>
      </c>
    </row>
    <row r="467">
      <c r="A467" s="2">
        <f>RANK(J467,$J$2:$J$489)</f>
        <v/>
      </c>
      <c r="B467" s="3" t="inlineStr">
        <is>
          <t>建築</t>
        </is>
      </c>
      <c r="C467" s="3" t="inlineStr">
        <is>
          <t>-</t>
        </is>
      </c>
      <c r="D467" s="4" t="inlineStr">
        <is>
          <t>Izolacja (batting)</t>
        </is>
      </c>
      <c r="E467" s="4" t="inlineStr">
        <is>
          <t>壁の断熱材記号を素早く作図</t>
        </is>
      </c>
      <c r="F467" s="2" t="n">
        <v>7</v>
      </c>
      <c r="G467" s="2" t="n">
        <v>6</v>
      </c>
      <c r="H467" s="2" t="n">
        <v>8</v>
      </c>
      <c r="I467" s="2" t="n">
        <v>8</v>
      </c>
      <c r="J467" s="5">
        <f>SUM(F467:I467)</f>
        <v/>
      </c>
      <c r="K467" s="4" t="inlineStr">
        <is>
          <t>断熱線種で代替可</t>
        </is>
      </c>
      <c r="L467" s="3" t="inlineStr">
        <is>
          <t>kojacek</t>
        </is>
      </c>
      <c r="M467" s="3" t="inlineStr">
        <is>
          <t>kojacek.wordpress.com</t>
        </is>
      </c>
      <c r="N467" s="6" t="inlineStr">
        <is>
          <t>開く</t>
        </is>
      </c>
    </row>
    <row r="468">
      <c r="A468" s="2">
        <f>RANK(J468,$J$2:$J$489)</f>
        <v/>
      </c>
      <c r="B468" s="3" t="inlineStr">
        <is>
          <t>画層</t>
        </is>
      </c>
      <c r="C468" s="3" t="inlineStr">
        <is>
          <t>lfba</t>
        </is>
      </c>
      <c r="D468" s="4" t="inlineStr">
        <is>
          <t>LayFrierBlockAtt</t>
        </is>
      </c>
      <c r="E468" s="4" t="inlineStr">
        <is>
          <t>BricsCADでAutoCAD式にブロック属性の画層を凍結</t>
        </is>
      </c>
      <c r="F468" s="2" t="n">
        <v>12</v>
      </c>
      <c r="G468" s="2" t="n">
        <v>7</v>
      </c>
      <c r="H468" s="2" t="n">
        <v>5</v>
      </c>
      <c r="I468" s="2" t="n">
        <v>5</v>
      </c>
      <c r="J468" s="5">
        <f>SUM(F468:I468)</f>
        <v/>
      </c>
      <c r="K468" s="4" t="inlineStr">
        <is>
          <t>BricsCAD向け補完</t>
        </is>
      </c>
      <c r="L468" s="3" t="inlineStr">
        <is>
          <t>Jörn Bosse</t>
        </is>
      </c>
      <c r="M468" s="3" t="inlineStr">
        <is>
          <t>Bosse Engineering</t>
        </is>
      </c>
      <c r="N468" s="6" t="inlineStr">
        <is>
          <t>開く</t>
        </is>
      </c>
    </row>
    <row r="469">
      <c r="A469" s="2">
        <f>RANK(J469,$J$2:$J$489)</f>
        <v/>
      </c>
      <c r="B469" s="3" t="inlineStr">
        <is>
          <t>建築</t>
        </is>
      </c>
      <c r="C469" s="3" t="inlineStr">
        <is>
          <t>-</t>
        </is>
      </c>
      <c r="D469" s="4" t="inlineStr">
        <is>
          <t>Merdiven çizen lisp</t>
        </is>
      </c>
      <c r="E469" s="4" t="inlineStr">
        <is>
          <t>階段を作図</t>
        </is>
      </c>
      <c r="F469" s="2" t="n">
        <v>9</v>
      </c>
      <c r="G469" s="2" t="n">
        <v>7</v>
      </c>
      <c r="H469" s="2" t="n">
        <v>6</v>
      </c>
      <c r="I469" s="2" t="n">
        <v>7</v>
      </c>
      <c r="J469" s="5">
        <f>SUM(F469:I469)</f>
        <v/>
      </c>
      <c r="K469" s="4" t="inlineStr">
        <is>
          <t>階段作図</t>
        </is>
      </c>
      <c r="L469" s="3" t="inlineStr">
        <is>
          <t>çizim okulu</t>
        </is>
      </c>
      <c r="M469" s="3" t="inlineStr">
        <is>
          <t>Çizim Okulu</t>
        </is>
      </c>
      <c r="N469" s="6" t="inlineStr">
        <is>
          <t>開く</t>
        </is>
      </c>
    </row>
    <row r="470">
      <c r="A470" s="2">
        <f>RANK(J470,$J$2:$J$489)</f>
        <v/>
      </c>
      <c r="B470" s="3" t="inlineStr">
        <is>
          <t>座標・測量・土木</t>
        </is>
      </c>
      <c r="C470" s="3" t="inlineStr">
        <is>
          <t>posizione</t>
        </is>
      </c>
      <c r="D470" s="4" t="inlineStr">
        <is>
          <t>Posizione</t>
        </is>
      </c>
      <c r="E470" s="4" t="inlineStr">
        <is>
          <t>ポリライン始点から指定距離に点を配置</t>
        </is>
      </c>
      <c r="F470" s="2" t="n">
        <v>7</v>
      </c>
      <c r="G470" s="2" t="n">
        <v>6</v>
      </c>
      <c r="H470" s="2" t="n">
        <v>6</v>
      </c>
      <c r="I470" s="2" t="n">
        <v>10</v>
      </c>
      <c r="J470" s="5">
        <f>SUM(F470:I470)</f>
        <v/>
      </c>
      <c r="K470" s="4" t="inlineStr">
        <is>
          <t>MEASURE等で代替</t>
        </is>
      </c>
      <c r="L470" s="3" t="inlineStr">
        <is>
          <t>EmiCAD</t>
        </is>
      </c>
      <c r="M470" s="3" t="inlineStr">
        <is>
          <t>EmiLISP Free (emicad.it)</t>
        </is>
      </c>
      <c r="N470" s="6" t="inlineStr">
        <is>
          <t>開く</t>
        </is>
      </c>
    </row>
    <row r="471">
      <c r="A471" s="2">
        <f>RANK(J471,$J$2:$J$489)</f>
        <v/>
      </c>
      <c r="B471" s="3" t="inlineStr">
        <is>
          <t>ハッチ・面積・長さ集計</t>
        </is>
      </c>
      <c r="C471" s="3" t="inlineStr">
        <is>
          <t>creacont</t>
        </is>
      </c>
      <c r="D471" s="4" t="inlineStr">
        <is>
          <t>Ricrea contorno</t>
        </is>
      </c>
      <c r="E471" s="4" t="inlineStr">
        <is>
          <t>ハッチの境界を再作成</t>
        </is>
      </c>
      <c r="F471" s="2" t="n">
        <v>6</v>
      </c>
      <c r="G471" s="2" t="n">
        <v>4</v>
      </c>
      <c r="H471" s="2" t="n">
        <v>7</v>
      </c>
      <c r="I471" s="2" t="n">
        <v>12</v>
      </c>
      <c r="J471" s="5">
        <f>SUM(F471:I471)</f>
        <v/>
      </c>
      <c r="K471" s="4" t="inlineStr">
        <is>
          <t>HATCHGENERATEBOUNDARYで代替</t>
        </is>
      </c>
      <c r="L471" s="3" t="inlineStr">
        <is>
          <t>EmiCAD</t>
        </is>
      </c>
      <c r="M471" s="3" t="inlineStr">
        <is>
          <t>EmiLISP Free (emicad.it)</t>
        </is>
      </c>
      <c r="N471" s="6" t="inlineStr">
        <is>
          <t>開く</t>
        </is>
      </c>
    </row>
    <row r="472">
      <c r="A472" s="2">
        <f>RANK(J472,$J$2:$J$489)</f>
        <v/>
      </c>
      <c r="B472" s="3" t="inlineStr">
        <is>
          <t>表・Excel連携</t>
        </is>
      </c>
      <c r="C472" s="3" t="inlineStr">
        <is>
          <t>Tabella</t>
        </is>
      </c>
      <c r="D472" s="4" t="inlineStr">
        <is>
          <t>Disegna tabella</t>
        </is>
      </c>
      <c r="E472" s="4" t="inlineStr">
        <is>
          <t>2点指定で線の表を作図</t>
        </is>
      </c>
      <c r="F472" s="2" t="n">
        <v>7</v>
      </c>
      <c r="G472" s="2" t="n">
        <v>5</v>
      </c>
      <c r="H472" s="2" t="n">
        <v>6</v>
      </c>
      <c r="I472" s="2" t="n">
        <v>10</v>
      </c>
      <c r="J472" s="5">
        <f>SUM(F472:I472)</f>
        <v/>
      </c>
      <c r="K472" s="4" t="inlineStr">
        <is>
          <t>TABLEで代替</t>
        </is>
      </c>
      <c r="L472" s="3" t="inlineStr">
        <is>
          <t>EmiCAD</t>
        </is>
      </c>
      <c r="M472" s="3" t="inlineStr">
        <is>
          <t>EmiLISP Free (emicad.it)</t>
        </is>
      </c>
      <c r="N472" s="6" t="inlineStr">
        <is>
          <t>開く</t>
        </is>
      </c>
    </row>
    <row r="473">
      <c r="A473" s="2">
        <f>RANK(J473,$J$2:$J$489)</f>
        <v/>
      </c>
      <c r="B473" s="3" t="inlineStr">
        <is>
          <t>作図</t>
        </is>
      </c>
      <c r="C473" s="3" t="inlineStr">
        <is>
          <t>hiperbola / parabola</t>
        </is>
      </c>
      <c r="D473" s="4" t="inlineStr">
        <is>
          <t>Hipérbola / Parábola</t>
        </is>
      </c>
      <c r="E473" s="4" t="inlineStr">
        <is>
          <t>双曲線・放物線を作図</t>
        </is>
      </c>
      <c r="F473" s="2" t="n">
        <v>11</v>
      </c>
      <c r="G473" s="2" t="n">
        <v>8</v>
      </c>
      <c r="H473" s="2" t="n">
        <v>4</v>
      </c>
      <c r="I473" s="2" t="n">
        <v>5</v>
      </c>
      <c r="J473" s="5">
        <f>SUM(F473:I473)</f>
        <v/>
      </c>
      <c r="K473" s="4" t="inlineStr">
        <is>
          <t>二次曲線作図</t>
        </is>
      </c>
      <c r="L473" s="3" t="inlineStr">
        <is>
          <t>J.A.M.G.P.A.</t>
        </is>
      </c>
      <c r="M473" s="3" t="inlineStr">
        <is>
          <t>jamgpa.com</t>
        </is>
      </c>
      <c r="N473" s="6" t="inlineStr">
        <is>
          <t>開く</t>
        </is>
      </c>
    </row>
    <row r="474">
      <c r="A474" s="2">
        <f>RANK(J474,$J$2:$J$489)</f>
        <v/>
      </c>
      <c r="B474" s="3" t="inlineStr">
        <is>
          <t>3D</t>
        </is>
      </c>
      <c r="C474" s="3" t="inlineStr">
        <is>
          <t>-</t>
        </is>
      </c>
      <c r="D474" s="4" t="inlineStr">
        <is>
          <t>Obroty 3D</t>
        </is>
      </c>
      <c r="E474" s="4" t="inlineStr">
        <is>
          <t>3D回転を簡単操作</t>
        </is>
      </c>
      <c r="F474" s="2" t="n">
        <v>8</v>
      </c>
      <c r="G474" s="2" t="n">
        <v>8</v>
      </c>
      <c r="H474" s="2" t="n">
        <v>5</v>
      </c>
      <c r="I474" s="2" t="n">
        <v>7</v>
      </c>
      <c r="J474" s="5">
        <f>SUM(F474:I474)</f>
        <v/>
      </c>
      <c r="K474" s="4" t="inlineStr">
        <is>
          <t>3DROTATEで代替</t>
        </is>
      </c>
      <c r="L474" s="3" t="inlineStr">
        <is>
          <t>kojacek</t>
        </is>
      </c>
      <c r="M474" s="3" t="inlineStr">
        <is>
          <t>kojacek.wordpress.com</t>
        </is>
      </c>
      <c r="N474" s="6" t="inlineStr">
        <is>
          <t>開く</t>
        </is>
      </c>
    </row>
    <row r="475">
      <c r="A475" s="2">
        <f>RANK(J475,$J$2:$J$489)</f>
        <v/>
      </c>
      <c r="B475" s="3" t="inlineStr">
        <is>
          <t>外部参照・図面管理・一括処理</t>
        </is>
      </c>
      <c r="C475" s="3" t="inlineStr">
        <is>
          <t>ritimm</t>
        </is>
      </c>
      <c r="D475" s="4" t="inlineStr">
        <is>
          <t>Ritaglia immagine</t>
        </is>
      </c>
      <c r="E475" s="4" t="inlineStr">
        <is>
          <t>画像を不整形ポリラインでクリップ</t>
        </is>
      </c>
      <c r="F475" s="2" t="n">
        <v>7</v>
      </c>
      <c r="G475" s="2" t="n">
        <v>5</v>
      </c>
      <c r="H475" s="2" t="n">
        <v>6</v>
      </c>
      <c r="I475" s="2" t="n">
        <v>10</v>
      </c>
      <c r="J475" s="5">
        <f>SUM(F475:I475)</f>
        <v/>
      </c>
      <c r="K475" s="4" t="inlineStr">
        <is>
          <t>IMAGECLIPで代替</t>
        </is>
      </c>
      <c r="L475" s="3" t="inlineStr">
        <is>
          <t>EmiCAD</t>
        </is>
      </c>
      <c r="M475" s="3" t="inlineStr">
        <is>
          <t>EmiLISP Free (emicad.it)</t>
        </is>
      </c>
      <c r="N475" s="6" t="inlineStr">
        <is>
          <t>開く</t>
        </is>
      </c>
    </row>
    <row r="476">
      <c r="A476" s="2">
        <f>RANK(J476,$J$2:$J$489)</f>
        <v/>
      </c>
      <c r="B476" s="3" t="inlineStr">
        <is>
          <t>表示・UCS・ビュー</t>
        </is>
      </c>
      <c r="C476" s="3" t="inlineStr">
        <is>
          <t>-</t>
        </is>
      </c>
      <c r="D476" s="4" t="inlineStr">
        <is>
          <t>Widoki 2D/3D</t>
        </is>
      </c>
      <c r="E476" s="4" t="inlineStr">
        <is>
          <t>2D/3Dビューを素早く切替</t>
        </is>
      </c>
      <c r="F476" s="2" t="n">
        <v>7</v>
      </c>
      <c r="G476" s="2" t="n">
        <v>6</v>
      </c>
      <c r="H476" s="2" t="n">
        <v>6</v>
      </c>
      <c r="I476" s="2" t="n">
        <v>9</v>
      </c>
      <c r="J476" s="5">
        <f>SUM(F476:I476)</f>
        <v/>
      </c>
      <c r="K476" s="4" t="inlineStr">
        <is>
          <t>ビュー切替は標準で可</t>
        </is>
      </c>
      <c r="L476" s="3" t="inlineStr">
        <is>
          <t>kojacek</t>
        </is>
      </c>
      <c r="M476" s="3" t="inlineStr">
        <is>
          <t>kojacek.wordpress.com</t>
        </is>
      </c>
      <c r="N476" s="6" t="inlineStr">
        <is>
          <t>開く</t>
        </is>
      </c>
    </row>
    <row r="477">
      <c r="A477" s="2">
        <f>RANK(J477,$J$2:$J$489)</f>
        <v/>
      </c>
      <c r="B477" s="3" t="inlineStr">
        <is>
          <t>作図</t>
        </is>
      </c>
      <c r="C477" s="3" t="inlineStr">
        <is>
          <t>carc</t>
        </is>
      </c>
      <c r="D477" s="4" t="inlineStr">
        <is>
          <t>Chiudi arco</t>
        </is>
      </c>
      <c r="E477" s="4" t="inlineStr">
        <is>
          <t>円弧を同半径の円に</t>
        </is>
      </c>
      <c r="F477" s="2" t="n">
        <v>9</v>
      </c>
      <c r="G477" s="2" t="n">
        <v>6</v>
      </c>
      <c r="H477" s="2" t="n">
        <v>4</v>
      </c>
      <c r="I477" s="2" t="n">
        <v>8</v>
      </c>
      <c r="J477" s="5">
        <f>SUM(F477:I477)</f>
        <v/>
      </c>
      <c r="K477" s="4" t="inlineStr">
        <is>
          <t>円弧を円に</t>
        </is>
      </c>
      <c r="L477" s="3" t="inlineStr">
        <is>
          <t>EmiCAD</t>
        </is>
      </c>
      <c r="M477" s="3" t="inlineStr">
        <is>
          <t>EmiLISP Free (emicad.it)</t>
        </is>
      </c>
      <c r="N477" s="6" t="inlineStr">
        <is>
          <t>開く</t>
        </is>
      </c>
    </row>
    <row r="478">
      <c r="A478" s="2">
        <f>RANK(J478,$J$2:$J$489)</f>
        <v/>
      </c>
      <c r="B478" s="3" t="inlineStr">
        <is>
          <t>文字・テキスト</t>
        </is>
      </c>
      <c r="C478" s="3" t="inlineStr">
        <is>
          <t>contesto</t>
        </is>
      </c>
      <c r="D478" s="4" t="inlineStr">
        <is>
          <t>Continua testo sotto</t>
        </is>
      </c>
      <c r="E478" s="4" t="inlineStr">
        <is>
          <t>既存文字の下に同じ設定で続けて記入</t>
        </is>
      </c>
      <c r="F478" s="2" t="n">
        <v>5</v>
      </c>
      <c r="G478" s="2" t="n">
        <v>4</v>
      </c>
      <c r="H478" s="2" t="n">
        <v>6</v>
      </c>
      <c r="I478" s="2" t="n">
        <v>12</v>
      </c>
      <c r="J478" s="5">
        <f>SUM(F478:I478)</f>
        <v/>
      </c>
      <c r="K478" s="4" t="inlineStr">
        <is>
          <t>標準TEXTで続行可</t>
        </is>
      </c>
      <c r="L478" s="3" t="inlineStr">
        <is>
          <t>EmiCAD</t>
        </is>
      </c>
      <c r="M478" s="3" t="inlineStr">
        <is>
          <t>EmiLISP Free (emicad.it)</t>
        </is>
      </c>
      <c r="N478" s="6" t="inlineStr">
        <is>
          <t>開く</t>
        </is>
      </c>
    </row>
    <row r="479">
      <c r="A479" s="2">
        <f>RANK(J479,$J$2:$J$489)</f>
        <v/>
      </c>
      <c r="B479" s="3" t="inlineStr">
        <is>
          <t>LISP開発用の部品</t>
        </is>
      </c>
      <c r="C479" s="3" t="inlineStr">
        <is>
          <t>-</t>
        </is>
      </c>
      <c r="D479" s="4" t="inlineStr">
        <is>
          <t>LST_*</t>
        </is>
      </c>
      <c r="E479" s="4" t="inlineStr">
        <is>
          <t>リスト項目の挿入・移動・置換・削除関数群</t>
        </is>
      </c>
      <c r="F479" s="2" t="n">
        <v>7</v>
      </c>
      <c r="G479" s="2" t="n">
        <v>5</v>
      </c>
      <c r="H479" s="2" t="n">
        <v>3</v>
      </c>
      <c r="I479" s="2" t="n">
        <v>12</v>
      </c>
      <c r="J479" s="5">
        <f>SUM(F479:I479)</f>
        <v/>
      </c>
      <c r="K479" s="4" t="inlineStr">
        <is>
          <t>リスト操作関数</t>
        </is>
      </c>
      <c r="L479" s="3" t="inlineStr">
        <is>
          <t>CADPL (kojacek, kruuger et al.)</t>
        </is>
      </c>
      <c r="M479" s="3" t="inlineStr">
        <is>
          <t>GitHub: kruuger/CADPL-Pack-v1</t>
        </is>
      </c>
      <c r="N479" s="6" t="inlineStr">
        <is>
          <t>開く</t>
        </is>
      </c>
    </row>
    <row r="480">
      <c r="A480" s="2">
        <f>RANK(J480,$J$2:$J$489)</f>
        <v/>
      </c>
      <c r="B480" s="3" t="inlineStr">
        <is>
          <t>作図</t>
        </is>
      </c>
      <c r="C480" s="3" t="inlineStr">
        <is>
          <t>-</t>
        </is>
      </c>
      <c r="D480" s="4" t="inlineStr">
        <is>
          <t>Rechteck</t>
        </is>
      </c>
      <c r="E480" s="4" t="inlineStr">
        <is>
          <t>辺長指定で中心基点の矩形を作成</t>
        </is>
      </c>
      <c r="F480" s="2" t="n">
        <v>6</v>
      </c>
      <c r="G480" s="2" t="n">
        <v>4</v>
      </c>
      <c r="H480" s="2" t="n">
        <v>6</v>
      </c>
      <c r="I480" s="2" t="n">
        <v>11</v>
      </c>
      <c r="J480" s="5">
        <f>SUM(F480:I480)</f>
        <v/>
      </c>
      <c r="K480" s="4" t="inlineStr">
        <is>
          <t>RECTANGで概ね代替</t>
        </is>
      </c>
      <c r="L480" s="3" t="inlineStr">
        <is>
          <t>CADwiesel</t>
        </is>
      </c>
      <c r="M480" s="3" t="inlineStr">
        <is>
          <t>CADwiesel</t>
        </is>
      </c>
      <c r="N480" s="6" t="inlineStr">
        <is>
          <t>開く</t>
        </is>
      </c>
    </row>
    <row r="481">
      <c r="A481" s="2">
        <f>RANK(J481,$J$2:$J$489)</f>
        <v/>
      </c>
      <c r="B481" s="3" t="inlineStr">
        <is>
          <t>LISP開発用の部品</t>
        </is>
      </c>
      <c r="C481" s="3" t="inlineStr">
        <is>
          <t>-</t>
        </is>
      </c>
      <c r="D481" s="4" t="inlineStr">
        <is>
          <t>STR_*</t>
        </is>
      </c>
      <c r="E481" s="4" t="inlineStr">
        <is>
          <t>文字列分割・結合・文字数カウント関数群</t>
        </is>
      </c>
      <c r="F481" s="2" t="n">
        <v>7</v>
      </c>
      <c r="G481" s="2" t="n">
        <v>5</v>
      </c>
      <c r="H481" s="2" t="n">
        <v>3</v>
      </c>
      <c r="I481" s="2" t="n">
        <v>12</v>
      </c>
      <c r="J481" s="5">
        <f>SUM(F481:I481)</f>
        <v/>
      </c>
      <c r="K481" s="4" t="inlineStr">
        <is>
          <t>文字列関数</t>
        </is>
      </c>
      <c r="L481" s="3" t="inlineStr">
        <is>
          <t>CADPL (kojacek, kruuger et al.)</t>
        </is>
      </c>
      <c r="M481" s="3" t="inlineStr">
        <is>
          <t>GitHub: kruuger/CADPL-Pack-v1</t>
        </is>
      </c>
      <c r="N481" s="6" t="inlineStr">
        <is>
          <t>開く</t>
        </is>
      </c>
    </row>
    <row r="482">
      <c r="A482" s="2">
        <f>RANK(J482,$J$2:$J$489)</f>
        <v/>
      </c>
      <c r="B482" s="3" t="inlineStr">
        <is>
          <t>ハッチ・面積・長さ集計</t>
        </is>
      </c>
      <c r="C482" s="3" t="inlineStr">
        <is>
          <t>dist</t>
        </is>
      </c>
      <c r="D482" s="4" t="inlineStr">
        <is>
          <t>Dist</t>
        </is>
      </c>
      <c r="E482" s="4" t="inlineStr">
        <is>
          <t>2点間距離や選択図形/セグメント長を表示</t>
        </is>
      </c>
      <c r="F482" s="2" t="n">
        <v>4</v>
      </c>
      <c r="G482" s="2" t="n">
        <v>4</v>
      </c>
      <c r="H482" s="2" t="n">
        <v>4</v>
      </c>
      <c r="I482" s="2" t="n">
        <v>14</v>
      </c>
      <c r="J482" s="5">
        <f>SUM(F482:I482)</f>
        <v/>
      </c>
      <c r="K482" s="4" t="inlineStr">
        <is>
          <t>標準DIST/MEASUREGEOM</t>
        </is>
      </c>
      <c r="L482" s="3" t="inlineStr">
        <is>
          <t>(gile)</t>
        </is>
      </c>
      <c r="M482" s="3" t="inlineStr">
        <is>
          <t>gileCAD</t>
        </is>
      </c>
      <c r="N482" s="6" t="inlineStr">
        <is>
          <t>開く</t>
        </is>
      </c>
    </row>
    <row r="483">
      <c r="A483" s="2">
        <f>RANK(J483,$J$2:$J$489)</f>
        <v/>
      </c>
      <c r="B483" s="3" t="inlineStr">
        <is>
          <t>設定・環境</t>
        </is>
      </c>
      <c r="C483" s="3" t="inlineStr">
        <is>
          <t>-</t>
        </is>
      </c>
      <c r="D483" s="4" t="inlineStr">
        <is>
          <t>DelTxtStyles</t>
        </is>
      </c>
      <c r="E483" s="4" t="inlineStr">
        <is>
          <t>ダイアログで文字スタイルを削除</t>
        </is>
      </c>
      <c r="F483" s="2" t="n">
        <v>5</v>
      </c>
      <c r="G483" s="2" t="n">
        <v>4</v>
      </c>
      <c r="H483" s="2" t="n">
        <v>5</v>
      </c>
      <c r="I483" s="2" t="n">
        <v>11</v>
      </c>
      <c r="J483" s="5">
        <f>SUM(F483:I483)</f>
        <v/>
      </c>
      <c r="K483" s="4" t="inlineStr">
        <is>
          <t>PURGEで代替</t>
        </is>
      </c>
      <c r="L483" s="3" t="inlineStr">
        <is>
          <t>CADwiesel</t>
        </is>
      </c>
      <c r="M483" s="3" t="inlineStr">
        <is>
          <t>CADwiesel</t>
        </is>
      </c>
      <c r="N483" s="6" t="inlineStr">
        <is>
          <t>開く</t>
        </is>
      </c>
    </row>
    <row r="484">
      <c r="A484" s="2">
        <f>RANK(J484,$J$2:$J$489)</f>
        <v/>
      </c>
      <c r="B484" s="3" t="inlineStr">
        <is>
          <t>設定・環境</t>
        </is>
      </c>
      <c r="C484" s="3" t="inlineStr">
        <is>
          <t>-</t>
        </is>
      </c>
      <c r="D484" s="4" t="inlineStr">
        <is>
          <t>UserColorBooks</t>
        </is>
      </c>
      <c r="E484" s="4" t="inlineStr">
        <is>
          <t>BricsCAD用ユーザー色見本帳を作成</t>
        </is>
      </c>
      <c r="F484" s="2" t="n">
        <v>10</v>
      </c>
      <c r="G484" s="2" t="n">
        <v>7</v>
      </c>
      <c r="H484" s="2" t="n">
        <v>4</v>
      </c>
      <c r="I484" s="2" t="n">
        <v>4</v>
      </c>
      <c r="J484" s="5">
        <f>SUM(F484:I484)</f>
        <v/>
      </c>
      <c r="K484" s="4" t="inlineStr">
        <is>
          <t>BricsCAD向け色帳</t>
        </is>
      </c>
      <c r="L484" s="3" t="inlineStr">
        <is>
          <t>Jörn Bosse</t>
        </is>
      </c>
      <c r="M484" s="3" t="inlineStr">
        <is>
          <t>Bosse Engineering</t>
        </is>
      </c>
      <c r="N484" s="6" t="inlineStr">
        <is>
          <t>開く</t>
        </is>
      </c>
    </row>
    <row r="485">
      <c r="A485" s="2">
        <f>RANK(J485,$J$2:$J$489)</f>
        <v/>
      </c>
      <c r="B485" s="3" t="inlineStr">
        <is>
          <t>3D</t>
        </is>
      </c>
      <c r="C485" s="3" t="inlineStr">
        <is>
          <t>-</t>
        </is>
      </c>
      <c r="D485" s="4" t="inlineStr">
        <is>
          <t>Z yönünde kopya/taşıma</t>
        </is>
      </c>
      <c r="E485" s="4" t="inlineStr">
        <is>
          <t>Z方向へのコピー・移動</t>
        </is>
      </c>
      <c r="F485" s="2" t="n">
        <v>6</v>
      </c>
      <c r="G485" s="2" t="n">
        <v>5</v>
      </c>
      <c r="H485" s="2" t="n">
        <v>6</v>
      </c>
      <c r="I485" s="2" t="n">
        <v>8</v>
      </c>
      <c r="J485" s="5">
        <f>SUM(F485:I485)</f>
        <v/>
      </c>
      <c r="K485" s="4" t="inlineStr">
        <is>
          <t>COPY/MOVEで代替</t>
        </is>
      </c>
      <c r="L485" s="3" t="inlineStr">
        <is>
          <t>çizim okulu</t>
        </is>
      </c>
      <c r="M485" s="3" t="inlineStr">
        <is>
          <t>Çizim Okulu</t>
        </is>
      </c>
      <c r="N485" s="6" t="inlineStr">
        <is>
          <t>開く</t>
        </is>
      </c>
    </row>
    <row r="486">
      <c r="A486" s="2">
        <f>RANK(J486,$J$2:$J$489)</f>
        <v/>
      </c>
      <c r="B486" s="3" t="inlineStr">
        <is>
          <t>ブロック・属性</t>
        </is>
      </c>
      <c r="C486" s="3" t="inlineStr">
        <is>
          <t>-</t>
        </is>
      </c>
      <c r="D486" s="4" t="inlineStr">
        <is>
          <t>B2S</t>
        </is>
      </c>
      <c r="E486" s="4" t="inlineStr">
        <is>
          <t>全ブロック定義をサイドメニューに挿入用に一覧表示</t>
        </is>
      </c>
      <c r="F486" s="2" t="n">
        <v>6</v>
      </c>
      <c r="G486" s="2" t="n">
        <v>6</v>
      </c>
      <c r="H486" s="2" t="n">
        <v>4</v>
      </c>
      <c r="I486" s="2" t="n">
        <v>8</v>
      </c>
      <c r="J486" s="5">
        <f>SUM(F486:I486)</f>
        <v/>
      </c>
      <c r="K486" s="4" t="inlineStr">
        <is>
          <t>旧式サイドメニュー</t>
        </is>
      </c>
      <c r="L486" s="3" t="inlineStr">
        <is>
          <t>CADwiesel</t>
        </is>
      </c>
      <c r="M486" s="3" t="inlineStr">
        <is>
          <t>CADwiesel</t>
        </is>
      </c>
      <c r="N486" s="6" t="inlineStr">
        <is>
          <t>開く</t>
        </is>
      </c>
    </row>
    <row r="487">
      <c r="A487" s="2">
        <f>RANK(J487,$J$2:$J$489)</f>
        <v/>
      </c>
      <c r="B487" s="3" t="inlineStr">
        <is>
          <t>作図</t>
        </is>
      </c>
      <c r="C487" s="3" t="inlineStr">
        <is>
          <t>estrella / estrella2</t>
        </is>
      </c>
      <c r="D487" s="4" t="inlineStr">
        <is>
          <t>Estrella</t>
        </is>
      </c>
      <c r="E487" s="4" t="inlineStr">
        <is>
          <t>n角の星形を向き指定で作図</t>
        </is>
      </c>
      <c r="F487" s="2" t="n">
        <v>8</v>
      </c>
      <c r="G487" s="2" t="n">
        <v>7</v>
      </c>
      <c r="H487" s="2" t="n">
        <v>3</v>
      </c>
      <c r="I487" s="2" t="n">
        <v>5</v>
      </c>
      <c r="J487" s="5">
        <f>SUM(F487:I487)</f>
        <v/>
      </c>
      <c r="K487" s="4" t="inlineStr">
        <is>
          <t>星形作図</t>
        </is>
      </c>
      <c r="L487" s="3" t="inlineStr">
        <is>
          <t>J.A.M.G.P.A.</t>
        </is>
      </c>
      <c r="M487" s="3" t="inlineStr">
        <is>
          <t>jamgpa.com</t>
        </is>
      </c>
      <c r="N487" s="6" t="inlineStr">
        <is>
          <t>開く</t>
        </is>
      </c>
    </row>
    <row r="488">
      <c r="A488" s="2">
        <f>RANK(J488,$J$2:$J$489)</f>
        <v/>
      </c>
      <c r="B488" s="3" t="inlineStr">
        <is>
          <t>3D</t>
        </is>
      </c>
      <c r="C488" s="3" t="inlineStr">
        <is>
          <t>-</t>
        </is>
      </c>
      <c r="D488" s="4" t="inlineStr">
        <is>
          <t>Rectangle Solid</t>
        </is>
      </c>
      <c r="E488" s="4" t="inlineStr">
        <is>
          <t>矩形からソリッド直方体を作成</t>
        </is>
      </c>
      <c r="F488" s="2" t="n">
        <v>7</v>
      </c>
      <c r="G488" s="2" t="n">
        <v>5</v>
      </c>
      <c r="H488" s="2" t="n">
        <v>4</v>
      </c>
      <c r="I488" s="2" t="n">
        <v>7</v>
      </c>
      <c r="J488" s="5">
        <f>SUM(F488:I488)</f>
        <v/>
      </c>
      <c r="K488" s="4" t="inlineStr">
        <is>
          <t>BOXで代替</t>
        </is>
      </c>
      <c r="L488" s="3" t="inlineStr">
        <is>
          <t>çizim okulu</t>
        </is>
      </c>
      <c r="M488" s="3" t="inlineStr">
        <is>
          <t>Çizim Okulu</t>
        </is>
      </c>
      <c r="N488" s="6" t="inlineStr">
        <is>
          <t>開く</t>
        </is>
      </c>
    </row>
    <row r="489">
      <c r="A489" s="2">
        <f>RANK(J489,$J$2:$J$489)</f>
        <v/>
      </c>
      <c r="B489" s="3" t="inlineStr">
        <is>
          <t>LISP開発用の部品</t>
        </is>
      </c>
      <c r="C489" s="3" t="inlineStr">
        <is>
          <t>TTRA</t>
        </is>
      </c>
      <c r="D489" s="4" t="inlineStr">
        <is>
          <t>ToolTranslator</t>
        </is>
      </c>
      <c r="E489" s="4" t="inlineStr">
        <is>
          <t>CADPLツールのコメントを翻訳</t>
        </is>
      </c>
      <c r="F489" s="2" t="n">
        <v>8</v>
      </c>
      <c r="G489" s="2" t="n">
        <v>6</v>
      </c>
      <c r="H489" s="2" t="n">
        <v>2</v>
      </c>
      <c r="I489" s="2" t="n">
        <v>3</v>
      </c>
      <c r="J489" s="5">
        <f>SUM(F489:I489)</f>
        <v/>
      </c>
      <c r="K489" s="4" t="inlineStr">
        <is>
          <t>開発者向け翻訳</t>
        </is>
      </c>
      <c r="L489" s="3" t="inlineStr">
        <is>
          <t>CADPL (kojacek, kruuger et al.)</t>
        </is>
      </c>
      <c r="M489" s="3" t="inlineStr">
        <is>
          <t>GitHub: kruuger/CADPL-Pack-v1</t>
        </is>
      </c>
      <c r="N489" s="6" t="inlineStr">
        <is>
          <t>開く</t>
        </is>
      </c>
    </row>
  </sheetData>
  <autoFilter ref="A1:N489"/>
  <conditionalFormatting sqref="J2:J489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489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ヨーロッパ（仏: Patrick_35・gileCAD・CADthèque、独: CADwiesel ほか、波: kojacek・CADPL-Pack、伊: EmiLISP、西・土・蘭 少数）。（有料）表示は有料配布の488件。調査日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  <row r="14" ht="48" customHeight="1">
      <c r="A14" s="11" t="inlineStr">
        <is>
          <t>・【重要】点数はすべて「使う前に、説明文など外から見て付けた参考点数」です。アイデア・機能の見込みを示すもので、動作の速さ・使いやすさ（手数の少なさ）・堅牢さ（安定性）などの実装品質は含みません。点差の小さいものの優劣は判断せず、傾向を見る目安として使ってください。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2026-09-26T17:51:46Z</dcterms:created>
  <dcterms:modified xsi:type="dcterms:W3CDTF">2026-09-27T01:29:34Z</dcterms:modified>
</cp:coreProperties>
</file>