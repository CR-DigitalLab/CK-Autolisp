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採点基準" sheetId="2" state="visible" r:id="rId2"/>
  </sheets>
  <definedNames>
    <definedName name="_xlnm._FilterDatabase" localSheetId="0" hidden="1">'一覧'!$A$1:$N$697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  <font>
      <name val="Meiryo"/>
      <color rgb="000563C1"/>
      <u val="single"/>
    </font>
    <font>
      <name val="Meiryo"/>
      <sz val="14"/>
    </font>
    <font>
      <name val="Meiryo"/>
      <sz val="11"/>
    </font>
    <font>
      <name val="Meiryo"/>
      <b val="1"/>
      <sz val="11"/>
    </font>
    <font>
      <name val="Meiryo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e-mac.com/layerdirector.html" TargetMode="External" Id="rId1" /><Relationship Type="http://schemas.openxmlformats.org/officeDocument/2006/relationships/hyperlink" Target="https://www.lee-mac.com/numinc.html" TargetMode="External" Id="rId2" /><Relationship Type="http://schemas.openxmlformats.org/officeDocument/2006/relationships/hyperlink" Target="https://www.lee-mac.com/macatt.html" TargetMode="External" Id="rId3" /><Relationship Type="http://schemas.openxmlformats.org/officeDocument/2006/relationships/hyperlink" Target="https://www.lee-mac.com/bfind.html" TargetMode="External" Id="rId4" /><Relationship Type="http://schemas.openxmlformats.org/officeDocument/2006/relationships/hyperlink" Target="https://www.lee-mac.com/autoblockbreak.html" TargetMode="External" Id="rId5" /><Relationship Type="http://schemas.openxmlformats.org/officeDocument/2006/relationships/hyperlink" Target="https://www.lee-mac.com/incrementalarray.html" TargetMode="External" Id="rId6" /><Relationship Type="http://schemas.openxmlformats.org/officeDocument/2006/relationships/hyperlink" Target="https://www.lee-mac.com/batte.html" TargetMode="External" Id="rId7" /><Relationship Type="http://schemas.openxmlformats.org/officeDocument/2006/relationships/hyperlink" Target="https://www.lee-mac.com/areastofield.html" TargetMode="External" Id="rId8" /><Relationship Type="http://schemas.openxmlformats.org/officeDocument/2006/relationships/hyperlink" Target="https://autolisp-exchange.com/LISP/OpenDwgsCmds.lsp" TargetMode="External" Id="rId9" /><Relationship Type="http://schemas.openxmlformats.org/officeDocument/2006/relationships/hyperlink" Target="https://autolisp-exchange.com/LISP/PlotDwgs.lsp" TargetMode="External" Id="rId10" /><Relationship Type="http://schemas.openxmlformats.org/officeDocument/2006/relationships/hyperlink" Target="https://www.lee-mac.com/arealabel.html" TargetMode="External" Id="rId11" /><Relationship Type="http://schemas.openxmlformats.org/officeDocument/2006/relationships/hyperlink" Target="https://www.lee-mac.com/updatetitleblock.html" TargetMode="External" Id="rId12" /><Relationship Type="http://schemas.openxmlformats.org/officeDocument/2006/relationships/hyperlink" Target="https://jefferypsanders.com/autolisp_batchlisp.html" TargetMode="External" Id="rId13" /><Relationship Type="http://schemas.openxmlformats.org/officeDocument/2006/relationships/hyperlink" Target="https://www.lee-mac.com/copytodrawing.html" TargetMode="External" Id="rId14" /><Relationship Type="http://schemas.openxmlformats.org/officeDocument/2006/relationships/hyperlink" Target="https://www.lee-mac.com/dtcurve.html" TargetMode="External" Id="rId15" /><Relationship Type="http://schemas.openxmlformats.org/officeDocument/2006/relationships/hyperlink" Target="https://cadauthority.com/download-free-autolisp-scripts/" TargetMode="External" Id="rId16" /><Relationship Type="http://schemas.openxmlformats.org/officeDocument/2006/relationships/hyperlink" Target="https://jefferypsanders.com/autolisp_AttInc.html" TargetMode="External" Id="rId17" /><Relationship Type="http://schemas.openxmlformats.org/officeDocument/2006/relationships/hyperlink" Target="https://www.lee-mac.com/autolabelattributes.html" TargetMode="External" Id="rId18" /><Relationship Type="http://schemas.openxmlformats.org/officeDocument/2006/relationships/hyperlink" Target="https://cadauthority.com/download/autocad/autolisp/autocad-breakall-lisp-break-intersections/" TargetMode="External" Id="rId19" /><Relationship Type="http://schemas.openxmlformats.org/officeDocument/2006/relationships/hyperlink" Target="https://cadauthority.com/download/autocad/autocad-incremental-numbering-lisp-incnum/" TargetMode="External" Id="rId20" /><Relationship Type="http://schemas.openxmlformats.org/officeDocument/2006/relationships/hyperlink" Target="https://www.lee-mac.com/fieldmath.html" TargetMode="External" Id="rId21" /><Relationship Type="http://schemas.openxmlformats.org/officeDocument/2006/relationships/hyperlink" Target="http://www.gilesdarling.me.uk/lisproutines.shtml#tpoptria" TargetMode="External" Id="rId22" /><Relationship Type="http://schemas.openxmlformats.org/officeDocument/2006/relationships/hyperlink" Target="http://www.gilesdarling.me.uk/lisproutines.shtml#tpopcont" TargetMode="External" Id="rId23" /><Relationship Type="http://schemas.openxmlformats.org/officeDocument/2006/relationships/hyperlink" Target="https://jefferypsanders.com/autolisp_attmap.html" TargetMode="External" Id="rId24" /><Relationship Type="http://schemas.openxmlformats.org/officeDocument/2006/relationships/hyperlink" Target="https://www.lee-mac.com/copytoxref.html" TargetMode="External" Id="rId25" /><Relationship Type="http://schemas.openxmlformats.org/officeDocument/2006/relationships/hyperlink" Target="https://www.lee-mac.com/steal.html" TargetMode="External" Id="rId26" /><Relationship Type="http://schemas.openxmlformats.org/officeDocument/2006/relationships/hyperlink" Target="https://www.lee-mac.com/assoctextbox.html" TargetMode="External" Id="rId27" /><Relationship Type="http://schemas.openxmlformats.org/officeDocument/2006/relationships/hyperlink" Target="https://www.manusoft.com/resources/freebies/lisp/" TargetMode="External" Id="rId28" /><Relationship Type="http://schemas.openxmlformats.org/officeDocument/2006/relationships/hyperlink" Target="https://www.lee-mac.com/copytolayouts.html" TargetMode="External" Id="rId29" /><Relationship Type="http://schemas.openxmlformats.org/officeDocument/2006/relationships/hyperlink" Target="https://cadauthority.com/download-free-autolisp-scripts/" TargetMode="External" Id="rId30" /><Relationship Type="http://schemas.openxmlformats.org/officeDocument/2006/relationships/hyperlink" Target="https://autolisp-exchange.com/LISP/FindReplace.lsp" TargetMode="External" Id="rId31" /><Relationship Type="http://schemas.openxmlformats.org/officeDocument/2006/relationships/hyperlink" Target="https://www.lee-mac.com/nestedmove.html" TargetMode="External" Id="rId32" /><Relationship Type="http://schemas.openxmlformats.org/officeDocument/2006/relationships/hyperlink" Target="https://www.lee-mac.com/objectlock.html" TargetMode="External" Id="rId33" /><Relationship Type="http://schemas.openxmlformats.org/officeDocument/2006/relationships/hyperlink" Target="https://www.lee-mac.com/scriptwriter.html" TargetMode="External" Id="rId34" /><Relationship Type="http://schemas.openxmlformats.org/officeDocument/2006/relationships/hyperlink" Target="https://www.lee-mac.com/areafieldtoattribute.html" TargetMode="External" Id="rId35" /><Relationship Type="http://schemas.openxmlformats.org/officeDocument/2006/relationships/hyperlink" Target="https://jtbworld.com/autocad-bomlengths-lsp" TargetMode="External" Id="rId36" /><Relationship Type="http://schemas.openxmlformats.org/officeDocument/2006/relationships/hyperlink" Target="https://www.lee-mac.com/tabsort.html" TargetMode="External" Id="rId37" /><Relationship Type="http://schemas.openxmlformats.org/officeDocument/2006/relationships/hyperlink" Target="https://cadauthority.com/download-free-autolisp-scripts/" TargetMode="External" Id="rId38" /><Relationship Type="http://schemas.openxmlformats.org/officeDocument/2006/relationships/hyperlink" Target="https://autolisp-exchange.com/LISP/DPL.lsp" TargetMode="External" Id="rId39" /><Relationship Type="http://schemas.openxmlformats.org/officeDocument/2006/relationships/hyperlink" Target="https://www.lee-mac.com/justifybasepoint.html" TargetMode="External" Id="rId40" /><Relationship Type="http://schemas.openxmlformats.org/officeDocument/2006/relationships/hyperlink" Target="http://www.litio3d.com.ar" TargetMode="External" Id="rId41" /><Relationship Type="http://schemas.openxmlformats.org/officeDocument/2006/relationships/hyperlink" Target="https://www.lee-mac.com/outlineobjects.html" TargetMode="External" Id="rId42" /><Relationship Type="http://schemas.openxmlformats.org/officeDocument/2006/relationships/hyperlink" Target="https://www.lee-mac.com/renumberlayouts.html" TargetMode="External" Id="rId43" /><Relationship Type="http://schemas.openxmlformats.org/officeDocument/2006/relationships/hyperlink" Target="https://jefferypsanders.com/autolisp_Rollin.html" TargetMode="External" Id="rId44" /><Relationship Type="http://schemas.openxmlformats.org/officeDocument/2006/relationships/hyperlink" Target="https://jefferypsanders.com/TOTALTX.LSP" TargetMode="External" Id="rId45" /><Relationship Type="http://schemas.openxmlformats.org/officeDocument/2006/relationships/hyperlink" Target="https://draftsperson.net/lisproutines/zone.lsp" TargetMode="External" Id="rId46" /><Relationship Type="http://schemas.openxmlformats.org/officeDocument/2006/relationships/hyperlink" Target="https://www.lee-mac.com/dimoverlap.html" TargetMode="External" Id="rId47" /><Relationship Type="http://schemas.openxmlformats.org/officeDocument/2006/relationships/hyperlink" Target="https://cadauthority.com/download-free-autolisp-scripts/" TargetMode="External" Id="rId48" /><Relationship Type="http://schemas.openxmlformats.org/officeDocument/2006/relationships/hyperlink" Target="https://www.lee-mac.com/objectbreak.html" TargetMode="External" Id="rId49" /><Relationship Type="http://schemas.openxmlformats.org/officeDocument/2006/relationships/hyperlink" Target="https://www.lee-mac.com/mteditreactor.html" TargetMode="External" Id="rId50" /><Relationship Type="http://schemas.openxmlformats.org/officeDocument/2006/relationships/hyperlink" Target="https://www.lee-mac.com/showhatchtext.html" TargetMode="External" Id="rId51" /><Relationship Type="http://schemas.openxmlformats.org/officeDocument/2006/relationships/hyperlink" Target="https://www.lee-mac.com/sumattributes.html" TargetMode="External" Id="rId52" /><Relationship Type="http://schemas.openxmlformats.org/officeDocument/2006/relationships/hyperlink" Target="http://www.gilesdarling.me.uk/lisproutines.shtml#tpopvol" TargetMode="External" Id="rId53" /><Relationship Type="http://schemas.openxmlformats.org/officeDocument/2006/relationships/hyperlink" Target="https://www.lee-mac.com/totallengthandarea.html" TargetMode="External" Id="rId54" /><Relationship Type="http://schemas.openxmlformats.org/officeDocument/2006/relationships/hyperlink" Target="https://draftsperson.net/lisproutines/arenam.zip" TargetMode="External" Id="rId55" /><Relationship Type="http://schemas.openxmlformats.org/officeDocument/2006/relationships/hyperlink" Target="https://www.lee-mac.com/chainsel.html" TargetMode="External" Id="rId56" /><Relationship Type="http://schemas.openxmlformats.org/officeDocument/2006/relationships/hyperlink" Target="https://www.lee-mac.com/copyblock.html" TargetMode="External" Id="rId57" /><Relationship Type="http://schemas.openxmlformats.org/officeDocument/2006/relationships/hyperlink" Target="https://www.lee-mac.com/deletefromlayouts.html" TargetMode="External" Id="rId58" /><Relationship Type="http://schemas.openxmlformats.org/officeDocument/2006/relationships/hyperlink" Target="https://www.lee-mac.com/intersectionslength.html" TargetMode="External" Id="rId59" /><Relationship Type="http://schemas.openxmlformats.org/officeDocument/2006/relationships/hyperlink" Target="https://www.lee-mac.com/matchattribs.html" TargetMode="External" Id="rId60" /><Relationship Type="http://schemas.openxmlformats.org/officeDocument/2006/relationships/hyperlink" Target="https://jefferypsanders.com/ShrinkWrap.lsp" TargetMode="External" Id="rId61" /><Relationship Type="http://schemas.openxmlformats.org/officeDocument/2006/relationships/hyperlink" Target="https://cadauthority.com/download/autocad/autolisp/autocad-total-length-lisp-totlen/" TargetMode="External" Id="rId62" /><Relationship Type="http://schemas.openxmlformats.org/officeDocument/2006/relationships/hyperlink" Target="https://draftsperson.net/lisproutines/dp2.lsp" TargetMode="External" Id="rId63" /><Relationship Type="http://schemas.openxmlformats.org/officeDocument/2006/relationships/hyperlink" Target="https://jefferypsanders.com/autolisp_blktree.html" TargetMode="External" Id="rId64" /><Relationship Type="http://schemas.openxmlformats.org/officeDocument/2006/relationships/hyperlink" Target="https://jefferypsanders.com/autolisp_blockmaster.html" TargetMode="External" Id="rId65" /><Relationship Type="http://schemas.openxmlformats.org/officeDocument/2006/relationships/hyperlink" Target="https://www.lee-mac.com/chainlength.html" TargetMode="External" Id="rId66" /><Relationship Type="http://schemas.openxmlformats.org/officeDocument/2006/relationships/hyperlink" Target="https://www.manusoft.com/resources/freebies/lisp/" TargetMode="External" Id="rId67" /><Relationship Type="http://schemas.openxmlformats.org/officeDocument/2006/relationships/hyperlink" Target="https://www.lee-mac.com/layerstodrawings.html" TargetMode="External" Id="rId68" /><Relationship Type="http://schemas.openxmlformats.org/officeDocument/2006/relationships/hyperlink" Target="https://www.lee-mac.com/lengthfieldtoattribute.html" TargetMode="External" Id="rId69" /><Relationship Type="http://schemas.openxmlformats.org/officeDocument/2006/relationships/hyperlink" Target="https://jefferypsanders.com/NOTES.zip" TargetMode="External" Id="rId70" /><Relationship Type="http://schemas.openxmlformats.org/officeDocument/2006/relationships/hyperlink" Target="https://draftsperson.net/lisproutines/numbering.lsp" TargetMode="External" Id="rId71" /><Relationship Type="http://schemas.openxmlformats.org/officeDocument/2006/relationships/hyperlink" Target="https://www.manusoft.com/resources/apps/" TargetMode="External" Id="rId72" /><Relationship Type="http://schemas.openxmlformats.org/officeDocument/2006/relationships/hyperlink" Target="https://jefferypsanders.com/autolisp_pipe.html" TargetMode="External" Id="rId73" /><Relationship Type="http://schemas.openxmlformats.org/officeDocument/2006/relationships/hyperlink" Target="https://www.lee-mac.com/textcalculator.html" TargetMode="External" Id="rId74" /><Relationship Type="http://schemas.openxmlformats.org/officeDocument/2006/relationships/hyperlink" Target="https://www.lee-mac.com/objectalign.html" TargetMode="External" Id="rId75" /><Relationship Type="http://schemas.openxmlformats.org/officeDocument/2006/relationships/hyperlink" Target="https://jtbworld.com/autocad-areatext-lsp" TargetMode="External" Id="rId76" /><Relationship Type="http://schemas.openxmlformats.org/officeDocument/2006/relationships/hyperlink" Target="https://jefferypsanders.com/autolisp_BLKOUT.html" TargetMode="External" Id="rId77" /><Relationship Type="http://schemas.openxmlformats.org/officeDocument/2006/relationships/hyperlink" Target="https://jtbworld.com/autocad-blocktoxref-lsp" TargetMode="External" Id="rId78" /><Relationship Type="http://schemas.openxmlformats.org/officeDocument/2006/relationships/hyperlink" Target="https://www.lee-mac.com/boundingboxreactor.html" TargetMode="External" Id="rId79" /><Relationship Type="http://schemas.openxmlformats.org/officeDocument/2006/relationships/hyperlink" Target="https://www.lee-mac.com/changeblockinsertion.html" TargetMode="External" Id="rId80" /><Relationship Type="http://schemas.openxmlformats.org/officeDocument/2006/relationships/hyperlink" Target="https://draftsperson.net/lisproutines/doorac.zip" TargetMode="External" Id="rId81" /><Relationship Type="http://schemas.openxmlformats.org/officeDocument/2006/relationships/hyperlink" Target="https://www.lee-mac.com/elevationmarker.html" TargetMode="External" Id="rId82" /><Relationship Type="http://schemas.openxmlformats.org/officeDocument/2006/relationships/hyperlink" Target="https://jefferypsanders.com/autolisp_etable.html" TargetMode="External" Id="rId83" /><Relationship Type="http://schemas.openxmlformats.org/officeDocument/2006/relationships/hyperlink" Target="https://www.lee-mac.com/lengthfield.html" TargetMode="External" Id="rId84" /><Relationship Type="http://schemas.openxmlformats.org/officeDocument/2006/relationships/hyperlink" Target="https://www.lee-mac.com/nestedblockcounter.html" TargetMode="External" Id="rId85" /><Relationship Type="http://schemas.openxmlformats.org/officeDocument/2006/relationships/hyperlink" Target="https://jefferypsanders.com/nodesert.lsp" TargetMode="External" Id="rId86" /><Relationship Type="http://schemas.openxmlformats.org/officeDocument/2006/relationships/hyperlink" Target="https://jefferypsanders.com/NUMBERX.LSP" TargetMode="External" Id="rId87" /><Relationship Type="http://schemas.openxmlformats.org/officeDocument/2006/relationships/hyperlink" Target="https://www.lee-mac.com/quickfield.html" TargetMode="External" Id="rId88" /><Relationship Type="http://schemas.openxmlformats.org/officeDocument/2006/relationships/hyperlink" Target="https://cadauthority.com/download-free-autolisp-scripts/" TargetMode="External" Id="rId89" /><Relationship Type="http://schemas.openxmlformats.org/officeDocument/2006/relationships/hyperlink" Target="https://autolisp-exchange.com/LISP/Scrs.lsp" TargetMode="External" Id="rId90" /><Relationship Type="http://schemas.openxmlformats.org/officeDocument/2006/relationships/hyperlink" Target="https://jtbworld.com/autocad-vpsel-lsp" TargetMode="External" Id="rId91" /><Relationship Type="http://schemas.openxmlformats.org/officeDocument/2006/relationships/hyperlink" Target="https://jefferypsanders.com/ADDLEN.lsp" TargetMode="External" Id="rId92" /><Relationship Type="http://schemas.openxmlformats.org/officeDocument/2006/relationships/hyperlink" Target="https://www.lee-mac.com/centeredmeasure.html" TargetMode="External" Id="rId93" /><Relationship Type="http://schemas.openxmlformats.org/officeDocument/2006/relationships/hyperlink" Target="http://www.gilesdarling.me.uk/lisproutines.shtml#colourbyz" TargetMode="External" Id="rId94" /><Relationship Type="http://schemas.openxmlformats.org/officeDocument/2006/relationships/hyperlink" Target="https://www.lee-mac.com/copyfield.html" TargetMode="External" Id="rId95" /><Relationship Type="http://schemas.openxmlformats.org/officeDocument/2006/relationships/hyperlink" Target="https://www.lee-mac.com/dynamictextalignment.html" TargetMode="External" Id="rId96" /><Relationship Type="http://schemas.openxmlformats.org/officeDocument/2006/relationships/hyperlink" Target="https://www.lee-mac.com/extractnestedblock.html" TargetMode="External" Id="rId97" /><Relationship Type="http://schemas.openxmlformats.org/officeDocument/2006/relationships/hyperlink" Target="https://draftsperson.net/lisproutines/fixblock.zip" TargetMode="External" Id="rId98" /><Relationship Type="http://schemas.openxmlformats.org/officeDocument/2006/relationships/hyperlink" Target="https://cadauthority.com/download-free-autolisp-scripts/" TargetMode="External" Id="rId99" /><Relationship Type="http://schemas.openxmlformats.org/officeDocument/2006/relationships/hyperlink" Target="https://www.lee-mac.com/label.html" TargetMode="External" Id="rId100" /><Relationship Type="http://schemas.openxmlformats.org/officeDocument/2006/relationships/hyperlink" Target="https://cadauthority.com/download-free-autolisp-scripts/" TargetMode="External" Id="rId101" /><Relationship Type="http://schemas.openxmlformats.org/officeDocument/2006/relationships/hyperlink" Target="https://jtbworld.com/autocad-export-layouts-to-drawings-layoutstodwgs-lsp" TargetMode="External" Id="rId102" /><Relationship Type="http://schemas.openxmlformats.org/officeDocument/2006/relationships/hyperlink" Target="https://www.lee-mac.com/odbxbase.html" TargetMode="External" Id="rId103" /><Relationship Type="http://schemas.openxmlformats.org/officeDocument/2006/relationships/hyperlink" Target="https://www.lee-mac.com/offsetpolysection.html" TargetMode="External" Id="rId104" /><Relationship Type="http://schemas.openxmlformats.org/officeDocument/2006/relationships/hyperlink" Target="https://draftsperson.net/lisproutines/BANK.LSP" TargetMode="External" Id="rId105" /><Relationship Type="http://schemas.openxmlformats.org/officeDocument/2006/relationships/hyperlink" Target="http://www.gilesdarling.me.uk/lisproutines.shtml#tpopcont" TargetMode="External" Id="rId106" /><Relationship Type="http://schemas.openxmlformats.org/officeDocument/2006/relationships/hyperlink" Target="https://www.lee-mac.com/vpoutline.html" TargetMode="External" Id="rId107" /><Relationship Type="http://schemas.openxmlformats.org/officeDocument/2006/relationships/hyperlink" Target="https://jtbworld.com/autocad-vplayers-lsp" TargetMode="External" Id="rId108" /><Relationship Type="http://schemas.openxmlformats.org/officeDocument/2006/relationships/hyperlink" Target="https://draftsperson.net/lisproutines/wblkall.zip" TargetMode="External" Id="rId109" /><Relationship Type="http://schemas.openxmlformats.org/officeDocument/2006/relationships/hyperlink" Target="https://www.lee-mac.com/addobjectstoblock.html" TargetMode="External" Id="rId110" /><Relationship Type="http://schemas.openxmlformats.org/officeDocument/2006/relationships/hyperlink" Target="https://jefferypsanders.com/autolisp_cad2file.html" TargetMode="External" Id="rId111" /><Relationship Type="http://schemas.openxmlformats.org/officeDocument/2006/relationships/hyperlink" Target="https://www.lee-mac.com/copytext.html" TargetMode="External" Id="rId112" /><Relationship Type="http://schemas.openxmlformats.org/officeDocument/2006/relationships/hyperlink" Target="https://www.lee-mac.com/countattributevalues.html" TargetMode="External" Id="rId113" /><Relationship Type="http://schemas.openxmlformats.org/officeDocument/2006/relationships/hyperlink" Target="https://www.lee-mac.com/fieldobjects.html" TargetMode="External" Id="rId114" /><Relationship Type="http://schemas.openxmlformats.org/officeDocument/2006/relationships/hyperlink" Target="https://cadauthority.com/download-free-autolisp-scripts/" TargetMode="External" Id="rId115" /><Relationship Type="http://schemas.openxmlformats.org/officeDocument/2006/relationships/hyperlink" Target="https://jtbworld.com/autocad-lengthtext-lsp" TargetMode="External" Id="rId116" /><Relationship Type="http://schemas.openxmlformats.org/officeDocument/2006/relationships/hyperlink" Target="https://www.lee-mac.com/ptmanager.html" TargetMode="External" Id="rId117" /><Relationship Type="http://schemas.openxmlformats.org/officeDocument/2006/relationships/hyperlink" Target="https://draftsperson.net/lisproutines/pdistr13.lsp" TargetMode="External" Id="rId118" /><Relationship Type="http://schemas.openxmlformats.org/officeDocument/2006/relationships/hyperlink" Target="https://jefferypsanders.com/PRETX.LSP" TargetMode="External" Id="rId119" /><Relationship Type="http://schemas.openxmlformats.org/officeDocument/2006/relationships/hyperlink" Target="https://autolisp-exchange.com/LISP/TM.lsp" TargetMode="External" Id="rId120" /><Relationship Type="http://schemas.openxmlformats.org/officeDocument/2006/relationships/hyperlink" Target="http://www.gilesdarling.me.uk/lisproutines.shtml#tpopsolid" TargetMode="External" Id="rId121" /><Relationship Type="http://schemas.openxmlformats.org/officeDocument/2006/relationships/hyperlink" Target="http://www.gilesdarling.me.uk/lisproutines.shtml#choffset" TargetMode="External" Id="rId122" /><Relationship Type="http://schemas.openxmlformats.org/officeDocument/2006/relationships/hyperlink" Target="https://jefferypsanders.com/autolisp_CLAY.html" TargetMode="External" Id="rId123" /><Relationship Type="http://schemas.openxmlformats.org/officeDocument/2006/relationships/hyperlink" Target="https://www.lee-mac.com/cursorrotate.html" TargetMode="External" Id="rId124" /><Relationship Type="http://schemas.openxmlformats.org/officeDocument/2006/relationships/hyperlink" Target="https://autolisp-exchange.com/LISP/DimStyles.lsp" TargetMode="External" Id="rId125" /><Relationship Type="http://schemas.openxmlformats.org/officeDocument/2006/relationships/hyperlink" Target="https://www.lee-mac.com/dynattwidth.html" TargetMode="External" Id="rId126" /><Relationship Type="http://schemas.openxmlformats.org/officeDocument/2006/relationships/hyperlink" Target="https://www.lee-mac.com/dinfo.html" TargetMode="External" Id="rId127" /><Relationship Type="http://schemas.openxmlformats.org/officeDocument/2006/relationships/hyperlink" Target="https://www.lee-mac.com/layerextract.html" TargetMode="External" Id="rId128" /><Relationship Type="http://schemas.openxmlformats.org/officeDocument/2006/relationships/hyperlink" Target="https://www.lee-mac.com/midlen.html" TargetMode="External" Id="rId129" /><Relationship Type="http://schemas.openxmlformats.org/officeDocument/2006/relationships/hyperlink" Target="https://cadauthority.com/download-free-autolisp-scripts/" TargetMode="External" Id="rId130" /><Relationship Type="http://schemas.openxmlformats.org/officeDocument/2006/relationships/hyperlink" Target="https://www.lee-mac.com/advpolyoutline.html" TargetMode="External" Id="rId131" /><Relationship Type="http://schemas.openxmlformats.org/officeDocument/2006/relationships/hyperlink" Target="https://www.manusoft.com/resources/apps/" TargetMode="External" Id="rId132" /><Relationship Type="http://schemas.openxmlformats.org/officeDocument/2006/relationships/hyperlink" Target="https://draftsperson.net/lisproutines/smver7.zip" TargetMode="External" Id="rId133" /><Relationship Type="http://schemas.openxmlformats.org/officeDocument/2006/relationships/hyperlink" Target="https://draftsperson.net/lisproutines/cht.lsp" TargetMode="External" Id="rId134" /><Relationship Type="http://schemas.openxmlformats.org/officeDocument/2006/relationships/hyperlink" Target="https://draftsperson.net/lisproutines/tb.lsp" TargetMode="External" Id="rId135" /><Relationship Type="http://schemas.openxmlformats.org/officeDocument/2006/relationships/hyperlink" Target="http://www.gilesdarling.me.uk/lisproutines.shtml#tpopvol" TargetMode="External" Id="rId136" /><Relationship Type="http://schemas.openxmlformats.org/officeDocument/2006/relationships/hyperlink" Target="https://jtbworld.com/autolisp-visual-lisp" TargetMode="External" Id="rId137" /><Relationship Type="http://schemas.openxmlformats.org/officeDocument/2006/relationships/hyperlink" Target="https://www.lee-mac.com/grsnap.html" TargetMode="External" Id="rId138" /><Relationship Type="http://schemas.openxmlformats.org/officeDocument/2006/relationships/hyperlink" Target="https://www.lee-mac.com/pslay.html" TargetMode="External" Id="rId139" /><Relationship Type="http://schemas.openxmlformats.org/officeDocument/2006/relationships/hyperlink" Target="https://www.lee-mac.com/matchfieldformatting.html" TargetMode="External" Id="rId140" /><Relationship Type="http://schemas.openxmlformats.org/officeDocument/2006/relationships/hyperlink" Target="https://www.lee-mac.com/quickmerge.html" TargetMode="External" Id="rId141" /><Relationship Type="http://schemas.openxmlformats.org/officeDocument/2006/relationships/hyperlink" Target="https://cadauthority.com/download-free-autolisp-scripts/" TargetMode="External" Id="rId142" /><Relationship Type="http://schemas.openxmlformats.org/officeDocument/2006/relationships/hyperlink" Target="https://jefferypsanders.com/SWAPENT.LSP" TargetMode="External" Id="rId143" /><Relationship Type="http://schemas.openxmlformats.org/officeDocument/2006/relationships/hyperlink" Target="http://www.gilesdarling.me.uk/lisproutines.shtml#tpopslope" TargetMode="External" Id="rId144" /><Relationship Type="http://schemas.openxmlformats.org/officeDocument/2006/relationships/hyperlink" Target="https://jtbworld.com/autocad-vp-outline-lsp" TargetMode="External" Id="rId145" /><Relationship Type="http://schemas.openxmlformats.org/officeDocument/2006/relationships/hyperlink" Target="https://cadauthority.com/download-free-autolisp-scripts/" TargetMode="External" Id="rId146" /><Relationship Type="http://schemas.openxmlformats.org/officeDocument/2006/relationships/hyperlink" Target="https://www.lee-mac.com/layerdraworder.html" TargetMode="External" Id="rId147" /><Relationship Type="http://schemas.openxmlformats.org/officeDocument/2006/relationships/hyperlink" Target="https://cadauthority.com/download-free-autolisp-scripts/" TargetMode="External" Id="rId148" /><Relationship Type="http://schemas.openxmlformats.org/officeDocument/2006/relationships/hyperlink" Target="https://jefferypsanders.com/SWAPTXT.LSP" TargetMode="External" Id="rId149" /><Relationship Type="http://schemas.openxmlformats.org/officeDocument/2006/relationships/hyperlink" Target="https://cadauthority.com/download/autocad/autocad-multi-polyline-area-calculator-lisp/" TargetMode="External" Id="rId150" /><Relationship Type="http://schemas.openxmlformats.org/officeDocument/2006/relationships/hyperlink" Target="https://draftsperson.net/lisproutines/trim%20to%20point.lsp" TargetMode="External" Id="rId151" /><Relationship Type="http://schemas.openxmlformats.org/officeDocument/2006/relationships/hyperlink" Target="https://draftsperson.net/lisproutines/vpgrid.lsp" TargetMode="External" Id="rId152" /><Relationship Type="http://schemas.openxmlformats.org/officeDocument/2006/relationships/hyperlink" Target="https://jtbworld.com/autocad-viewsio-lsp" TargetMode="External" Id="rId153" /><Relationship Type="http://schemas.openxmlformats.org/officeDocument/2006/relationships/hyperlink" Target="https://jefferypsanders.com/autolisp_alias.html" TargetMode="External" Id="rId154" /><Relationship Type="http://schemas.openxmlformats.org/officeDocument/2006/relationships/hyperlink" Target="https://jefferypsanders.com/autolisp_blocks.html" TargetMode="External" Id="rId155" /><Relationship Type="http://schemas.openxmlformats.org/officeDocument/2006/relationships/hyperlink" Target="https://www.lee-mac.com/doubleoffset.html" TargetMode="External" Id="rId156" /><Relationship Type="http://schemas.openxmlformats.org/officeDocument/2006/relationships/hyperlink" Target="https://www.lee-mac.com/dynamicblockcounter.html" TargetMode="External" Id="rId157" /><Relationship Type="http://schemas.openxmlformats.org/officeDocument/2006/relationships/hyperlink" Target="https://jefferypsanders.com/autolisp_examp.html" TargetMode="External" Id="rId158" /><Relationship Type="http://schemas.openxmlformats.org/officeDocument/2006/relationships/hyperlink" Target="https://www.lee-mac.com/grtext.html" TargetMode="External" Id="rId159" /><Relationship Type="http://schemas.openxmlformats.org/officeDocument/2006/relationships/hyperlink" Target="https://draftsperson.net/lisproutines/int.zip" TargetMode="External" Id="rId160" /><Relationship Type="http://schemas.openxmlformats.org/officeDocument/2006/relationships/hyperlink" Target="https://cadauthority.com/download-free-autolisp-scripts/" TargetMode="External" Id="rId161" /><Relationship Type="http://schemas.openxmlformats.org/officeDocument/2006/relationships/hyperlink" Target="https://www.lee-mac.com/totallengthpline.html" TargetMode="External" Id="rId162" /><Relationship Type="http://schemas.openxmlformats.org/officeDocument/2006/relationships/hyperlink" Target="https://jefferypsanders.com/autolisp_examp.html" TargetMode="External" Id="rId163" /><Relationship Type="http://schemas.openxmlformats.org/officeDocument/2006/relationships/hyperlink" Target="https://www.lee-mac.com/polyoutline.html" TargetMode="External" Id="rId164" /><Relationship Type="http://schemas.openxmlformats.org/officeDocument/2006/relationships/hyperlink" Target="https://www.lee-mac.com/resetxreflayers.html" TargetMode="External" Id="rId165" /><Relationship Type="http://schemas.openxmlformats.org/officeDocument/2006/relationships/hyperlink" Target="https://www.lee-mac.com/selectioncounter.html" TargetMode="External" Id="rId166" /><Relationship Type="http://schemas.openxmlformats.org/officeDocument/2006/relationships/hyperlink" Target="https://jtbworld.com/autocad-aream-lsp" TargetMode="External" Id="rId167" /><Relationship Type="http://schemas.openxmlformats.org/officeDocument/2006/relationships/hyperlink" Target="https://www.manusoft.com/resources/freebies/lisp/" TargetMode="External" Id="rId168" /><Relationship Type="http://schemas.openxmlformats.org/officeDocument/2006/relationships/hyperlink" Target="https://www.lee-mac.com/blockcounter.html" TargetMode="External" Id="rId169" /><Relationship Type="http://schemas.openxmlformats.org/officeDocument/2006/relationships/hyperlink" Target="https://cadauthority.com/download-free-autolisp-scripts/" TargetMode="External" Id="rId170" /><Relationship Type="http://schemas.openxmlformats.org/officeDocument/2006/relationships/hyperlink" Target="http://www.gilesdarling.me.uk/lisproutines.shtml#choffset" TargetMode="External" Id="rId171" /><Relationship Type="http://schemas.openxmlformats.org/officeDocument/2006/relationships/hyperlink" Target="https://jefferypsanders.com/autolisp_cntblk.html" TargetMode="External" Id="rId172" /><Relationship Type="http://schemas.openxmlformats.org/officeDocument/2006/relationships/hyperlink" Target="https://autolisp-exchange.com/Other/DelDupLine.lsp" TargetMode="External" Id="rId173" /><Relationship Type="http://schemas.openxmlformats.org/officeDocument/2006/relationships/hyperlink" Target="https://draftsperson.net/lisproutines/DetailBook.zip" TargetMode="External" Id="rId174" /><Relationship Type="http://schemas.openxmlformats.org/officeDocument/2006/relationships/hyperlink" Target="https://draftsperson.net/lisproutines/dof.zip" TargetMode="External" Id="rId175" /><Relationship Type="http://schemas.openxmlformats.org/officeDocument/2006/relationships/hyperlink" Target="https://autolisp-exchange.com/LISP/DrawExcel.lsp" TargetMode="External" Id="rId176" /><Relationship Type="http://schemas.openxmlformats.org/officeDocument/2006/relationships/hyperlink" Target="https://www.lee-mac.com/lisplog.html" TargetMode="External" Id="rId177" /><Relationship Type="http://schemas.openxmlformats.org/officeDocument/2006/relationships/hyperlink" Target="https://jefferypsanders.com/MA.LSP" TargetMode="External" Id="rId178" /><Relationship Type="http://schemas.openxmlformats.org/officeDocument/2006/relationships/hyperlink" Target="https://www.lee-mac.com/matchtextprops.html" TargetMode="External" Id="rId179" /><Relationship Type="http://schemas.openxmlformats.org/officeDocument/2006/relationships/hyperlink" Target="https://www.lee-mac.com/nestedburst.html" TargetMode="External" Id="rId180" /><Relationship Type="http://schemas.openxmlformats.org/officeDocument/2006/relationships/hyperlink" Target="https://draftsperson.net/lisproutines/Spst.rar" TargetMode="External" Id="rId181" /><Relationship Type="http://schemas.openxmlformats.org/officeDocument/2006/relationships/hyperlink" Target="https://jefferypsanders.com/autolisp_Surveyor.html" TargetMode="External" Id="rId182" /><Relationship Type="http://schemas.openxmlformats.org/officeDocument/2006/relationships/hyperlink" Target="http://www.gilesdarling.me.uk/lisproutines.shtml#vcurv" TargetMode="External" Id="rId183" /><Relationship Type="http://schemas.openxmlformats.org/officeDocument/2006/relationships/hyperlink" Target="https://cadauthority.com/download-free-autolisp-scripts/" TargetMode="External" Id="rId184" /><Relationship Type="http://schemas.openxmlformats.org/officeDocument/2006/relationships/hyperlink" Target="https://jefferypsanders.com/autolisp.html" TargetMode="External" Id="rId185" /><Relationship Type="http://schemas.openxmlformats.org/officeDocument/2006/relationships/hyperlink" Target="https://cadauthority.com/download-free-autolisp-scripts/" TargetMode="External" Id="rId186" /><Relationship Type="http://schemas.openxmlformats.org/officeDocument/2006/relationships/hyperlink" Target="http://www.gilesdarling.me.uk/lisproutines.shtml#chsetout" TargetMode="External" Id="rId187" /><Relationship Type="http://schemas.openxmlformats.org/officeDocument/2006/relationships/hyperlink" Target="https://jefferypsanders.com/autolisp_CSVTABLE.html" TargetMode="External" Id="rId188" /><Relationship Type="http://schemas.openxmlformats.org/officeDocument/2006/relationships/hyperlink" Target="https://www.lee-mac.com/deleteblocks.html" TargetMode="External" Id="rId189" /><Relationship Type="http://schemas.openxmlformats.org/officeDocument/2006/relationships/hyperlink" Target="https://cadauthority.com/download-free-autolisp-scripts/" TargetMode="External" Id="rId190" /><Relationship Type="http://schemas.openxmlformats.org/officeDocument/2006/relationships/hyperlink" Target="https://cadauthority.com/download-free-autolisp-scripts/" TargetMode="External" Id="rId191" /><Relationship Type="http://schemas.openxmlformats.org/officeDocument/2006/relationships/hyperlink" Target="https://www.lee-mac.com/copyblockfromdrawing.html" TargetMode="External" Id="rId192" /><Relationship Type="http://schemas.openxmlformats.org/officeDocument/2006/relationships/hyperlink" Target="https://jtbworld.com/autocad-layer-lw-list-lsp" TargetMode="External" Id="rId193" /><Relationship Type="http://schemas.openxmlformats.org/officeDocument/2006/relationships/hyperlink" Target="https://draftsperson.net/lisproutines/trims.zip" TargetMode="External" Id="rId194" /><Relationship Type="http://schemas.openxmlformats.org/officeDocument/2006/relationships/hyperlink" Target="https://draftsperson.net/lisproutines/Stair.rar" TargetMode="External" Id="rId195" /><Relationship Type="http://schemas.openxmlformats.org/officeDocument/2006/relationships/hyperlink" Target="http://www.gilesdarling.me.uk/lisproutines.shtml#tpopslope" TargetMode="External" Id="rId196" /><Relationship Type="http://schemas.openxmlformats.org/officeDocument/2006/relationships/hyperlink" Target="http://www.gilesdarling.me.uk/lisproutines.shtml#tpoplevel" TargetMode="External" Id="rId197" /><Relationship Type="http://schemas.openxmlformats.org/officeDocument/2006/relationships/hyperlink" Target="https://draftsperson.net/lisproutines/updblock.zip" TargetMode="External" Id="rId198" /><Relationship Type="http://schemas.openxmlformats.org/officeDocument/2006/relationships/hyperlink" Target="https://jtbworld.com/justlisp" TargetMode="External" Id="rId199" /><Relationship Type="http://schemas.openxmlformats.org/officeDocument/2006/relationships/hyperlink" Target="https://www.lee-mac.com/2dprojection.html" TargetMode="External" Id="rId200" /><Relationship Type="http://schemas.openxmlformats.org/officeDocument/2006/relationships/hyperlink" Target="https://www.lee-mac.com/3pointrectangle.html" TargetMode="External" Id="rId201" /><Relationship Type="http://schemas.openxmlformats.org/officeDocument/2006/relationships/hyperlink" Target="https://www.lee-mac.com/arrowarc.html" TargetMode="External" Id="rId202" /><Relationship Type="http://schemas.openxmlformats.org/officeDocument/2006/relationships/hyperlink" Target="https://cadauthority.com/download-free-autolisp-scripts/" TargetMode="External" Id="rId203" /><Relationship Type="http://schemas.openxmlformats.org/officeDocument/2006/relationships/hyperlink" Target="https://draftsperson.net/lisproutines/cabine.zip" TargetMode="External" Id="rId204" /><Relationship Type="http://schemas.openxmlformats.org/officeDocument/2006/relationships/hyperlink" Target="http://www.gilesdarling.me.uk/lisproutines.shtml#chxsect" TargetMode="External" Id="rId205" /><Relationship Type="http://schemas.openxmlformats.org/officeDocument/2006/relationships/hyperlink" Target="https://www.lee-mac.com/cwipe.html" TargetMode="External" Id="rId206" /><Relationship Type="http://schemas.openxmlformats.org/officeDocument/2006/relationships/hyperlink" Target="http://www.gilesdarling.me.uk/lisproutines.shtml#colourbyx" TargetMode="External" Id="rId207" /><Relationship Type="http://schemas.openxmlformats.org/officeDocument/2006/relationships/hyperlink" Target="http://www.gilesdarling.me.uk/lisproutines.shtml#colourbyy" TargetMode="External" Id="rId208" /><Relationship Type="http://schemas.openxmlformats.org/officeDocument/2006/relationships/hyperlink" Target="https://www.manusoft.com/resources/freebies/lisp/" TargetMode="External" Id="rId209" /><Relationship Type="http://schemas.openxmlformats.org/officeDocument/2006/relationships/hyperlink" Target="https://draftsperson.net/lisproutines/Freehand.lsp" TargetMode="External" Id="rId210" /><Relationship Type="http://schemas.openxmlformats.org/officeDocument/2006/relationships/hyperlink" Target="https://jefferypsanders.com/autolisp_IMPORTXYZ.html" TargetMode="External" Id="rId211" /><Relationship Type="http://schemas.openxmlformats.org/officeDocument/2006/relationships/hyperlink" Target="https://www.lee-mac.com/minimumenclosingcircle.html" TargetMode="External" Id="rId212" /><Relationship Type="http://schemas.openxmlformats.org/officeDocument/2006/relationships/hyperlink" Target="https://www.lee-mac.com/mpline.html" TargetMode="External" Id="rId213" /><Relationship Type="http://schemas.openxmlformats.org/officeDocument/2006/relationships/hyperlink" Target="https://draftsperson.net/lisproutines/note.zip" TargetMode="External" Id="rId214" /><Relationship Type="http://schemas.openxmlformats.org/officeDocument/2006/relationships/hyperlink" Target="http://blog.jtbworld.com/2009/03/change-autocad-screen-background-color.html" TargetMode="External" Id="rId215" /><Relationship Type="http://schemas.openxmlformats.org/officeDocument/2006/relationships/hyperlink" Target="https://cadauthority.com/download-free-autolisp-scripts/" TargetMode="External" Id="rId216" /><Relationship Type="http://schemas.openxmlformats.org/officeDocument/2006/relationships/hyperlink" Target="https://jefferypsanders.com/SAG.LSP" TargetMode="External" Id="rId217" /><Relationship Type="http://schemas.openxmlformats.org/officeDocument/2006/relationships/hyperlink" Target="https://autolisp-exchange.com/LISP/Bevel.lsp" TargetMode="External" Id="rId218" /><Relationship Type="http://schemas.openxmlformats.org/officeDocument/2006/relationships/hyperlink" Target="https://draftsperson.net/lisproutines/cgrid.zip" TargetMode="External" Id="rId219" /><Relationship Type="http://schemas.openxmlformats.org/officeDocument/2006/relationships/hyperlink" Target="http://www.gilesdarling.me.uk/lisproutines.shtml#chmark" TargetMode="External" Id="rId220" /><Relationship Type="http://schemas.openxmlformats.org/officeDocument/2006/relationships/hyperlink" Target="https://jtbworld.com/autocad-change-no-plottable-layers-lsp" TargetMode="External" Id="rId221" /><Relationship Type="http://schemas.openxmlformats.org/officeDocument/2006/relationships/hyperlink" Target="https://www.lee-mac.com/customcommands.html" TargetMode="External" Id="rId222" /><Relationship Type="http://schemas.openxmlformats.org/officeDocument/2006/relationships/hyperlink" Target="https://jefferypsanders.com/EBT.lsp" TargetMode="External" Id="rId223" /><Relationship Type="http://schemas.openxmlformats.org/officeDocument/2006/relationships/hyperlink" Target="https://www.lee-mac.com/ellipsetoarc.html" TargetMode="External" Id="rId224" /><Relationship Type="http://schemas.openxmlformats.org/officeDocument/2006/relationships/hyperlink" Target="https://jefferypsanders.com/autolisp_ISODIM.html" TargetMode="External" Id="rId225" /><Relationship Type="http://schemas.openxmlformats.org/officeDocument/2006/relationships/hyperlink" Target="https://www.lee-mac.com/layoutfield.html" TargetMode="External" Id="rId226" /><Relationship Type="http://schemas.openxmlformats.org/officeDocument/2006/relationships/hyperlink" Target="https://www.lee-mac.com/minboundingbox.html" TargetMode="External" Id="rId227" /><Relationship Type="http://schemas.openxmlformats.org/officeDocument/2006/relationships/hyperlink" Target="https://jefferypsanders.com/autolisp_RepAtt.html" TargetMode="External" Id="rId228" /><Relationship Type="http://schemas.openxmlformats.org/officeDocument/2006/relationships/hyperlink" Target="http://www.gilesdarling.me.uk/lisproutines.shtml#tpopswap" TargetMode="External" Id="rId229" /><Relationship Type="http://schemas.openxmlformats.org/officeDocument/2006/relationships/hyperlink" Target="https://cadauthority.com/download-free-autolisp-scripts/" TargetMode="External" Id="rId230" /><Relationship Type="http://schemas.openxmlformats.org/officeDocument/2006/relationships/hyperlink" Target="https://www.lee-mac.com/5pointellipse.html" TargetMode="External" Id="rId231" /><Relationship Type="http://schemas.openxmlformats.org/officeDocument/2006/relationships/hyperlink" Target="https://cadauthority.com/download-free-autolisp-scripts/" TargetMode="External" Id="rId232" /><Relationship Type="http://schemas.openxmlformats.org/officeDocument/2006/relationships/hyperlink" Target="https://jefferypsanders.com/autolisp.html" TargetMode="External" Id="rId233" /><Relationship Type="http://schemas.openxmlformats.org/officeDocument/2006/relationships/hyperlink" Target="https://www.manusoft.com/resources/freebies/lisp/" TargetMode="External" Id="rId234" /><Relationship Type="http://schemas.openxmlformats.org/officeDocument/2006/relationships/hyperlink" Target="https://draftsperson.net/lisproutines/bscale.lsp" TargetMode="External" Id="rId235" /><Relationship Type="http://schemas.openxmlformats.org/officeDocument/2006/relationships/hyperlink" Target="https://draftsperson.net/lisproutines/bsc51.zip" TargetMode="External" Id="rId236" /><Relationship Type="http://schemas.openxmlformats.org/officeDocument/2006/relationships/hyperlink" Target="https://cadauthority.com/download/autocad/convert-circle-to-polyline-autocad-lisp/" TargetMode="External" Id="rId237" /><Relationship Type="http://schemas.openxmlformats.org/officeDocument/2006/relationships/hyperlink" Target="https://www.lee-mac.com/doubleextend.html" TargetMode="External" Id="rId238" /><Relationship Type="http://schemas.openxmlformats.org/officeDocument/2006/relationships/hyperlink" Target="https://cadauthority.com/download-free-autolisp-scripts/" TargetMode="External" Id="rId239" /><Relationship Type="http://schemas.openxmlformats.org/officeDocument/2006/relationships/hyperlink" Target="https://draftsperson.net/lisproutines/HVAC%20Suite.rar" TargetMode="External" Id="rId240" /><Relationship Type="http://schemas.openxmlformats.org/officeDocument/2006/relationships/hyperlink" Target="https://draftsperson.net/lisproutines/Matchtxt.lsp" TargetMode="External" Id="rId241" /><Relationship Type="http://schemas.openxmlformats.org/officeDocument/2006/relationships/hyperlink" Target="https://jtbworld.com/autocad-personalmtextsymbols-lsp" TargetMode="External" Id="rId242" /><Relationship Type="http://schemas.openxmlformats.org/officeDocument/2006/relationships/hyperlink" Target="https://jtbworld.com/autocad-purgereconciledlayers-lsp" TargetMode="External" Id="rId243" /><Relationship Type="http://schemas.openxmlformats.org/officeDocument/2006/relationships/hyperlink" Target="https://draftsperson.net/lisproutines/staircal.zip" TargetMode="External" Id="rId244" /><Relationship Type="http://schemas.openxmlformats.org/officeDocument/2006/relationships/hyperlink" Target="https://jefferypsanders.com/autolisp_examp.html" TargetMode="External" Id="rId245" /><Relationship Type="http://schemas.openxmlformats.org/officeDocument/2006/relationships/hyperlink" Target="https://jefferypsanders.com/WEIGHT.zip" TargetMode="External" Id="rId246" /><Relationship Type="http://schemas.openxmlformats.org/officeDocument/2006/relationships/hyperlink" Target="https://www.lee-mac.com/acaddoccreator.html" TargetMode="External" Id="rId247" /><Relationship Type="http://schemas.openxmlformats.org/officeDocument/2006/relationships/hyperlink" Target="https://www.lee-mac.com/curvealignedtext.html" TargetMode="External" Id="rId248" /><Relationship Type="http://schemas.openxmlformats.org/officeDocument/2006/relationships/hyperlink" Target="https://www.lee-mac.com/upgradedburst.html" TargetMode="External" Id="rId249" /><Relationship Type="http://schemas.openxmlformats.org/officeDocument/2006/relationships/hyperlink" Target="http://www.gilesdarling.me.uk/lisproutines.shtml#colourbychart" TargetMode="External" Id="rId250" /><Relationship Type="http://schemas.openxmlformats.org/officeDocument/2006/relationships/hyperlink" Target="https://draftsperson.net/lisproutines/DTWall.rar" TargetMode="External" Id="rId251" /><Relationship Type="http://schemas.openxmlformats.org/officeDocument/2006/relationships/hyperlink" Target="https://jtbworld.com/autolisp-visual-lisp" TargetMode="External" Id="rId252" /><Relationship Type="http://schemas.openxmlformats.org/officeDocument/2006/relationships/hyperlink" Target="https://www.lee-mac.com/fieldformat.html" TargetMode="External" Id="rId253" /><Relationship Type="http://schemas.openxmlformats.org/officeDocument/2006/relationships/hyperlink" Target="https://draftsperson.net/lisproutines/truss.zip" TargetMode="External" Id="rId254" /><Relationship Type="http://schemas.openxmlformats.org/officeDocument/2006/relationships/hyperlink" Target="https://autolisp-exchange.com/LISP/GetVectors.lsp" TargetMode="External" Id="rId255" /><Relationship Type="http://schemas.openxmlformats.org/officeDocument/2006/relationships/hyperlink" Target="https://jtbworld.com/autocad-hatchb-lsp" TargetMode="External" Id="rId256" /><Relationship Type="http://schemas.openxmlformats.org/officeDocument/2006/relationships/hyperlink" Target="https://cadauthority.com/download-free-autolisp-scripts/" TargetMode="External" Id="rId257" /><Relationship Type="http://schemas.openxmlformats.org/officeDocument/2006/relationships/hyperlink" Target="https://draftsperson.net/lisproutines/rafter.zip" TargetMode="External" Id="rId258" /><Relationship Type="http://schemas.openxmlformats.org/officeDocument/2006/relationships/hyperlink" Target="https://www.lee-mac.com/segmentcurve.html" TargetMode="External" Id="rId259" /><Relationship Type="http://schemas.openxmlformats.org/officeDocument/2006/relationships/hyperlink" Target="https://jtbworld.com/autocad-supportpaths-lsp" TargetMode="External" Id="rId260" /><Relationship Type="http://schemas.openxmlformats.org/officeDocument/2006/relationships/hyperlink" Target="https://cadauthority.com/download-free-autolisp-scripts/" TargetMode="External" Id="rId261" /><Relationship Type="http://schemas.openxmlformats.org/officeDocument/2006/relationships/hyperlink" Target="https://draftsperson.net/lisproutines/traver.zip" TargetMode="External" Id="rId262" /><Relationship Type="http://schemas.openxmlformats.org/officeDocument/2006/relationships/hyperlink" Target="https://jtbworld.com/autocad-tsh0-lsp" TargetMode="External" Id="rId263" /><Relationship Type="http://schemas.openxmlformats.org/officeDocument/2006/relationships/hyperlink" Target="https://jefferypsanders.com/autolisp_XL.html" TargetMode="External" Id="rId264" /><Relationship Type="http://schemas.openxmlformats.org/officeDocument/2006/relationships/hyperlink" Target="https://jtbworld.com/autocad-accdist-lsp" TargetMode="External" Id="rId265" /><Relationship Type="http://schemas.openxmlformats.org/officeDocument/2006/relationships/hyperlink" Target="https://jtbworld.com/autocad-attdeftotext-lsp" TargetMode="External" Id="rId266" /><Relationship Type="http://schemas.openxmlformats.org/officeDocument/2006/relationships/hyperlink" Target="https://www.lee-mac.com/attmodsuite.html" TargetMode="External" Id="rId267" /><Relationship Type="http://schemas.openxmlformats.org/officeDocument/2006/relationships/hyperlink" Target="https://cadauthority.com/download-free-autolisp-scripts/" TargetMode="External" Id="rId268" /><Relationship Type="http://schemas.openxmlformats.org/officeDocument/2006/relationships/hyperlink" Target="https://draftsperson.net/lisproutines/civili.zip" TargetMode="External" Id="rId269" /><Relationship Type="http://schemas.openxmlformats.org/officeDocument/2006/relationships/hyperlink" Target="https://autolisp-exchange.com/LISP/COP.lsp" TargetMode="External" Id="rId270" /><Relationship Type="http://schemas.openxmlformats.org/officeDocument/2006/relationships/hyperlink" Target="https://jefferypsanders.com/CPYXREF.lsp" TargetMode="External" Id="rId271" /><Relationship Type="http://schemas.openxmlformats.org/officeDocument/2006/relationships/hyperlink" Target="https://www.lee-mac.com/evalonce.html" TargetMode="External" Id="rId272" /><Relationship Type="http://schemas.openxmlformats.org/officeDocument/2006/relationships/hyperlink" Target="https://www.lee-mac.com/getfieldobjects.html" TargetMode="External" Id="rId273" /><Relationship Type="http://schemas.openxmlformats.org/officeDocument/2006/relationships/hyperlink" Target="https://jefferypsanders.com/FL.lsp" TargetMode="External" Id="rId274" /><Relationship Type="http://schemas.openxmlformats.org/officeDocument/2006/relationships/hyperlink" Target="https://jefferypsanders.com/autolisp_LOADLSP.html" TargetMode="External" Id="rId275" /><Relationship Type="http://schemas.openxmlformats.org/officeDocument/2006/relationships/hyperlink" Target="https://www.lee-mac.com/mecfunction.html" TargetMode="External" Id="rId276" /><Relationship Type="http://schemas.openxmlformats.org/officeDocument/2006/relationships/hyperlink" Target="https://www.manusoft.com/resources/apps/" TargetMode="External" Id="rId277" /><Relationship Type="http://schemas.openxmlformats.org/officeDocument/2006/relationships/hyperlink" Target="https://jtbworld.com/autocad-textfunctions-lsp" TargetMode="External" Id="rId278" /><Relationship Type="http://schemas.openxmlformats.org/officeDocument/2006/relationships/hyperlink" Target="https://www.lee-mac.com/unformatstring.html" TargetMode="External" Id="rId279" /><Relationship Type="http://schemas.openxmlformats.org/officeDocument/2006/relationships/hyperlink" Target="https://jefferypsanders.com/xminsert.lsp" TargetMode="External" Id="rId280" /><Relationship Type="http://schemas.openxmlformats.org/officeDocument/2006/relationships/hyperlink" Target="https://jtbworld.com/autocad-zoome-lsp" TargetMode="External" Id="rId281" /><Relationship Type="http://schemas.openxmlformats.org/officeDocument/2006/relationships/hyperlink" Target="https://autolisp-exchange.com/LISP/Blk_Lib.lsp" TargetMode="External" Id="rId282" /><Relationship Type="http://schemas.openxmlformats.org/officeDocument/2006/relationships/hyperlink" Target="http://www.gilesdarling.me.uk/lisproutines.shtml#chainagelsp" TargetMode="External" Id="rId283" /><Relationship Type="http://schemas.openxmlformats.org/officeDocument/2006/relationships/hyperlink" Target="https://www.lee-mac.com/circletangents.html" TargetMode="External" Id="rId284" /><Relationship Type="http://schemas.openxmlformats.org/officeDocument/2006/relationships/hyperlink" Target="https://cadauthority.com/download-free-autolisp-scripts/" TargetMode="External" Id="rId285" /><Relationship Type="http://schemas.openxmlformats.org/officeDocument/2006/relationships/hyperlink" Target="https://www.lee-mac.com/convexhull.html" TargetMode="External" Id="rId286" /><Relationship Type="http://schemas.openxmlformats.org/officeDocument/2006/relationships/hyperlink" Target="https://draftsperson.net/lisproutines/distbear.zip" TargetMode="External" Id="rId287" /><Relationship Type="http://schemas.openxmlformats.org/officeDocument/2006/relationships/hyperlink" Target="https://autolisp-exchange.com/LISP/DL.lsp" TargetMode="External" Id="rId288" /><Relationship Type="http://schemas.openxmlformats.org/officeDocument/2006/relationships/hyperlink" Target="http://blog.jtbworld.com/2005/03/delete-autocad-layer-filters.html" TargetMode="External" Id="rId289" /><Relationship Type="http://schemas.openxmlformats.org/officeDocument/2006/relationships/hyperlink" Target="https://jtbworld.com/autocad-hatchbase-lsp" TargetMode="External" Id="rId290" /><Relationship Type="http://schemas.openxmlformats.org/officeDocument/2006/relationships/hyperlink" Target="https://www.lee-mac.com/filtlistbox.html" TargetMode="External" Id="rId291" /><Relationship Type="http://schemas.openxmlformats.org/officeDocument/2006/relationships/hyperlink" Target="https://www.lee-mac.com/md5.html" TargetMode="External" Id="rId292" /><Relationship Type="http://schemas.openxmlformats.org/officeDocument/2006/relationships/hyperlink" Target="https://draftsperson.net/lisproutines/Mech2lsp.zip" TargetMode="External" Id="rId293" /><Relationship Type="http://schemas.openxmlformats.org/officeDocument/2006/relationships/hyperlink" Target="https://jefferypsanders.com/autolisp_remf.html" TargetMode="External" Id="rId294" /><Relationship Type="http://schemas.openxmlformats.org/officeDocument/2006/relationships/hyperlink" Target="http://blog.jtbworld.com/2005/10/remove-sheet-set-association-on-sheet.html" TargetMode="External" Id="rId295" /><Relationship Type="http://schemas.openxmlformats.org/officeDocument/2006/relationships/hyperlink" Target="https://www.lee-mac.com/slinkytext.html" TargetMode="External" Id="rId296" /><Relationship Type="http://schemas.openxmlformats.org/officeDocument/2006/relationships/hyperlink" Target="https://www.lee-mac.com/texttowords.html" TargetMode="External" Id="rId297" /><Relationship Type="http://schemas.openxmlformats.org/officeDocument/2006/relationships/hyperlink" Target="https://draftsperson.net/lisproutines/wallsect.rar" TargetMode="External" Id="rId298" /><Relationship Type="http://schemas.openxmlformats.org/officeDocument/2006/relationships/hyperlink" Target="https://draftsperson.net/lisproutines/WallDemo.zip" TargetMode="External" Id="rId299" /><Relationship Type="http://schemas.openxmlformats.org/officeDocument/2006/relationships/hyperlink" Target="https://www.lee-mac.com/aligntext.html" TargetMode="External" Id="rId300" /><Relationship Type="http://schemas.openxmlformats.org/officeDocument/2006/relationships/hyperlink" Target="https://www.lee-mac.com/associativecenterlines.html" TargetMode="External" Id="rId301" /><Relationship Type="http://schemas.openxmlformats.org/officeDocument/2006/relationships/hyperlink" Target="https://www.lee-mac.com/fieldcode.html" TargetMode="External" Id="rId302" /><Relationship Type="http://schemas.openxmlformats.org/officeDocument/2006/relationships/hyperlink" Target="https://www.lee-mac.com/isopoly.html" TargetMode="External" Id="rId303" /><Relationship Type="http://schemas.openxmlformats.org/officeDocument/2006/relationships/hyperlink" Target="https://cadauthority.com/download/autocad/autocad-join-lines-arcs-polylines-lisp/" TargetMode="External" Id="rId304" /><Relationship Type="http://schemas.openxmlformats.org/officeDocument/2006/relationships/hyperlink" Target="https://jtbworld.com/justlisp" TargetMode="External" Id="rId305" /><Relationship Type="http://schemas.openxmlformats.org/officeDocument/2006/relationships/hyperlink" Target="https://autolisp-exchange.com/LISP/Text-Box.lsp" TargetMode="External" Id="rId306" /><Relationship Type="http://schemas.openxmlformats.org/officeDocument/2006/relationships/hyperlink" Target="https://jefferypsanders.com/TEXTOUT.LSP" TargetMode="External" Id="rId307" /><Relationship Type="http://schemas.openxmlformats.org/officeDocument/2006/relationships/hyperlink" Target="https://draftsperson.net/lisproutines/2DDOOR.LSP" TargetMode="External" Id="rId308" /><Relationship Type="http://schemas.openxmlformats.org/officeDocument/2006/relationships/hyperlink" Target="https://draftsperson.net/lisproutines/2DWIN.LSP" TargetMode="External" Id="rId309" /><Relationship Type="http://schemas.openxmlformats.org/officeDocument/2006/relationships/hyperlink" Target="https://draftsperson.net/lisproutines/archlisp.zip" TargetMode="External" Id="rId310" /><Relationship Type="http://schemas.openxmlformats.org/officeDocument/2006/relationships/hyperlink" Target="https://cadauthority.com/download-free-autolisp-scripts/" TargetMode="External" Id="rId311" /><Relationship Type="http://schemas.openxmlformats.org/officeDocument/2006/relationships/hyperlink" Target="https://draftsperson.net/lisproutines/autoweld.zip" TargetMode="External" Id="rId312" /><Relationship Type="http://schemas.openxmlformats.org/officeDocument/2006/relationships/hyperlink" Target="https://draftsperson.net/lisproutines/awelds4.zip" TargetMode="External" Id="rId313" /><Relationship Type="http://schemas.openxmlformats.org/officeDocument/2006/relationships/hyperlink" Target="https://draftsperson.net/lisproutines/civil.zip" TargetMode="External" Id="rId314" /><Relationship Type="http://schemas.openxmlformats.org/officeDocument/2006/relationships/hyperlink" Target="https://www.lee-mac.com/boxtext.html" TargetMode="External" Id="rId315" /><Relationship Type="http://schemas.openxmlformats.org/officeDocument/2006/relationships/hyperlink" Target="https://cadauthority.com/download-free-autolisp-scripts/" TargetMode="External" Id="rId316" /><Relationship Type="http://schemas.openxmlformats.org/officeDocument/2006/relationships/hyperlink" Target="https://jtbworld.com/justlisp" TargetMode="External" Id="rId317" /><Relationship Type="http://schemas.openxmlformats.org/officeDocument/2006/relationships/hyperlink" Target="https://jefferypsanders.com/autolisp_CHAIN.html" TargetMode="External" Id="rId318" /><Relationship Type="http://schemas.openxmlformats.org/officeDocument/2006/relationships/hyperlink" Target="http://www.gilesdarling.me.uk/lisproutines.shtml#chxsect" TargetMode="External" Id="rId319" /><Relationship Type="http://schemas.openxmlformats.org/officeDocument/2006/relationships/hyperlink" Target="https://www.lee-mac.com/getanonymousreferences.html" TargetMode="External" Id="rId320" /><Relationship Type="http://schemas.openxmlformats.org/officeDocument/2006/relationships/hyperlink" Target="https://www.lee-mac.com/getfilesdialog.html" TargetMode="External" Id="rId321" /><Relationship Type="http://schemas.openxmlformats.org/officeDocument/2006/relationships/hyperlink" Target="https://www.lee-mac.com/gettruecontent.html" TargetMode="External" Id="rId322" /><Relationship Type="http://schemas.openxmlformats.org/officeDocument/2006/relationships/hyperlink" Target="https://jtbworld.com/autocad-layers-erase-lsp" TargetMode="External" Id="rId323" /><Relationship Type="http://schemas.openxmlformats.org/officeDocument/2006/relationships/hyperlink" Target="https://cadauthority.com/download-free-autolisp-scripts/" TargetMode="External" Id="rId324" /><Relationship Type="http://schemas.openxmlformats.org/officeDocument/2006/relationships/hyperlink" Target="https://www.manusoft.com/resources/freebies/lisp/" TargetMode="External" Id="rId325" /><Relationship Type="http://schemas.openxmlformats.org/officeDocument/2006/relationships/hyperlink" Target="https://www.lee-mac.com/ms2ps.html" TargetMode="External" Id="rId326" /><Relationship Type="http://schemas.openxmlformats.org/officeDocument/2006/relationships/hyperlink" Target="https://jefferypsanders.com/autolisp.html" TargetMode="External" Id="rId327" /><Relationship Type="http://schemas.openxmlformats.org/officeDocument/2006/relationships/hyperlink" Target="https://www.lee-mac.com/polytaper.html" TargetMode="External" Id="rId328" /><Relationship Type="http://schemas.openxmlformats.org/officeDocument/2006/relationships/hyperlink" Target="https://draftsperson.net/lisproutines/ssp_v25.zip" TargetMode="External" Id="rId329" /><Relationship Type="http://schemas.openxmlformats.org/officeDocument/2006/relationships/hyperlink" Target="https://www.manusoft.com/resources/freebies/lisp/" TargetMode="External" Id="rId330" /><Relationship Type="http://schemas.openxmlformats.org/officeDocument/2006/relationships/hyperlink" Target="https://jtbworld.com/autocad-textheight-lsp" TargetMode="External" Id="rId331" /><Relationship Type="http://schemas.openxmlformats.org/officeDocument/2006/relationships/hyperlink" Target="http://www.gilesdarling.me.uk/lisproutines.shtml#tpopthin" TargetMode="External" Id="rId332" /><Relationship Type="http://schemas.openxmlformats.org/officeDocument/2006/relationships/hyperlink" Target="https://cadauthority.com/download-free-autolisp-scripts/" TargetMode="External" Id="rId333" /><Relationship Type="http://schemas.openxmlformats.org/officeDocument/2006/relationships/hyperlink" Target="https://www.lee-mac.com/attributecolour.html" TargetMode="External" Id="rId334" /><Relationship Type="http://schemas.openxmlformats.org/officeDocument/2006/relationships/hyperlink" Target="https://draftsperson.net/lisproutines/symbols.zip" TargetMode="External" Id="rId335" /><Relationship Type="http://schemas.openxmlformats.org/officeDocument/2006/relationships/hyperlink" Target="https://draftsperson.net/lisproutines/Building.rar" TargetMode="External" Id="rId336" /><Relationship Type="http://schemas.openxmlformats.org/officeDocument/2006/relationships/hyperlink" Target="http://www.gilesdarling.me.uk/lisproutines.shtml#chmark" TargetMode="External" Id="rId337" /><Relationship Type="http://schemas.openxmlformats.org/officeDocument/2006/relationships/hyperlink" Target="https://www.lee-mac.com/copyblockdefinition.html" TargetMode="External" Id="rId338" /><Relationship Type="http://schemas.openxmlformats.org/officeDocument/2006/relationships/hyperlink" Target="https://jefferypsanders.com/autolisp_examp.html" TargetMode="External" Id="rId339" /><Relationship Type="http://schemas.openxmlformats.org/officeDocument/2006/relationships/hyperlink" Target="https://www.lee-mac.com/entitytopointlist.html" TargetMode="External" Id="rId340" /><Relationship Type="http://schemas.openxmlformats.org/officeDocument/2006/relationships/hyperlink" Target="https://jtbworld.com/?view=article&amp;id=219:autocad-mstxt-lsp&amp;catid=2" TargetMode="External" Id="rId341" /><Relationship Type="http://schemas.openxmlformats.org/officeDocument/2006/relationships/hyperlink" Target="https://www.lee-mac.com/mlinetopline.html" TargetMode="External" Id="rId342" /><Relationship Type="http://schemas.openxmlformats.org/officeDocument/2006/relationships/hyperlink" Target="https://jefferypsanders.com/autolisp_remdup.html" TargetMode="External" Id="rId343" /><Relationship Type="http://schemas.openxmlformats.org/officeDocument/2006/relationships/hyperlink" Target="https://www.lee-mac.com/polyinfo.html" TargetMode="External" Id="rId344" /><Relationship Type="http://schemas.openxmlformats.org/officeDocument/2006/relationships/hyperlink" Target="https://jtbworld.com/autocad-purge-point-lsp" TargetMode="External" Id="rId345" /><Relationship Type="http://schemas.openxmlformats.org/officeDocument/2006/relationships/hyperlink" Target="https://jefferypsanders.com/SAFEX.lsp" TargetMode="External" Id="rId346" /><Relationship Type="http://schemas.openxmlformats.org/officeDocument/2006/relationships/hyperlink" Target="https://autolisp-exchange.com/LISP/Search.lsp" TargetMode="External" Id="rId347" /><Relationship Type="http://schemas.openxmlformats.org/officeDocument/2006/relationships/hyperlink" Target="https://draftsperson.net/lisproutines/slot1.zip" TargetMode="External" Id="rId348" /><Relationship Type="http://schemas.openxmlformats.org/officeDocument/2006/relationships/hyperlink" Target="https://draftsperson.net/lisproutines/Steel.rar" TargetMode="External" Id="rId349" /><Relationship Type="http://schemas.openxmlformats.org/officeDocument/2006/relationships/hyperlink" Target="https://www.lee-mac.com/strikethrough.html" TargetMode="External" Id="rId350" /><Relationship Type="http://schemas.openxmlformats.org/officeDocument/2006/relationships/hyperlink" Target="https://www.lee-mac.com/tcount.html" TargetMode="External" Id="rId351" /><Relationship Type="http://schemas.openxmlformats.org/officeDocument/2006/relationships/hyperlink" Target="https://jefferypsanders.com/TEXTIN.LSP" TargetMode="External" Id="rId352" /><Relationship Type="http://schemas.openxmlformats.org/officeDocument/2006/relationships/hyperlink" Target="https://draftsperson.net/lisproutines/truss2.zip" TargetMode="External" Id="rId353" /><Relationship Type="http://schemas.openxmlformats.org/officeDocument/2006/relationships/hyperlink" Target="https://jtbworld.com/autocad-xrefrename-lsp" TargetMode="External" Id="rId354" /><Relationship Type="http://schemas.openxmlformats.org/officeDocument/2006/relationships/hyperlink" Target="https://www.manusoft.com/resources/freebies/lisp/" TargetMode="External" Id="rId355" /><Relationship Type="http://schemas.openxmlformats.org/officeDocument/2006/relationships/hyperlink" Target="https://draftsperson.net/lisproutines/steel2.zip" TargetMode="External" Id="rId356" /><Relationship Type="http://schemas.openxmlformats.org/officeDocument/2006/relationships/hyperlink" Target="https://draftsperson.net/lisproutines/arcl.lsp" TargetMode="External" Id="rId357" /><Relationship Type="http://schemas.openxmlformats.org/officeDocument/2006/relationships/hyperlink" Target="https://draftsperson.net/lisproutines/bylaybk.zip" TargetMode="External" Id="rId358" /><Relationship Type="http://schemas.openxmlformats.org/officeDocument/2006/relationships/hyperlink" Target="https://draftsperson.net/lisproutines/BK.LSP" TargetMode="External" Id="rId359" /><Relationship Type="http://schemas.openxmlformats.org/officeDocument/2006/relationships/hyperlink" Target="http://www.gilesdarling.me.uk/lisproutines.shtml#changent" TargetMode="External" Id="rId360" /><Relationship Type="http://schemas.openxmlformats.org/officeDocument/2006/relationships/hyperlink" Target="https://autolisp-exchange.com/LISP/Dcl_Tiles.lsp" TargetMode="External" Id="rId361" /><Relationship Type="http://schemas.openxmlformats.org/officeDocument/2006/relationships/hyperlink" Target="https://cadauthority.com/download-free-autolisp-scripts/" TargetMode="External" Id="rId362" /><Relationship Type="http://schemas.openxmlformats.org/officeDocument/2006/relationships/hyperlink" Target="https://draftsperson.net/lisproutines/DWGguardTNT.zip" TargetMode="External" Id="rId363" /><Relationship Type="http://schemas.openxmlformats.org/officeDocument/2006/relationships/hyperlink" Target="https://www.lee-mac.com/dynamicoffset.html" TargetMode="External" Id="rId364" /><Relationship Type="http://schemas.openxmlformats.org/officeDocument/2006/relationships/hyperlink" Target="https://jtbworld.com/autocad-getvpscale-lsp" TargetMode="External" Id="rId365" /><Relationship Type="http://schemas.openxmlformats.org/officeDocument/2006/relationships/hyperlink" Target="https://cadauthority.com/download-free-autolisp-scripts/" TargetMode="External" Id="rId366" /><Relationship Type="http://schemas.openxmlformats.org/officeDocument/2006/relationships/hyperlink" Target="https://cadauthority.com/download-free-autolisp-scripts/" TargetMode="External" Id="rId367" /><Relationship Type="http://schemas.openxmlformats.org/officeDocument/2006/relationships/hyperlink" Target="https://draftsperson.net/lisproutines/lisput.zip" TargetMode="External" Id="rId368" /><Relationship Type="http://schemas.openxmlformats.org/officeDocument/2006/relationships/hyperlink" Target="https://jefferypsanders.com/autolisp_MATCH.html" TargetMode="External" Id="rId369" /><Relationship Type="http://schemas.openxmlformats.org/officeDocument/2006/relationships/hyperlink" Target="https://cadauthority.com/download/autocad/autocad-overkilllite-fast-duplicate-removal-lisp/" TargetMode="External" Id="rId370" /><Relationship Type="http://schemas.openxmlformats.org/officeDocument/2006/relationships/hyperlink" Target="https://jtbworld.com/autocad-pagesetup-lsp" TargetMode="External" Id="rId371" /><Relationship Type="http://schemas.openxmlformats.org/officeDocument/2006/relationships/hyperlink" Target="https://draftsperson.net/lisproutines/Power.rar" TargetMode="External" Id="rId372" /><Relationship Type="http://schemas.openxmlformats.org/officeDocument/2006/relationships/hyperlink" Target="https://cadauthority.com/download-free-autolisp-scripts/" TargetMode="External" Id="rId373" /><Relationship Type="http://schemas.openxmlformats.org/officeDocument/2006/relationships/hyperlink" Target="https://jtbworld.com/autocad-purger-lsp" TargetMode="External" Id="rId374" /><Relationship Type="http://schemas.openxmlformats.org/officeDocument/2006/relationships/hyperlink" Target="https://www.lee-mac.com/quickmirror.html" TargetMode="External" Id="rId375" /><Relationship Type="http://schemas.openxmlformats.org/officeDocument/2006/relationships/hyperlink" Target="https://autolisp-exchange.com/LISP/SayIt.lsp" TargetMode="External" Id="rId376" /><Relationship Type="http://schemas.openxmlformats.org/officeDocument/2006/relationships/hyperlink" Target="https://draftsperson.net/lisproutines/textsize.zip" TargetMode="External" Id="rId377" /><Relationship Type="http://schemas.openxmlformats.org/officeDocument/2006/relationships/hyperlink" Target="https://www.lee-mac.com/text2mtext.html" TargetMode="External" Id="rId378" /><Relationship Type="http://schemas.openxmlformats.org/officeDocument/2006/relationships/hyperlink" Target="https://cadauthority.com/download-free-autolisp-scripts/" TargetMode="External" Id="rId379" /><Relationship Type="http://schemas.openxmlformats.org/officeDocument/2006/relationships/hyperlink" Target="http://www.gilesdarling.me.uk/lisproutines.shtml#tpopthin" TargetMode="External" Id="rId380" /><Relationship Type="http://schemas.openxmlformats.org/officeDocument/2006/relationships/hyperlink" Target="http://www.gilesdarling.me.uk/lisproutines.shtml#tpoplevel" TargetMode="External" Id="rId381" /><Relationship Type="http://schemas.openxmlformats.org/officeDocument/2006/relationships/hyperlink" Target="https://autolisp-exchange.com/LISP/ViewDcl.lsp" TargetMode="External" Id="rId382" /><Relationship Type="http://schemas.openxmlformats.org/officeDocument/2006/relationships/hyperlink" Target="http://www.jtbworld.com/download/XrefRepath.lsp" TargetMode="External" Id="rId383" /><Relationship Type="http://schemas.openxmlformats.org/officeDocument/2006/relationships/hyperlink" Target="https://draftsperson.net/lisproutines/Door.rar" TargetMode="External" Id="rId384" /><Relationship Type="http://schemas.openxmlformats.org/officeDocument/2006/relationships/hyperlink" Target="https://draftsperson.net/lisproutines/90lsp.zip" TargetMode="External" Id="rId385" /><Relationship Type="http://schemas.openxmlformats.org/officeDocument/2006/relationships/hyperlink" Target="https://jefferypsanders.com/autolisp_algacad.html" TargetMode="External" Id="rId386" /><Relationship Type="http://schemas.openxmlformats.org/officeDocument/2006/relationships/hyperlink" Target="https://www.lee-mac.com/applytoblockobjects.html" TargetMode="External" Id="rId387" /><Relationship Type="http://schemas.openxmlformats.org/officeDocument/2006/relationships/hyperlink" Target="https://jtbworld.com/autocad-attdeftomtext-lsp" TargetMode="External" Id="rId388" /><Relationship Type="http://schemas.openxmlformats.org/officeDocument/2006/relationships/hyperlink" Target="https://draftsperson.net/lisproutines/Batt.rar" TargetMode="External" Id="rId389" /><Relationship Type="http://schemas.openxmlformats.org/officeDocument/2006/relationships/hyperlink" Target="https://draftsperson.net/lisproutines/Batt3.rar" TargetMode="External" Id="rId390" /><Relationship Type="http://schemas.openxmlformats.org/officeDocument/2006/relationships/hyperlink" Target="https://draftsperson.net/lisproutines/BlockExtender.zip" TargetMode="External" Id="rId391" /><Relationship Type="http://schemas.openxmlformats.org/officeDocument/2006/relationships/hyperlink" Target="https://cadauthority.com/download-free-autolisp-scripts/" TargetMode="External" Id="rId392" /><Relationship Type="http://schemas.openxmlformats.org/officeDocument/2006/relationships/hyperlink" Target="https://www.lee-mac.com/drawgrid.html" TargetMode="External" Id="rId393" /><Relationship Type="http://schemas.openxmlformats.org/officeDocument/2006/relationships/hyperlink" Target="https://www.lee-mac.com/dynamicblockfunctions.html" TargetMode="External" Id="rId394" /><Relationship Type="http://schemas.openxmlformats.org/officeDocument/2006/relationships/hyperlink" Target="https://draftsperson.net/lisproutines/flrjst.zip" TargetMode="External" Id="rId395" /><Relationship Type="http://schemas.openxmlformats.org/officeDocument/2006/relationships/hyperlink" Target="https://jtbworld.com/autocad-insrot-lsp" TargetMode="External" Id="rId396" /><Relationship Type="http://schemas.openxmlformats.org/officeDocument/2006/relationships/hyperlink" Target="https://jtbworld.com/autocad-layer-state-lsp" TargetMode="External" Id="rId397" /><Relationship Type="http://schemas.openxmlformats.org/officeDocument/2006/relationships/hyperlink" Target="https://cadauthority.com/download-free-autolisp-scripts/" TargetMode="External" Id="rId398" /><Relationship Type="http://schemas.openxmlformats.org/officeDocument/2006/relationships/hyperlink" Target="https://jefferypsanders.com/MIXTXT.LSP" TargetMode="External" Id="rId399" /><Relationship Type="http://schemas.openxmlformats.org/officeDocument/2006/relationships/hyperlink" Target="http://blog.jtbworld.com/2009/06/purge-unreferenced-images-in-autocad.html" TargetMode="External" Id="rId400" /><Relationship Type="http://schemas.openxmlformats.org/officeDocument/2006/relationships/hyperlink" Target="https://jefferypsanders.com/RRR.LSP" TargetMode="External" Id="rId401" /><Relationship Type="http://schemas.openxmlformats.org/officeDocument/2006/relationships/hyperlink" Target="https://jtbworld.com/justlisp" TargetMode="External" Id="rId402" /><Relationship Type="http://schemas.openxmlformats.org/officeDocument/2006/relationships/hyperlink" Target="https://draftsperson.net/lisproutines/Truss.rar" TargetMode="External" Id="rId403" /><Relationship Type="http://schemas.openxmlformats.org/officeDocument/2006/relationships/hyperlink" Target="https://draftsperson.net/lisproutines/walls.zip" TargetMode="External" Id="rId404" /><Relationship Type="http://schemas.openxmlformats.org/officeDocument/2006/relationships/hyperlink" Target="https://draftsperson.net/lisproutines/windows.zip" TargetMode="External" Id="rId405" /><Relationship Type="http://schemas.openxmlformats.org/officeDocument/2006/relationships/hyperlink" Target="https://cadauthority.com/download-free-autolisp-scripts/" TargetMode="External" Id="rId406" /><Relationship Type="http://schemas.openxmlformats.org/officeDocument/2006/relationships/hyperlink" Target="https://jefferypsanders.com/ANGX.LSP" TargetMode="External" Id="rId407" /><Relationship Type="http://schemas.openxmlformats.org/officeDocument/2006/relationships/hyperlink" Target="https://draftsperson.net/lisproutines/atc.zip" TargetMode="External" Id="rId408" /><Relationship Type="http://schemas.openxmlformats.org/officeDocument/2006/relationships/hyperlink" Target="https://draftsperson.net/lisproutines/blkrpt.zip" TargetMode="External" Id="rId409" /><Relationship Type="http://schemas.openxmlformats.org/officeDocument/2006/relationships/hyperlink" Target="https://draftsperson.net/lisproutines/Brtoolsx.lsp" TargetMode="External" Id="rId410" /><Relationship Type="http://schemas.openxmlformats.org/officeDocument/2006/relationships/hyperlink" Target="https://cadauthority.com/download/autocad/autocad-centerline-lisp-no-x-error/" TargetMode="External" Id="rId411" /><Relationship Type="http://schemas.openxmlformats.org/officeDocument/2006/relationships/hyperlink" Target="https://www.lee-mac.com/consistentrtos.html" TargetMode="External" Id="rId412" /><Relationship Type="http://schemas.openxmlformats.org/officeDocument/2006/relationships/hyperlink" Target="https://jefferypsanders.com/autolisp_creator.html" TargetMode="External" Id="rId413" /><Relationship Type="http://schemas.openxmlformats.org/officeDocument/2006/relationships/hyperlink" Target="https://draftsperson.net/lisproutines/cumdist.lsp" TargetMode="External" Id="rId414" /><Relationship Type="http://schemas.openxmlformats.org/officeDocument/2006/relationships/hyperlink" Target="https://www.manusoft.com/resources/freebies/lisp/" TargetMode="External" Id="rId415" /><Relationship Type="http://schemas.openxmlformats.org/officeDocument/2006/relationships/hyperlink" Target="https://www.lee-mac.com/escapewildcards.html" TargetMode="External" Id="rId416" /><Relationship Type="http://schemas.openxmlformats.org/officeDocument/2006/relationships/hyperlink" Target="https://jefferypsanders.com/autolisp_GetArea.html" TargetMode="External" Id="rId417" /><Relationship Type="http://schemas.openxmlformats.org/officeDocument/2006/relationships/hyperlink" Target="https://www.lee-mac.com/getcustomcommands.html" TargetMode="External" Id="rId418" /><Relationship Type="http://schemas.openxmlformats.org/officeDocument/2006/relationships/hyperlink" Target="https://draftsperson.net/lisproutines/grabbag.zip" TargetMode="External" Id="rId419" /><Relationship Type="http://schemas.openxmlformats.org/officeDocument/2006/relationships/hyperlink" Target="https://jtbworld.com/autocad-layer-list-lsp" TargetMode="External" Id="rId420" /><Relationship Type="http://schemas.openxmlformats.org/officeDocument/2006/relationships/hyperlink" Target="https://jefferypsanders.com/autolisp_library.html" TargetMode="External" Id="rId421" /><Relationship Type="http://schemas.openxmlformats.org/officeDocument/2006/relationships/hyperlink" Target="https://cadauthority.com/download-free-autolisp-scripts/" TargetMode="External" Id="rId422" /><Relationship Type="http://schemas.openxmlformats.org/officeDocument/2006/relationships/hyperlink" Target="https://jtbworld.com/autocad-pljoinfuzz-lsp" TargetMode="External" Id="rId423" /><Relationship Type="http://schemas.openxmlformats.org/officeDocument/2006/relationships/hyperlink" Target="https://www.lee-mac.com/readcsv.html" TargetMode="External" Id="rId424" /><Relationship Type="http://schemas.openxmlformats.org/officeDocument/2006/relationships/hyperlink" Target="https://draftsperson.net/lisproutines/Rot2ent.lsp" TargetMode="External" Id="rId425" /><Relationship Type="http://schemas.openxmlformats.org/officeDocument/2006/relationships/hyperlink" Target="https://www.lee-mac.com/selectif.html" TargetMode="External" Id="rId426" /><Relationship Type="http://schemas.openxmlformats.org/officeDocument/2006/relationships/hyperlink" Target="https://jefferypsanders.com/Simplex.lsp" TargetMode="External" Id="rId427" /><Relationship Type="http://schemas.openxmlformats.org/officeDocument/2006/relationships/hyperlink" Target="https://cadauthority.com/download-free-autolisp-scripts/" TargetMode="External" Id="rId428" /><Relationship Type="http://schemas.openxmlformats.org/officeDocument/2006/relationships/hyperlink" Target="https://draftsperson.net/lisproutines/win12.rar" TargetMode="External" Id="rId429" /><Relationship Type="http://schemas.openxmlformats.org/officeDocument/2006/relationships/hyperlink" Target="https://www.lee-mac.com/writecsv.html" TargetMode="External" Id="rId430" /><Relationship Type="http://schemas.openxmlformats.org/officeDocument/2006/relationships/hyperlink" Target="https://draftsperson.net/lisproutines/Best%20Of%20Lisp.rar" TargetMode="External" Id="rId431" /><Relationship Type="http://schemas.openxmlformats.org/officeDocument/2006/relationships/hyperlink" Target="https://draftsperson.net/lisproutines/BL.LSP" TargetMode="External" Id="rId432" /><Relationship Type="http://schemas.openxmlformats.org/officeDocument/2006/relationships/hyperlink" Target="https://www.lee-mac.com/bulgeconversion.html" TargetMode="External" Id="rId433" /><Relationship Type="http://schemas.openxmlformats.org/officeDocument/2006/relationships/hyperlink" Target="https://draftsperson.net/lisproutines/casement.zip" TargetMode="External" Id="rId434" /><Relationship Type="http://schemas.openxmlformats.org/officeDocument/2006/relationships/hyperlink" Target="https://draftsperson.net/lisproutines/ct.lsp" TargetMode="External" Id="rId435" /><Relationship Type="http://schemas.openxmlformats.org/officeDocument/2006/relationships/hyperlink" Target="https://www.lee-mac.com/listtiledependency.html" TargetMode="External" Id="rId436" /><Relationship Type="http://schemas.openxmlformats.org/officeDocument/2006/relationships/hyperlink" Target="https://draftsperson.net/lisproutines/tools.zip" TargetMode="External" Id="rId437" /><Relationship Type="http://schemas.openxmlformats.org/officeDocument/2006/relationships/hyperlink" Target="https://www.lee-mac.com/drawingversion.html" TargetMode="External" Id="rId438" /><Relationship Type="http://schemas.openxmlformats.org/officeDocument/2006/relationships/hyperlink" Target="https://draftsperson.net/lisproutines/flat.lsp" TargetMode="External" Id="rId439" /><Relationship Type="http://schemas.openxmlformats.org/officeDocument/2006/relationships/hyperlink" Target="https://cadauthority.com/download/autocad/flatten-z-autocad-flatz-lisp/" TargetMode="External" Id="rId440" /><Relationship Type="http://schemas.openxmlformats.org/officeDocument/2006/relationships/hyperlink" Target="https://autolisp-exchange.com/LISP/GetIcon.lsp" TargetMode="External" Id="rId441" /><Relationship Type="http://schemas.openxmlformats.org/officeDocument/2006/relationships/hyperlink" Target="https://draftsperson.net/lisproutines/handylsp.zip" TargetMode="External" Id="rId442" /><Relationship Type="http://schemas.openxmlformats.org/officeDocument/2006/relationships/hyperlink" Target="https://cadauthority.com/download-free-autolisp-scripts/" TargetMode="External" Id="rId443" /><Relationship Type="http://schemas.openxmlformats.org/officeDocument/2006/relationships/hyperlink" Target="https://www.lee-mac.com/intersectionfunctions.html" TargetMode="External" Id="rId444" /><Relationship Type="http://schemas.openxmlformats.org/officeDocument/2006/relationships/hyperlink" Target="https://draftsperson.net/lisproutines/library.zip" TargetMode="External" Id="rId445" /><Relationship Type="http://schemas.openxmlformats.org/officeDocument/2006/relationships/hyperlink" Target="https://draftsperson.net/lisproutines/llpsite.rar" TargetMode="External" Id="rId446" /><Relationship Type="http://schemas.openxmlformats.org/officeDocument/2006/relationships/hyperlink" Target="https://draftsperson.net/lisproutines/MBA.rar" TargetMode="External" Id="rId447" /><Relationship Type="http://schemas.openxmlformats.org/officeDocument/2006/relationships/hyperlink" Target="https://autolisp-exchange.com/LISP/ProgressBar.lsp" TargetMode="External" Id="rId448" /><Relationship Type="http://schemas.openxmlformats.org/officeDocument/2006/relationships/hyperlink" Target="https://draftsperson.net/lisproutines/rocklsp2.zip" TargetMode="External" Id="rId449" /><Relationship Type="http://schemas.openxmlformats.org/officeDocument/2006/relationships/hyperlink" Target="https://cadauthority.com/download-free-autolisp-scripts/" TargetMode="External" Id="rId450" /><Relationship Type="http://schemas.openxmlformats.org/officeDocument/2006/relationships/hyperlink" Target="https://draftsperson.net/lisproutines/AL2.LSP" TargetMode="External" Id="rId451" /><Relationship Type="http://schemas.openxmlformats.org/officeDocument/2006/relationships/hyperlink" Target="https://draftsperson.net/lisproutines/stl.lsp" TargetMode="External" Id="rId452" /><Relationship Type="http://schemas.openxmlformats.org/officeDocument/2006/relationships/hyperlink" Target="https://draftsperson.net/lisproutines/Steelshapes.rar" TargetMode="External" Id="rId453" /><Relationship Type="http://schemas.openxmlformats.org/officeDocument/2006/relationships/hyperlink" Target="https://draftsperson.net/lisproutines/tgraph.zip" TargetMode="External" Id="rId454" /><Relationship Type="http://schemas.openxmlformats.org/officeDocument/2006/relationships/hyperlink" Target="https://draftsperson.net/lisproutines/autopk.zip" TargetMode="External" Id="rId455" /><Relationship Type="http://schemas.openxmlformats.org/officeDocument/2006/relationships/hyperlink" Target="https://draftsperson.net/lisproutines/bolthead.lsp" TargetMode="External" Id="rId456" /><Relationship Type="http://schemas.openxmlformats.org/officeDocument/2006/relationships/hyperlink" Target="https://www.lee-mac.com/directorydialog.html" TargetMode="External" Id="rId457" /><Relationship Type="http://schemas.openxmlformats.org/officeDocument/2006/relationships/hyperlink" Target="https://draftsperson.net/lisproutines/Ceiling.rar" TargetMode="External" Id="rId458" /><Relationship Type="http://schemas.openxmlformats.org/officeDocument/2006/relationships/hyperlink" Target="https://www.lee-mac.com/clockwisep.html" TargetMode="External" Id="rId459" /><Relationship Type="http://schemas.openxmlformats.org/officeDocument/2006/relationships/hyperlink" Target="https://draftsperson.net/lisproutines/tip667.zip" TargetMode="External" Id="rId460" /><Relationship Type="http://schemas.openxmlformats.org/officeDocument/2006/relationships/hyperlink" Target="https://www.lee-mac.com/formatdcl.html" TargetMode="External" Id="rId461" /><Relationship Type="http://schemas.openxmlformats.org/officeDocument/2006/relationships/hyperlink" Target="https://jefferypsanders.com/autolisp_examp.html" TargetMode="External" Id="rId462" /><Relationship Type="http://schemas.openxmlformats.org/officeDocument/2006/relationships/hyperlink" Target="https://draftsperson.net/lisproutines/howfar.zip" TargetMode="External" Id="rId463" /><Relationship Type="http://schemas.openxmlformats.org/officeDocument/2006/relationships/hyperlink" Target="https://draftsperson.net/lisproutines/master.zip" TargetMode="External" Id="rId464" /><Relationship Type="http://schemas.openxmlformats.org/officeDocument/2006/relationships/hyperlink" Target="https://cadauthority.com/download-free-autolisp-scripts/" TargetMode="External" Id="rId465" /><Relationship Type="http://schemas.openxmlformats.org/officeDocument/2006/relationships/hyperlink" Target="https://draftsperson.net/lisproutines/Roofpitch.rar" TargetMode="External" Id="rId466" /><Relationship Type="http://schemas.openxmlformats.org/officeDocument/2006/relationships/hyperlink" Target="https://jefferypsanders.com/SPCTEXT.LSP" TargetMode="External" Id="rId467" /><Relationship Type="http://schemas.openxmlformats.org/officeDocument/2006/relationships/hyperlink" Target="https://draftsperson.net/lisproutines/vptext.lsp" TargetMode="External" Id="rId468" /><Relationship Type="http://schemas.openxmlformats.org/officeDocument/2006/relationships/hyperlink" Target="https://autolisp-exchange.com/LISP/Win_Sort.lsp" TargetMode="External" Id="rId469" /><Relationship Type="http://schemas.openxmlformats.org/officeDocument/2006/relationships/hyperlink" Target="https://draftsperson.net/lisproutines/3dcabn.zip" TargetMode="External" Id="rId470" /><Relationship Type="http://schemas.openxmlformats.org/officeDocument/2006/relationships/hyperlink" Target="https://draftsperson.net/lisproutines/attedit.zip" TargetMode="External" Id="rId471" /><Relationship Type="http://schemas.openxmlformats.org/officeDocument/2006/relationships/hyperlink" Target="https://jefferypsanders.com/autolisp.html" TargetMode="External" Id="rId472" /><Relationship Type="http://schemas.openxmlformats.org/officeDocument/2006/relationships/hyperlink" Target="https://www.manusoft.com/resources/freebies/lisp/" TargetMode="External" Id="rId473" /><Relationship Type="http://schemas.openxmlformats.org/officeDocument/2006/relationships/hyperlink" Target="https://draftsperson.net/lisproutines/Cusson.rar" TargetMode="External" Id="rId474" /><Relationship Type="http://schemas.openxmlformats.org/officeDocument/2006/relationships/hyperlink" Target="https://draftsperson.net/lisproutines/Delete_Routines.rar" TargetMode="External" Id="rId475" /><Relationship Type="http://schemas.openxmlformats.org/officeDocument/2006/relationships/hyperlink" Target="https://autolisp-exchange.com/LISP/DM.lsp" TargetMode="External" Id="rId476" /><Relationship Type="http://schemas.openxmlformats.org/officeDocument/2006/relationships/hyperlink" Target="https://www.lee-mac.com/entitylist.html" TargetMode="External" Id="rId477" /><Relationship Type="http://schemas.openxmlformats.org/officeDocument/2006/relationships/hyperlink" Target="https://jtbworld.com/autocad-hatch-move-lsp" TargetMode="External" Id="rId478" /><Relationship Type="http://schemas.openxmlformats.org/officeDocument/2006/relationships/hyperlink" Target="https://www.lee-mac.com/iteratedfunctionsystems.html" TargetMode="External" Id="rId479" /><Relationship Type="http://schemas.openxmlformats.org/officeDocument/2006/relationships/hyperlink" Target="http://www.kitox.com" TargetMode="External" Id="rId480" /><Relationship Type="http://schemas.openxmlformats.org/officeDocument/2006/relationships/hyperlink" Target="https://jefferypsanders.com/autolisp_LAYOUTS.html" TargetMode="External" Id="rId481" /><Relationship Type="http://schemas.openxmlformats.org/officeDocument/2006/relationships/hyperlink" Target="https://draftsperson.net/lisproutines/chgtext.lsp" TargetMode="External" Id="rId482" /><Relationship Type="http://schemas.openxmlformats.org/officeDocument/2006/relationships/hyperlink" Target="https://www.lee-mac.com/matrixtransformationfunctions.html" TargetMode="External" Id="rId483" /><Relationship Type="http://schemas.openxmlformats.org/officeDocument/2006/relationships/hyperlink" Target="https://draftsperson.net/lisproutines/ps_v15.zip" TargetMode="External" Id="rId484" /><Relationship Type="http://schemas.openxmlformats.org/officeDocument/2006/relationships/hyperlink" Target="https://jtbworld.com/autocad-profiles-lsp" TargetMode="External" Id="rId485" /><Relationship Type="http://schemas.openxmlformats.org/officeDocument/2006/relationships/hyperlink" Target="https://www.manusoft.com/resources/freebies/lisp/" TargetMode="External" Id="rId486" /><Relationship Type="http://schemas.openxmlformats.org/officeDocument/2006/relationships/hyperlink" Target="https://www.lee-mac.com/3pointarccircle.html" TargetMode="External" Id="rId487" /><Relationship Type="http://schemas.openxmlformats.org/officeDocument/2006/relationships/hyperlink" Target="https://jtbworld.com/acad-lsp" TargetMode="External" Id="rId488" /><Relationship Type="http://schemas.openxmlformats.org/officeDocument/2006/relationships/hyperlink" Target="https://jtbworld.com/acaddoc-lsp" TargetMode="External" Id="rId489" /><Relationship Type="http://schemas.openxmlformats.org/officeDocument/2006/relationships/hyperlink" Target="https://www.lee-mac.com/addpolyvertex.html" TargetMode="External" Id="rId490" /><Relationship Type="http://schemas.openxmlformats.org/officeDocument/2006/relationships/hyperlink" Target="https://www.lee-mac.com/attractors.html" TargetMode="External" Id="rId491" /><Relationship Type="http://schemas.openxmlformats.org/officeDocument/2006/relationships/hyperlink" Target="https://jefferypsanders.com/BRKLINE.LSP" TargetMode="External" Id="rId492" /><Relationship Type="http://schemas.openxmlformats.org/officeDocument/2006/relationships/hyperlink" Target="https://www.lee-mac.com/colourconversion.html" TargetMode="External" Id="rId493" /><Relationship Type="http://schemas.openxmlformats.org/officeDocument/2006/relationships/hyperlink" Target="https://www.lee-mac.com/columnreference.html" TargetMode="External" Id="rId494" /><Relationship Type="http://schemas.openxmlformats.org/officeDocument/2006/relationships/hyperlink" Target="https://cadauthority.com/download-free-autolisp-scripts/" TargetMode="External" Id="rId495" /><Relationship Type="http://schemas.openxmlformats.org/officeDocument/2006/relationships/hyperlink" Target="https://www.lee-mac.com/dynamicanglebisection.html" TargetMode="External" Id="rId496" /><Relationship Type="http://schemas.openxmlformats.org/officeDocument/2006/relationships/hyperlink" Target="https://www.lee-mac.com/fractals.html" TargetMode="External" Id="rId497" /><Relationship Type="http://schemas.openxmlformats.org/officeDocument/2006/relationships/hyperlink" Target="https://autolisp-exchange.com/LISP/GetExcel.lsp" TargetMode="External" Id="rId498" /><Relationship Type="http://schemas.openxmlformats.org/officeDocument/2006/relationships/hyperlink" Target="https://autolisp-exchange.com/LISP/Groups.lsp" TargetMode="External" Id="rId499" /><Relationship Type="http://schemas.openxmlformats.org/officeDocument/2006/relationships/hyperlink" Target="https://draftsperson.net/lisproutines/LEARN.LSP" TargetMode="External" Id="rId500" /><Relationship Type="http://schemas.openxmlformats.org/officeDocument/2006/relationships/hyperlink" Target="https://www.lee-mac.com/lispstyler.html" TargetMode="External" Id="rId501" /><Relationship Type="http://schemas.openxmlformats.org/officeDocument/2006/relationships/hyperlink" Target="https://draftsperson.net/lisproutines/Mlayer.zip" TargetMode="External" Id="rId502" /><Relationship Type="http://schemas.openxmlformats.org/officeDocument/2006/relationships/hyperlink" Target="https://jtbworld.com/autocad-mpt-lsp" TargetMode="External" Id="rId503" /><Relationship Type="http://schemas.openxmlformats.org/officeDocument/2006/relationships/hyperlink" Target="https://cadauthority.com/download-free-autolisp-scripts/" TargetMode="External" Id="rId504" /><Relationship Type="http://schemas.openxmlformats.org/officeDocument/2006/relationships/hyperlink" Target="https://jefferypsanders.com/autolisp_SBox.html" TargetMode="External" Id="rId505" /><Relationship Type="http://schemas.openxmlformats.org/officeDocument/2006/relationships/hyperlink" Target="https://jefferypsanders.com/SLOT.LSP" TargetMode="External" Id="rId506" /><Relationship Type="http://schemas.openxmlformats.org/officeDocument/2006/relationships/hyperlink" Target="https://jefferypsanders.com/srtan.lsp" TargetMode="External" Id="rId507" /><Relationship Type="http://schemas.openxmlformats.org/officeDocument/2006/relationships/hyperlink" Target="https://draftsperson.net/lisproutines/templt.zip" TargetMode="External" Id="rId508" /><Relationship Type="http://schemas.openxmlformats.org/officeDocument/2006/relationships/hyperlink" Target="https://draftsperson.net/lisproutines/tba.zip" TargetMode="External" Id="rId509" /><Relationship Type="http://schemas.openxmlformats.org/officeDocument/2006/relationships/hyperlink" Target="https://www.lee-mac.com/addremovesupportpaths.html" TargetMode="External" Id="rId510" /><Relationship Type="http://schemas.openxmlformats.org/officeDocument/2006/relationships/hyperlink" Target="https://www.lee-mac.com/attributefunctions.html" TargetMode="External" Id="rId511" /><Relationship Type="http://schemas.openxmlformats.org/officeDocument/2006/relationships/hyperlink" Target="https://jtbworld.com/autocad-backgroundchanger-lsp" TargetMode="External" Id="rId512" /><Relationship Type="http://schemas.openxmlformats.org/officeDocument/2006/relationships/hyperlink" Target="https://draftsperson.net/lisproutines/BC.LSP" TargetMode="External" Id="rId513" /><Relationship Type="http://schemas.openxmlformats.org/officeDocument/2006/relationships/hyperlink" Target="https://cadauthority.com/download-free-autolisp-scripts/" TargetMode="External" Id="rId514" /><Relationship Type="http://schemas.openxmlformats.org/officeDocument/2006/relationships/hyperlink" Target="https://draftsperson.net/lisproutines/CAD%20Tools.rar" TargetMode="External" Id="rId515" /><Relationship Type="http://schemas.openxmlformats.org/officeDocument/2006/relationships/hyperlink" Target="https://jefferypsanders.com/autolisp_examp.html" TargetMode="External" Id="rId516" /><Relationship Type="http://schemas.openxmlformats.org/officeDocument/2006/relationships/hyperlink" Target="https://www.lee-mac.com/editbox.html" TargetMode="External" Id="rId517" /><Relationship Type="http://schemas.openxmlformats.org/officeDocument/2006/relationships/hyperlink" Target="https://draftsperson.net/lisproutines/edits.lsp" TargetMode="External" Id="rId518" /><Relationship Type="http://schemas.openxmlformats.org/officeDocument/2006/relationships/hyperlink" Target="https://cadauthority.com/download-free-autolisp-scripts/" TargetMode="External" Id="rId519" /><Relationship Type="http://schemas.openxmlformats.org/officeDocument/2006/relationships/hyperlink" Target="https://cadauthority.com/download-free-autolisp-scripts/" TargetMode="External" Id="rId520" /><Relationship Type="http://schemas.openxmlformats.org/officeDocument/2006/relationships/hyperlink" Target="https://autolisp-exchange.com/LISP/LspCom.lsp" TargetMode="External" Id="rId521" /><Relationship Type="http://schemas.openxmlformats.org/officeDocument/2006/relationships/hyperlink" Target="https://jefferypsanders.com/autolisp.html" TargetMode="External" Id="rId522" /><Relationship Type="http://schemas.openxmlformats.org/officeDocument/2006/relationships/hyperlink" Target="https://autolisp-exchange.com/LISP/Messenger.lsp" TargetMode="External" Id="rId523" /><Relationship Type="http://schemas.openxmlformats.org/officeDocument/2006/relationships/hyperlink" Target="https://www.lee-mac.com/polylineprograms.html" TargetMode="External" Id="rId524" /><Relationship Type="http://schemas.openxmlformats.org/officeDocument/2006/relationships/hyperlink" Target="https://draftsperson.net/lisproutines/pt.zip" TargetMode="External" Id="rId525" /><Relationship Type="http://schemas.openxmlformats.org/officeDocument/2006/relationships/hyperlink" Target="https://draftsperson.net/lisproutines/sper.lsp" TargetMode="External" Id="rId526" /><Relationship Type="http://schemas.openxmlformats.org/officeDocument/2006/relationships/hyperlink" Target="https://www.lee-mac.com/mask.html" TargetMode="External" Id="rId527" /><Relationship Type="http://schemas.openxmlformats.org/officeDocument/2006/relationships/hyperlink" Target="https://cadauthority.com/free-download/autocad/autocad-bulk-chamfer-polyline-lisp/" TargetMode="External" Id="rId528" /><Relationship Type="http://schemas.openxmlformats.org/officeDocument/2006/relationships/hyperlink" Target="https://www.lee-mac.com/draworderfunctions.html" TargetMode="External" Id="rId529" /><Relationship Type="http://schemas.openxmlformats.org/officeDocument/2006/relationships/hyperlink" Target="https://autolisp-exchange.com/Other/Fractal.lsp" TargetMode="External" Id="rId530" /><Relationship Type="http://schemas.openxmlformats.org/officeDocument/2006/relationships/hyperlink" Target="https://jefferypsanders.com/autolisp_GetCells.html" TargetMode="External" Id="rId531" /><Relationship Type="http://schemas.openxmlformats.org/officeDocument/2006/relationships/hyperlink" Target="https://jtbworld.com/autocad-getplotdevices-lsp" TargetMode="External" Id="rId532" /><Relationship Type="http://schemas.openxmlformats.org/officeDocument/2006/relationships/hyperlink" Target="https://draftsperson.net/lisproutines/lt.zip" TargetMode="External" Id="rId533" /><Relationship Type="http://schemas.openxmlformats.org/officeDocument/2006/relationships/hyperlink" Target="https://draftsperson.net/lisproutines/le.lsp" TargetMode="External" Id="rId534" /><Relationship Type="http://schemas.openxmlformats.org/officeDocument/2006/relationships/hyperlink" Target="https://www.lee-mac.com/listbox.html" TargetMode="External" Id="rId535" /><Relationship Type="http://schemas.openxmlformats.org/officeDocument/2006/relationships/hyperlink" Target="https://jtbworld.com/autocad-plotdevicesfunctionsl-sp" TargetMode="External" Id="rId536" /><Relationship Type="http://schemas.openxmlformats.org/officeDocument/2006/relationships/hyperlink" Target="https://www.lee-mac.com/polygoncentroid.html" TargetMode="External" Id="rId537" /><Relationship Type="http://schemas.openxmlformats.org/officeDocument/2006/relationships/hyperlink" Target="https://jtbworld.com/autocad-projectpaths-lsp" TargetMode="External" Id="rId538" /><Relationship Type="http://schemas.openxmlformats.org/officeDocument/2006/relationships/hyperlink" Target="https://www.lee-mac.com/ssboundingbox.html" TargetMode="External" Id="rId539" /><Relationship Type="http://schemas.openxmlformats.org/officeDocument/2006/relationships/hyperlink" Target="https://www.lee-mac.com/stringwrap.html" TargetMode="External" Id="rId540" /><Relationship Type="http://schemas.openxmlformats.org/officeDocument/2006/relationships/hyperlink" Target="https://jtbworld.com/autocad-viewportcenter-lsp" TargetMode="External" Id="rId541" /><Relationship Type="http://schemas.openxmlformats.org/officeDocument/2006/relationships/hyperlink" Target="https://www.lee-mac.com/xrefpathconversion.html" TargetMode="External" Id="rId542" /><Relationship Type="http://schemas.openxmlformats.org/officeDocument/2006/relationships/hyperlink" Target="https://cadauthority.com/download-free-autolisp-scripts/" TargetMode="External" Id="rId543" /><Relationship Type="http://schemas.openxmlformats.org/officeDocument/2006/relationships/hyperlink" Target="https://draftsperson.net/lisproutines/3dlisp.rar" TargetMode="External" Id="rId544" /><Relationship Type="http://schemas.openxmlformats.org/officeDocument/2006/relationships/hyperlink" Target="http://www.jtbworld.com/download/acetutil.zip" TargetMode="External" Id="rId545" /><Relationship Type="http://schemas.openxmlformats.org/officeDocument/2006/relationships/hyperlink" Target="https://www.lee-mac.com/assocplusplus.html" TargetMode="External" Id="rId546" /><Relationship Type="http://schemas.openxmlformats.org/officeDocument/2006/relationships/hyperlink" Target="https://cadauthority.com/download-free-autolisp-scripts/" TargetMode="External" Id="rId547" /><Relationship Type="http://schemas.openxmlformats.org/officeDocument/2006/relationships/hyperlink" Target="https://jtbworld.com/autocad-displaycolorproperties-lsp" TargetMode="External" Id="rId548" /><Relationship Type="http://schemas.openxmlformats.org/officeDocument/2006/relationships/hyperlink" Target="https://jtbworld.com/autocad-displayproperties-lsp" TargetMode="External" Id="rId549" /><Relationship Type="http://schemas.openxmlformats.org/officeDocument/2006/relationships/hyperlink" Target="https://draftsperson.net/lisproutines/Lmatch.lsp" TargetMode="External" Id="rId550" /><Relationship Type="http://schemas.openxmlformats.org/officeDocument/2006/relationships/hyperlink" Target="https://cadauthority.com/download-free-autolisp-scripts/" TargetMode="External" Id="rId551" /><Relationship Type="http://schemas.openxmlformats.org/officeDocument/2006/relationships/hyperlink" Target="https://draftsperson.net/lisproutines/c2p.LSP" TargetMode="External" Id="rId552" /><Relationship Type="http://schemas.openxmlformats.org/officeDocument/2006/relationships/hyperlink" Target="https://www.lee-mac.com/logisticmap.html" TargetMode="External" Id="rId553" /><Relationship Type="http://schemas.openxmlformats.org/officeDocument/2006/relationships/hyperlink" Target="https://www.lee-mac.com/mljust.html" TargetMode="External" Id="rId554" /><Relationship Type="http://schemas.openxmlformats.org/officeDocument/2006/relationships/hyperlink" Target="https://www.manusoft.com/resources/freebies/lisp/" TargetMode="External" Id="rId555" /><Relationship Type="http://schemas.openxmlformats.org/officeDocument/2006/relationships/hyperlink" Target="https://cadauthority.com/download/autocad/autocad-spline-to-polyline-cnc-autolisp/" TargetMode="External" Id="rId556" /><Relationship Type="http://schemas.openxmlformats.org/officeDocument/2006/relationships/hyperlink" Target="https://jefferypsanders.com/STTEXT.LSP" TargetMode="External" Id="rId557" /><Relationship Type="http://schemas.openxmlformats.org/officeDocument/2006/relationships/hyperlink" Target="https://cadauthority.com/download-free-autolisp-scripts/" TargetMode="External" Id="rId558" /><Relationship Type="http://schemas.openxmlformats.org/officeDocument/2006/relationships/hyperlink" Target="https://jtbworld.com/autocad-txtrot-lsp" TargetMode="External" Id="rId559" /><Relationship Type="http://schemas.openxmlformats.org/officeDocument/2006/relationships/hyperlink" Target="https://draftsperson.net/lisproutines/zp.lsp" TargetMode="External" Id="rId560" /><Relationship Type="http://schemas.openxmlformats.org/officeDocument/2006/relationships/hyperlink" Target="https://jtbworld.com/autocad-area-of-object-lsp" TargetMode="External" Id="rId561" /><Relationship Type="http://schemas.openxmlformats.org/officeDocument/2006/relationships/hyperlink" Target="https://www.lee-mac.com/centreline.html" TargetMode="External" Id="rId562" /><Relationship Type="http://schemas.openxmlformats.org/officeDocument/2006/relationships/hyperlink" Target="https://www.lee-mac.com/clock.html" TargetMode="External" Id="rId563" /><Relationship Type="http://schemas.openxmlformats.org/officeDocument/2006/relationships/hyperlink" Target="https://www.lee-mac.com/copyfolder.html" TargetMode="External" Id="rId564" /><Relationship Type="http://schemas.openxmlformats.org/officeDocument/2006/relationships/hyperlink" Target="https://www.lee-mac.com/getallfiles.html" TargetMode="External" Id="rId565" /><Relationship Type="http://schemas.openxmlformats.org/officeDocument/2006/relationships/hyperlink" Target="https://jefferypsanders.com/FZ.LSP" TargetMode="External" Id="rId566" /><Relationship Type="http://schemas.openxmlformats.org/officeDocument/2006/relationships/hyperlink" Target="https://www.lee-mac.com/listboxfunctions.html" TargetMode="External" Id="rId567" /><Relationship Type="http://schemas.openxmlformats.org/officeDocument/2006/relationships/hyperlink" Target="https://www.lee-mac.com/parsenumbers.html" TargetMode="External" Id="rId568" /><Relationship Type="http://schemas.openxmlformats.org/officeDocument/2006/relationships/hyperlink" Target="https://draftsperson.net/lisproutines/pasteasblock.LSP" TargetMode="External" Id="rId569" /><Relationship Type="http://schemas.openxmlformats.org/officeDocument/2006/relationships/hyperlink" Target="https://jtbworld.com/autocad-plotdialog-lsp" TargetMode="External" Id="rId570" /><Relationship Type="http://schemas.openxmlformats.org/officeDocument/2006/relationships/hyperlink" Target="https://www.lee-mac.com/random.html" TargetMode="External" Id="rId571" /><Relationship Type="http://schemas.openxmlformats.org/officeDocument/2006/relationships/hyperlink" Target="https://jefferypsanders.com/autolisp_selectplotter.html" TargetMode="External" Id="rId572" /><Relationship Type="http://schemas.openxmlformats.org/officeDocument/2006/relationships/hyperlink" Target="https://draftsperson.net/lisproutines/slot.zip" TargetMode="External" Id="rId573" /><Relationship Type="http://schemas.openxmlformats.org/officeDocument/2006/relationships/hyperlink" Target="https://jtbworld.com/justlisp" TargetMode="External" Id="rId574" /><Relationship Type="http://schemas.openxmlformats.org/officeDocument/2006/relationships/hyperlink" Target="https://cadauthority.com/download-free-autolisp-scripts/" TargetMode="External" Id="rId575" /><Relationship Type="http://schemas.openxmlformats.org/officeDocument/2006/relationships/hyperlink" Target="https://jefferypsanders.com/autolisp_WORDS.html" TargetMode="External" Id="rId576" /><Relationship Type="http://schemas.openxmlformats.org/officeDocument/2006/relationships/hyperlink" Target="https://jtbworld.com/autocad-aecexporttoautocad-lsp" TargetMode="External" Id="rId577" /><Relationship Type="http://schemas.openxmlformats.org/officeDocument/2006/relationships/hyperlink" Target="https://jtbworld.com/autocad-axblock-lsp" TargetMode="External" Id="rId578" /><Relationship Type="http://schemas.openxmlformats.org/officeDocument/2006/relationships/hyperlink" Target="https://jtbworld.com/autocad-axcreatevp-lsp" TargetMode="External" Id="rId579" /><Relationship Type="http://schemas.openxmlformats.org/officeDocument/2006/relationships/hyperlink" Target="https://draftsperson.net/lisproutines/CHG3.LSP" TargetMode="External" Id="rId580" /><Relationship Type="http://schemas.openxmlformats.org/officeDocument/2006/relationships/hyperlink" Target="https://cadauthority.com/download/autocad/autocad-fillet-radius-0-lisp-fz/" TargetMode="External" Id="rId581" /><Relationship Type="http://schemas.openxmlformats.org/officeDocument/2006/relationships/hyperlink" Target="https://jtbworld.com/autocad-layer-toggle-freeze-lsp" TargetMode="External" Id="rId582" /><Relationship Type="http://schemas.openxmlformats.org/officeDocument/2006/relationships/hyperlink" Target="https://jtbworld.com/autocad-lengthofobject-lsp" TargetMode="External" Id="rId583" /><Relationship Type="http://schemas.openxmlformats.org/officeDocument/2006/relationships/hyperlink" Target="https://cadauthority.com/free-download/autocad/batch-change-polyline-width-autocad-plw/" TargetMode="External" Id="rId584" /><Relationship Type="http://schemas.openxmlformats.org/officeDocument/2006/relationships/hyperlink" Target="https://www.manusoft.com/resources/freebies/lisp/" TargetMode="External" Id="rId585" /><Relationship Type="http://schemas.openxmlformats.org/officeDocument/2006/relationships/hyperlink" Target="https://www.manusoft.com/resources/freebies/lisp/" TargetMode="External" Id="rId586" /><Relationship Type="http://schemas.openxmlformats.org/officeDocument/2006/relationships/hyperlink" Target="https://jtbworld.com/autocad-aecobjectsexplodeoptions-lsp" TargetMode="External" Id="rId587" /><Relationship Type="http://schemas.openxmlformats.org/officeDocument/2006/relationships/hyperlink" Target="https://www.lee-mac.com/baseconversion.html" TargetMode="External" Id="rId588" /><Relationship Type="http://schemas.openxmlformats.org/officeDocument/2006/relationships/hyperlink" Target="https://www.lee-mac.com/boundingbox.html" TargetMode="External" Id="rId589" /><Relationship Type="http://schemas.openxmlformats.org/officeDocument/2006/relationships/hyperlink" Target="https://jefferypsanders.com/autolisp_CASE.html" TargetMode="External" Id="rId590" /><Relationship Type="http://schemas.openxmlformats.org/officeDocument/2006/relationships/hyperlink" Target="https://jefferypsanders.com/CRTEXT.LSP" TargetMode="External" Id="rId591" /><Relationship Type="http://schemas.openxmlformats.org/officeDocument/2006/relationships/hyperlink" Target="https://jefferypsanders.com/autolisp_cyl.html" TargetMode="External" Id="rId592" /><Relationship Type="http://schemas.openxmlformats.org/officeDocument/2006/relationships/hyperlink" Target="https://www.lee-mac.com/dumpobject.html" TargetMode="External" Id="rId593" /><Relationship Type="http://schemas.openxmlformats.org/officeDocument/2006/relationships/hyperlink" Target="https://www.lee-mac.com/effectivename.html" TargetMode="External" Id="rId594" /><Relationship Type="http://schemas.openxmlformats.org/officeDocument/2006/relationships/hyperlink" Target="https://www.lee-mac.com/koch.html" TargetMode="External" Id="rId595" /><Relationship Type="http://schemas.openxmlformats.org/officeDocument/2006/relationships/hyperlink" Target="https://www.lee-mac.com/popup.html" TargetMode="External" Id="rId596" /><Relationship Type="http://schemas.openxmlformats.org/officeDocument/2006/relationships/hyperlink" Target="https://draftsperson.net/lisproutines/sl.lsp" TargetMode="External" Id="rId597" /><Relationship Type="http://schemas.openxmlformats.org/officeDocument/2006/relationships/hyperlink" Target="https://jtbworld.com/autocad-sopen-lsp" TargetMode="External" Id="rId598" /><Relationship Type="http://schemas.openxmlformats.org/officeDocument/2006/relationships/hyperlink" Target="https://www.lee-mac.com/stringtolist.html" TargetMode="External" Id="rId599" /><Relationship Type="http://schemas.openxmlformats.org/officeDocument/2006/relationships/hyperlink" Target="https://draftsperson.net/lisproutines/atext.zip" TargetMode="External" Id="rId600" /><Relationship Type="http://schemas.openxmlformats.org/officeDocument/2006/relationships/hyperlink" Target="https://autolisp-exchange.com/LISP/Troy.lsp" TargetMode="External" Id="rId601" /><Relationship Type="http://schemas.openxmlformats.org/officeDocument/2006/relationships/hyperlink" Target="https://www.lee-mac.com/xline.html" TargetMode="External" Id="rId602" /><Relationship Type="http://schemas.openxmlformats.org/officeDocument/2006/relationships/hyperlink" Target="https://draftsperson.net/lisproutines/FILLET0.LSP" TargetMode="External" Id="rId603" /><Relationship Type="http://schemas.openxmlformats.org/officeDocument/2006/relationships/hyperlink" Target="https://autolisp-exchange.com/Other/66-55.zip" TargetMode="External" Id="rId604" /><Relationship Type="http://schemas.openxmlformats.org/officeDocument/2006/relationships/hyperlink" Target="https://draftsperson.net/lisproutines/breakpoint.LSP" TargetMode="External" Id="rId605" /><Relationship Type="http://schemas.openxmlformats.org/officeDocument/2006/relationships/hyperlink" Target="https://jefferypsanders.com/CHTXHT.LSP" TargetMode="External" Id="rId606" /><Relationship Type="http://schemas.openxmlformats.org/officeDocument/2006/relationships/hyperlink" Target="https://draftsperson.net/lisproutines/del-layer.lsp" TargetMode="External" Id="rId607" /><Relationship Type="http://schemas.openxmlformats.org/officeDocument/2006/relationships/hyperlink" Target="https://www.lee-mac.com/groupbynum.html" TargetMode="External" Id="rId608" /><Relationship Type="http://schemas.openxmlformats.org/officeDocument/2006/relationships/hyperlink" Target="https://www.lee-mac.com/loadlinetype.html" TargetMode="External" Id="rId609" /><Relationship Type="http://schemas.openxmlformats.org/officeDocument/2006/relationships/hyperlink" Target="https://www.lee-mac.com/sierpinski.html" TargetMode="External" Id="rId610" /><Relationship Type="http://schemas.openxmlformats.org/officeDocument/2006/relationships/hyperlink" Target="https://www.lee-mac.com/star.html" TargetMode="External" Id="rId611" /><Relationship Type="http://schemas.openxmlformats.org/officeDocument/2006/relationships/hyperlink" Target="https://draftsperson.net/lisproutines/clock.zip" TargetMode="External" Id="rId612" /><Relationship Type="http://schemas.openxmlformats.org/officeDocument/2006/relationships/hyperlink" Target="https://jefferypsanders.com/CHTXLY.LSP" TargetMode="External" Id="rId613" /><Relationship Type="http://schemas.openxmlformats.org/officeDocument/2006/relationships/hyperlink" Target="https://jefferypsanders.com/CHTXRT.LSP" TargetMode="External" Id="rId614" /><Relationship Type="http://schemas.openxmlformats.org/officeDocument/2006/relationships/hyperlink" Target="https://jefferypsanders.com/CHTXST.LSP" TargetMode="External" Id="rId615" /><Relationship Type="http://schemas.openxmlformats.org/officeDocument/2006/relationships/hyperlink" Target="https://www.lee-mac.com/createdirectory.html" TargetMode="External" Id="rId616" /><Relationship Type="http://schemas.openxmlformats.org/officeDocument/2006/relationships/hyperlink" Target="https://www.lee-mac.com/envvarfunctions.html" TargetMode="External" Id="rId617" /><Relationship Type="http://schemas.openxmlformats.org/officeDocument/2006/relationships/hyperlink" Target="https://draftsperson.net/lisproutines/ls.lsp" TargetMode="External" Id="rId618" /><Relationship Type="http://schemas.openxmlformats.org/officeDocument/2006/relationships/hyperlink" Target="https://cadauthority.com/download-free-autolisp-scripts/" TargetMode="External" Id="rId619" /><Relationship Type="http://schemas.openxmlformats.org/officeDocument/2006/relationships/hyperlink" Target="https://www.lee-mac.com/mathematicalfunctions.html" TargetMode="External" Id="rId620" /><Relationship Type="http://schemas.openxmlformats.org/officeDocument/2006/relationships/hyperlink" Target="https://cadauthority.com/download-free-autolisp-scripts/" TargetMode="External" Id="rId621" /><Relationship Type="http://schemas.openxmlformats.org/officeDocument/2006/relationships/hyperlink" Target="https://cadauthority.com/free-download/autocad/draw-tangent-lines-autocad-lisp/" TargetMode="External" Id="rId622" /><Relationship Type="http://schemas.openxmlformats.org/officeDocument/2006/relationships/hyperlink" Target="https://autolisp-exchange.com/LISP/Troy-I.lsp" TargetMode="External" Id="rId623" /><Relationship Type="http://schemas.openxmlformats.org/officeDocument/2006/relationships/hyperlink" Target="https://draftsperson.net/lisproutines/epu.lsp" TargetMode="External" Id="rId624" /><Relationship Type="http://schemas.openxmlformats.org/officeDocument/2006/relationships/hyperlink" Target="https://jtbworld.com/autolisp-visual-lisp" TargetMode="External" Id="rId625" /><Relationship Type="http://schemas.openxmlformats.org/officeDocument/2006/relationships/hyperlink" Target="https://jefferypsanders.com/AU.LSP" TargetMode="External" Id="rId626" /><Relationship Type="http://schemas.openxmlformats.org/officeDocument/2006/relationships/hyperlink" Target="https://www.lee-mac.com/circlebreak.html" TargetMode="External" Id="rId627" /><Relationship Type="http://schemas.openxmlformats.org/officeDocument/2006/relationships/hyperlink" Target="https://www.lee-mac.com/collectionfunctions.html" TargetMode="External" Id="rId628" /><Relationship Type="http://schemas.openxmlformats.org/officeDocument/2006/relationships/hyperlink" Target="http://www.gilesdarling.me.uk/lisproutines.shtml#colourbychart" TargetMode="External" Id="rId629" /><Relationship Type="http://schemas.openxmlformats.org/officeDocument/2006/relationships/hyperlink" Target="https://jtbworld.com/autocad-dimlinechange-lsp" TargetMode="External" Id="rId630" /><Relationship Type="http://schemas.openxmlformats.org/officeDocument/2006/relationships/hyperlink" Target="https://www.lee-mac.com/explore.html" TargetMode="External" Id="rId631" /><Relationship Type="http://schemas.openxmlformats.org/officeDocument/2006/relationships/hyperlink" Target="https://jtbworld.com/autocad-jtb-titlebar-lsp" TargetMode="External" Id="rId632" /><Relationship Type="http://schemas.openxmlformats.org/officeDocument/2006/relationships/hyperlink" Target="https://www.lee-mac.com/listtostring.html" TargetMode="External" Id="rId633" /><Relationship Type="http://schemas.openxmlformats.org/officeDocument/2006/relationships/hyperlink" Target="https://autolisp-exchange.com/Other/MatInv.lsp" TargetMode="External" Id="rId634" /><Relationship Type="http://schemas.openxmlformats.org/officeDocument/2006/relationships/hyperlink" Target="https://www.lee-mac.com/open.html" TargetMode="External" Id="rId635" /><Relationship Type="http://schemas.openxmlformats.org/officeDocument/2006/relationships/hyperlink" Target="https://www.lee-mac.com/printlist.html" TargetMode="External" Id="rId636" /><Relationship Type="http://schemas.openxmlformats.org/officeDocument/2006/relationships/hyperlink" Target="https://cadauthority.com/free-download/autocad/reverse-polyline-direction-autocad/" TargetMode="External" Id="rId637" /><Relationship Type="http://schemas.openxmlformats.org/officeDocument/2006/relationships/hyperlink" Target="https://www.lee-mac.com/tipoftheday.html" TargetMode="External" Id="rId638" /><Relationship Type="http://schemas.openxmlformats.org/officeDocument/2006/relationships/hyperlink" Target="https://draftsperson.net/lisproutines/archcalc.zip" TargetMode="External" Id="rId639" /><Relationship Type="http://schemas.openxmlformats.org/officeDocument/2006/relationships/hyperlink" Target="https://jefferypsanders.com/CASE.LSP" TargetMode="External" Id="rId640" /><Relationship Type="http://schemas.openxmlformats.org/officeDocument/2006/relationships/hyperlink" Target="https://draftsperson.net/lisproutines/ttt.zip" TargetMode="External" Id="rId641" /><Relationship Type="http://schemas.openxmlformats.org/officeDocument/2006/relationships/hyperlink" Target="https://jefferypsanders.com/CLOUD.LSP" TargetMode="External" Id="rId642" /><Relationship Type="http://schemas.openxmlformats.org/officeDocument/2006/relationships/hyperlink" Target="https://www.lee-mac.com/findfile.html" TargetMode="External" Id="rId643" /><Relationship Type="http://schemas.openxmlformats.org/officeDocument/2006/relationships/hyperlink" Target="https://www.lee-mac.com/flatten.html" TargetMode="External" Id="rId644" /><Relationship Type="http://schemas.openxmlformats.org/officeDocument/2006/relationships/hyperlink" Target="https://jtbworld.com/autocad-historylines-lsp" TargetMode="External" Id="rId645" /><Relationship Type="http://schemas.openxmlformats.org/officeDocument/2006/relationships/hyperlink" Target="https://www.lee-mac.com/orthopoint.html" TargetMode="External" Id="rId646" /><Relationship Type="http://schemas.openxmlformats.org/officeDocument/2006/relationships/hyperlink" Target="https://www.lee-mac.com/round.html" TargetMode="External" Id="rId647" /><Relationship Type="http://schemas.openxmlformats.org/officeDocument/2006/relationships/hyperlink" Target="https://www.lee-mac.com/textcasefunctions.html" TargetMode="External" Id="rId648" /><Relationship Type="http://schemas.openxmlformats.org/officeDocument/2006/relationships/hyperlink" Target="https://www.lee-mac.com/activespace.html" TargetMode="External" Id="rId649" /><Relationship Type="http://schemas.openxmlformats.org/officeDocument/2006/relationships/hyperlink" Target="https://draftsperson.net/lisproutines/Join2.zip" TargetMode="External" Id="rId650" /><Relationship Type="http://schemas.openxmlformats.org/officeDocument/2006/relationships/hyperlink" Target="https://draftsperson.net/lisproutines/LONTO.LSP" TargetMode="External" Id="rId651" /><Relationship Type="http://schemas.openxmlformats.org/officeDocument/2006/relationships/hyperlink" Target="https://www.lee-mac.com/mastermind.html" TargetMode="External" Id="rId652" /><Relationship Type="http://schemas.openxmlformats.org/officeDocument/2006/relationships/hyperlink" Target="https://www.lee-mac.com/permutations.html" TargetMode="External" Id="rId653" /><Relationship Type="http://schemas.openxmlformats.org/officeDocument/2006/relationships/hyperlink" Target="http://www.gilesdarling.me.uk/lisproutines.shtml#plineswapends" TargetMode="External" Id="rId654" /><Relationship Type="http://schemas.openxmlformats.org/officeDocument/2006/relationships/hyperlink" Target="https://jtbworld.com/autocad-remicons-lsp" TargetMode="External" Id="rId655" /><Relationship Type="http://schemas.openxmlformats.org/officeDocument/2006/relationships/hyperlink" Target="https://www.lee-mac.com/selectionsettolist.html" TargetMode="External" Id="rId656" /><Relationship Type="http://schemas.openxmlformats.org/officeDocument/2006/relationships/hyperlink" Target="https://www.lee-mac.com/uniqueduplicate.html" TargetMode="External" Id="rId657" /><Relationship Type="http://schemas.openxmlformats.org/officeDocument/2006/relationships/hyperlink" Target="https://jefferypsanders.com/autolisp_games.html" TargetMode="External" Id="rId658" /><Relationship Type="http://schemas.openxmlformats.org/officeDocument/2006/relationships/hyperlink" Target="https://jtbworld.com/autocad-cao-link-templates-lsp" TargetMode="External" Id="rId659" /><Relationship Type="http://schemas.openxmlformats.org/officeDocument/2006/relationships/hyperlink" Target="https://autolisp-exchange.com/Other/DclDemo06.zip" TargetMode="External" Id="rId660" /><Relationship Type="http://schemas.openxmlformats.org/officeDocument/2006/relationships/hyperlink" Target="https://www.lee-mac.com/listdifference.html" TargetMode="External" Id="rId661" /><Relationship Type="http://schemas.openxmlformats.org/officeDocument/2006/relationships/hyperlink" Target="https://www.lee-mac.com/listintersection.html" TargetMode="External" Id="rId662" /><Relationship Type="http://schemas.openxmlformats.org/officeDocument/2006/relationships/hyperlink" Target="https://autolisp-exchange.com/Other/Puzzle.zip" TargetMode="External" Id="rId663" /><Relationship Type="http://schemas.openxmlformats.org/officeDocument/2006/relationships/hyperlink" Target="http://www.gilesdarling.me.uk/lisproutines.shtml#colourbychart" TargetMode="External" Id="rId664" /><Relationship Type="http://schemas.openxmlformats.org/officeDocument/2006/relationships/hyperlink" Target="https://jefferypsanders.com/ERASNODE.LSP" TargetMode="External" Id="rId665" /><Relationship Type="http://schemas.openxmlformats.org/officeDocument/2006/relationships/hyperlink" Target="https://draftsperson.net/lisproutines/extrude_p.lsp" TargetMode="External" Id="rId666" /><Relationship Type="http://schemas.openxmlformats.org/officeDocument/2006/relationships/hyperlink" Target="https://jtbworld.com/autocad-linetype-lsp" TargetMode="External" Id="rId667" /><Relationship Type="http://schemas.openxmlformats.org/officeDocument/2006/relationships/hyperlink" Target="https://www.lee-mac.com/listsymdifference.html" TargetMode="External" Id="rId668" /><Relationship Type="http://schemas.openxmlformats.org/officeDocument/2006/relationships/hyperlink" Target="https://www.lee-mac.com/listunion.html" TargetMode="External" Id="rId669" /><Relationship Type="http://schemas.openxmlformats.org/officeDocument/2006/relationships/hyperlink" Target="https://jefferypsanders.com/autolisp_games.html" TargetMode="External" Id="rId670" /><Relationship Type="http://schemas.openxmlformats.org/officeDocument/2006/relationships/hyperlink" Target="https://www.lee-mac.com/padbetween.html" TargetMode="External" Id="rId671" /><Relationship Type="http://schemas.openxmlformats.org/officeDocument/2006/relationships/hyperlink" Target="https://autolisp-exchange.com/Other/Roulette.zip" TargetMode="External" Id="rId672" /><Relationship Type="http://schemas.openxmlformats.org/officeDocument/2006/relationships/hyperlink" Target="https://jefferypsanders.com/autolisp_games.html" TargetMode="External" Id="rId673" /><Relationship Type="http://schemas.openxmlformats.org/officeDocument/2006/relationships/hyperlink" Target="https://draftsperson.net/lisproutines/protxlsp.zip" TargetMode="External" Id="rId674" /><Relationship Type="http://schemas.openxmlformats.org/officeDocument/2006/relationships/hyperlink" Target="https://autolisp-exchange.com/Tutorials/MyDialogs.htm" TargetMode="External" Id="rId675" /><Relationship Type="http://schemas.openxmlformats.org/officeDocument/2006/relationships/hyperlink" Target="https://www.lee-mac.com/password.html" TargetMode="External" Id="rId676" /><Relationship Type="http://schemas.openxmlformats.org/officeDocument/2006/relationships/hyperlink" Target="https://www.lee-mac.com/stringsubst.html" TargetMode="External" Id="rId677" /><Relationship Type="http://schemas.openxmlformats.org/officeDocument/2006/relationships/hyperlink" Target="https://autolisp-exchange.com/LISP/Cartoons.lsp" TargetMode="External" Id="rId678" /><Relationship Type="http://schemas.openxmlformats.org/officeDocument/2006/relationships/hyperlink" Target="https://draftsperson.net/lisproutines/3dhome.zip" TargetMode="External" Id="rId679" /><Relationship Type="http://schemas.openxmlformats.org/officeDocument/2006/relationships/hyperlink" Target="https://www.lee-mac.com/insertnth.html" TargetMode="External" Id="rId680" /><Relationship Type="http://schemas.openxmlformats.org/officeDocument/2006/relationships/hyperlink" Target="https://www.lee-mac.com/removenth.html" TargetMode="External" Id="rId681" /><Relationship Type="http://schemas.openxmlformats.org/officeDocument/2006/relationships/hyperlink" Target="https://www.lee-mac.com/removeonce.html" TargetMode="External" Id="rId682" /><Relationship Type="http://schemas.openxmlformats.org/officeDocument/2006/relationships/hyperlink" Target="https://www.lee-mac.com/sublist.html" TargetMode="External" Id="rId683" /><Relationship Type="http://schemas.openxmlformats.org/officeDocument/2006/relationships/hyperlink" Target="https://www.lee-mac.com/substn.html" TargetMode="External" Id="rId684" /><Relationship Type="http://schemas.openxmlformats.org/officeDocument/2006/relationships/hyperlink" Target="https://www.lee-mac.com/substonce.html" TargetMode="External" Id="rId685" /><Relationship Type="http://schemas.openxmlformats.org/officeDocument/2006/relationships/hyperlink" Target="https://jtbworld.com/autocad-axinsert-lsp" TargetMode="External" Id="rId686" /><Relationship Type="http://schemas.openxmlformats.org/officeDocument/2006/relationships/hyperlink" Target="https://draftsperson.net/lisproutines/calc.zip" TargetMode="External" Id="rId687" /><Relationship Type="http://schemas.openxmlformats.org/officeDocument/2006/relationships/hyperlink" Target="https://www.lee-mac.com/removeitems.html" TargetMode="External" Id="rId688" /><Relationship Type="http://schemas.openxmlformats.org/officeDocument/2006/relationships/hyperlink" Target="http://www.gilesdarling.me.uk/lisproutines.shtml#tpopfuzz" TargetMode="External" Id="rId689" /><Relationship Type="http://schemas.openxmlformats.org/officeDocument/2006/relationships/hyperlink" Target="https://draftsperson.net/lisproutines/add.lsp" TargetMode="External" Id="rId690" /><Relationship Type="http://schemas.openxmlformats.org/officeDocument/2006/relationships/hyperlink" Target="https://jefferypsanders.com/DRLIM.LSP" TargetMode="External" Id="rId691" /><Relationship Type="http://schemas.openxmlformats.org/officeDocument/2006/relationships/hyperlink" Target="https://www.manusoft.com/resources/freebies/lisp/" TargetMode="External" Id="rId692" /><Relationship Type="http://schemas.openxmlformats.org/officeDocument/2006/relationships/hyperlink" Target="https://www.lee-mac.com/lotto.html" TargetMode="External" Id="rId693" /><Relationship Type="http://schemas.openxmlformats.org/officeDocument/2006/relationships/hyperlink" Target="https://www.lee-mac.com/releaseobject.html" TargetMode="External" Id="rId694" /><Relationship Type="http://schemas.openxmlformats.org/officeDocument/2006/relationships/hyperlink" Target="https://autolisp-exchange.com/LISP/Cartoons.zip" TargetMode="External" Id="rId695" /><Relationship Type="http://schemas.openxmlformats.org/officeDocument/2006/relationships/hyperlink" Target="https://jtbworld.com/autocad-autolisp-wcmatch" TargetMode="External" Id="rId6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8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  <col width="20" customWidth="1" min="12" max="12"/>
    <col width="20" customWidth="1" min="13" max="13"/>
    <col width="7" customWidth="1" min="14" max="14"/>
  </cols>
  <sheetData>
    <row r="1" ht="30" customHeight="1">
      <c r="A1" s="1" t="inlineStr">
        <is>
          <t>順位</t>
        </is>
      </c>
      <c r="B1" s="1" t="inlineStr">
        <is>
          <t>分野</t>
        </is>
      </c>
      <c r="C1" s="1" t="inlineStr">
        <is>
          <t>コマンド</t>
        </is>
      </c>
      <c r="D1" s="1" t="inlineStr">
        <is>
          <t>名前</t>
        </is>
      </c>
      <c r="E1" s="1" t="inlineStr">
        <is>
          <t>何をするツールか</t>
        </is>
      </c>
      <c r="F1" s="1" t="inlineStr">
        <is>
          <t>非代替性</t>
        </is>
      </c>
      <c r="G1" s="1" t="inlineStr">
        <is>
          <t>斬新さ</t>
        </is>
      </c>
      <c r="H1" s="1" t="inlineStr">
        <is>
          <t>時短効果</t>
        </is>
      </c>
      <c r="I1" s="1" t="inlineStr">
        <is>
          <t>汎用性</t>
        </is>
      </c>
      <c r="J1" s="1" t="inlineStr">
        <is>
          <t>合計</t>
        </is>
      </c>
      <c r="K1" s="1" t="inlineStr">
        <is>
          <t>評価メモ</t>
        </is>
      </c>
      <c r="L1" s="1" t="inlineStr">
        <is>
          <t>作者</t>
        </is>
      </c>
      <c r="M1" s="1" t="inlineStr">
        <is>
          <t>サイト</t>
        </is>
      </c>
      <c r="N1" s="1" t="inlineStr">
        <is>
          <t>リンク</t>
        </is>
      </c>
    </row>
    <row r="2">
      <c r="A2" s="2">
        <f>RANK(J2,$J$2:$J$697)</f>
        <v/>
      </c>
      <c r="B2" s="3" t="inlineStr">
        <is>
          <t>画層</t>
        </is>
      </c>
      <c r="C2" s="3" t="inlineStr">
        <is>
          <t>LDON / LDOFF</t>
        </is>
      </c>
      <c r="D2" s="4" t="inlineStr">
        <is>
          <t>Layer Director</t>
        </is>
      </c>
      <c r="E2" s="4" t="inlineStr">
        <is>
          <t>コマンド毎に画層を自動切替</t>
        </is>
      </c>
      <c r="F2" s="2" t="n">
        <v>21</v>
      </c>
      <c r="G2" s="2" t="n">
        <v>23</v>
      </c>
      <c r="H2" s="2" t="n">
        <v>17</v>
      </c>
      <c r="I2" s="2" t="n">
        <v>20</v>
      </c>
      <c r="J2" s="5">
        <f>SUM(F2:I2)</f>
        <v/>
      </c>
      <c r="K2" s="4" t="inlineStr">
        <is>
          <t>コマンド毎に画層自動切替</t>
        </is>
      </c>
      <c r="L2" s="3" t="inlineStr">
        <is>
          <t>Lee Mac</t>
        </is>
      </c>
      <c r="M2" s="3" t="inlineStr">
        <is>
          <t>Lee Mac Programming</t>
        </is>
      </c>
      <c r="N2" s="6" t="inlineStr">
        <is>
          <t>開く</t>
        </is>
      </c>
    </row>
    <row r="3">
      <c r="A3" s="2">
        <f>RANK(J3,$J$2:$J$697)</f>
        <v/>
      </c>
      <c r="B3" s="3" t="inlineStr">
        <is>
          <t>文字・テキスト</t>
        </is>
      </c>
      <c r="C3" s="3" t="inlineStr">
        <is>
          <t>NumInc</t>
        </is>
      </c>
      <c r="D3" s="4" t="inlineStr">
        <is>
          <t>Incremental Numbering Suite</t>
        </is>
      </c>
      <c r="E3" s="4" t="inlineStr">
        <is>
          <t>連番文字・属性を配置</t>
        </is>
      </c>
      <c r="F3" s="2" t="n">
        <v>18</v>
      </c>
      <c r="G3" s="2" t="n">
        <v>15</v>
      </c>
      <c r="H3" s="2" t="n">
        <v>21</v>
      </c>
      <c r="I3" s="2" t="n">
        <v>22</v>
      </c>
      <c r="J3" s="5">
        <f>SUM(F3:I3)</f>
        <v/>
      </c>
      <c r="K3" s="4" t="inlineStr">
        <is>
          <t>連番配置の決定版、多機能</t>
        </is>
      </c>
      <c r="L3" s="3" t="inlineStr">
        <is>
          <t>Lee Mac</t>
        </is>
      </c>
      <c r="M3" s="3" t="inlineStr">
        <is>
          <t>Lee Mac Programming</t>
        </is>
      </c>
      <c r="N3" s="6" t="inlineStr">
        <is>
          <t>開く</t>
        </is>
      </c>
    </row>
    <row r="4">
      <c r="A4" s="2">
        <f>RANK(J4,$J$2:$J$697)</f>
        <v/>
      </c>
      <c r="B4" s="3" t="inlineStr">
        <is>
          <t>表・Excel連携</t>
        </is>
      </c>
      <c r="C4" s="3" t="inlineStr">
        <is>
          <t>MacAtt / MacAttExt / MacAttEdit</t>
        </is>
      </c>
      <c r="D4" s="4" t="inlineStr">
        <is>
          <t>Global Attribute Extractor &amp; Editor</t>
        </is>
      </c>
      <c r="E4" s="4" t="inlineStr">
        <is>
          <t>複数図面の属性を抽出・編集</t>
        </is>
      </c>
      <c r="F4" s="2" t="n">
        <v>20</v>
      </c>
      <c r="G4" s="2" t="n">
        <v>15</v>
      </c>
      <c r="H4" s="2" t="n">
        <v>21</v>
      </c>
      <c r="I4" s="2" t="n">
        <v>19</v>
      </c>
      <c r="J4" s="5">
        <f>SUM(F4:I4)</f>
        <v/>
      </c>
      <c r="K4" s="4" t="inlineStr">
        <is>
          <t>複数図面の属性抽出・編集</t>
        </is>
      </c>
      <c r="L4" s="3" t="inlineStr">
        <is>
          <t>Lee Mac</t>
        </is>
      </c>
      <c r="M4" s="3" t="inlineStr">
        <is>
          <t>Lee Mac Programming</t>
        </is>
      </c>
      <c r="N4" s="6" t="inlineStr">
        <is>
          <t>開く</t>
        </is>
      </c>
    </row>
    <row r="5">
      <c r="A5" s="2">
        <f>RANK(J5,$J$2:$J$697)</f>
        <v/>
      </c>
      <c r="B5" s="3" t="inlineStr">
        <is>
          <t>外部参照・図面管理・一括処理</t>
        </is>
      </c>
      <c r="C5" s="3" t="inlineStr">
        <is>
          <t>BFind</t>
        </is>
      </c>
      <c r="D5" s="4" t="inlineStr">
        <is>
          <t>Batch Find &amp; Replace Text</t>
        </is>
      </c>
      <c r="E5" s="4" t="inlineStr">
        <is>
          <t>複数図面の文字を一括置換</t>
        </is>
      </c>
      <c r="F5" s="2" t="n">
        <v>20</v>
      </c>
      <c r="G5" s="2" t="n">
        <v>14</v>
      </c>
      <c r="H5" s="2" t="n">
        <v>21</v>
      </c>
      <c r="I5" s="2" t="n">
        <v>19</v>
      </c>
      <c r="J5" s="5">
        <f>SUM(F5:I5)</f>
        <v/>
      </c>
      <c r="K5" s="4" t="inlineStr">
        <is>
          <t>複数図面の文字を一括置換</t>
        </is>
      </c>
      <c r="L5" s="3" t="inlineStr">
        <is>
          <t>Lee Mac</t>
        </is>
      </c>
      <c r="M5" s="3" t="inlineStr">
        <is>
          <t>Lee Mac Programming</t>
        </is>
      </c>
      <c r="N5" s="6" t="inlineStr">
        <is>
          <t>開く</t>
        </is>
      </c>
    </row>
    <row r="6">
      <c r="A6" s="2">
        <f>RANK(J6,$J$2:$J$697)</f>
        <v/>
      </c>
      <c r="B6" s="3" t="inlineStr">
        <is>
          <t>ブロック・属性</t>
        </is>
      </c>
      <c r="C6" s="3" t="inlineStr">
        <is>
          <t>ABB / ABBE / ABBS</t>
        </is>
      </c>
      <c r="D6" s="4" t="inlineStr">
        <is>
          <t>Automatic Block Break</t>
        </is>
      </c>
      <c r="E6" s="4" t="inlineStr">
        <is>
          <t>ブロック挿入時に線を自動切断</t>
        </is>
      </c>
      <c r="F6" s="2" t="n">
        <v>22</v>
      </c>
      <c r="G6" s="2" t="n">
        <v>20</v>
      </c>
      <c r="H6" s="2" t="n">
        <v>17</v>
      </c>
      <c r="I6" s="2" t="n">
        <v>13</v>
      </c>
      <c r="J6" s="5">
        <f>SUM(F6:I6)</f>
        <v/>
      </c>
      <c r="K6" s="4" t="inlineStr">
        <is>
          <t>挿入時に線を自動切断</t>
        </is>
      </c>
      <c r="L6" s="3" t="inlineStr">
        <is>
          <t>Lee Mac</t>
        </is>
      </c>
      <c r="M6" s="3" t="inlineStr">
        <is>
          <t>Lee Mac Programming</t>
        </is>
      </c>
      <c r="N6" s="6" t="inlineStr">
        <is>
          <t>開く</t>
        </is>
      </c>
    </row>
    <row r="7">
      <c r="A7" s="2">
        <f>RANK(J7,$J$2:$J$697)</f>
        <v/>
      </c>
      <c r="B7" s="3" t="inlineStr">
        <is>
          <t>文字・テキスト</t>
        </is>
      </c>
      <c r="C7" s="3" t="inlineStr">
        <is>
          <t>incarray / incarrayd</t>
        </is>
      </c>
      <c r="D7" s="4" t="inlineStr">
        <is>
          <t>Incremental Array</t>
        </is>
      </c>
      <c r="E7" s="4" t="inlineStr">
        <is>
          <t>連番を増やしながら配列複写</t>
        </is>
      </c>
      <c r="F7" s="2" t="n">
        <v>19</v>
      </c>
      <c r="G7" s="2" t="n">
        <v>16</v>
      </c>
      <c r="H7" s="2" t="n">
        <v>18</v>
      </c>
      <c r="I7" s="2" t="n">
        <v>18</v>
      </c>
      <c r="J7" s="5">
        <f>SUM(F7:I7)</f>
        <v/>
      </c>
      <c r="K7" s="4" t="inlineStr">
        <is>
          <t>連番を増やしつつ配列複写</t>
        </is>
      </c>
      <c r="L7" s="3" t="inlineStr">
        <is>
          <t>Lee Mac</t>
        </is>
      </c>
      <c r="M7" s="3" t="inlineStr">
        <is>
          <t>Lee Mac Programming</t>
        </is>
      </c>
      <c r="N7" s="6" t="inlineStr">
        <is>
          <t>開く</t>
        </is>
      </c>
    </row>
    <row r="8">
      <c r="A8" s="2">
        <f>RANK(J8,$J$2:$J$697)</f>
        <v/>
      </c>
      <c r="B8" s="3" t="inlineStr">
        <is>
          <t>外部参照・図面管理・一括処理</t>
        </is>
      </c>
      <c r="C8" s="3" t="inlineStr">
        <is>
          <t>batte</t>
        </is>
      </c>
      <c r="D8" s="4" t="inlineStr">
        <is>
          <t>Batch Attribute Editor</t>
        </is>
      </c>
      <c r="E8" s="4" t="inlineStr">
        <is>
          <t>複数図面の属性を一括編集</t>
        </is>
      </c>
      <c r="F8" s="2" t="n">
        <v>19</v>
      </c>
      <c r="G8" s="2" t="n">
        <v>13</v>
      </c>
      <c r="H8" s="2" t="n">
        <v>20</v>
      </c>
      <c r="I8" s="2" t="n">
        <v>18</v>
      </c>
      <c r="J8" s="5">
        <f>SUM(F8:I8)</f>
        <v/>
      </c>
      <c r="K8" s="4" t="inlineStr">
        <is>
          <t>図面を開かず属性一括編集</t>
        </is>
      </c>
      <c r="L8" s="3" t="inlineStr">
        <is>
          <t>Lee Mac</t>
        </is>
      </c>
      <c r="M8" s="3" t="inlineStr">
        <is>
          <t>Lee Mac Programming</t>
        </is>
      </c>
      <c r="N8" s="6" t="inlineStr">
        <is>
          <t>開く</t>
        </is>
      </c>
    </row>
    <row r="9">
      <c r="A9" s="2">
        <f>RANK(J9,$J$2:$J$697)</f>
        <v/>
      </c>
      <c r="B9" s="3" t="inlineStr">
        <is>
          <t>ハッチ・面積・長さ集計</t>
        </is>
      </c>
      <c r="C9" s="3" t="inlineStr">
        <is>
          <t>A2F</t>
        </is>
      </c>
      <c r="D9" s="4" t="inlineStr">
        <is>
          <t>Areas to Field</t>
        </is>
      </c>
      <c r="E9" s="4" t="inlineStr">
        <is>
          <t>複数面積の合計をフィールド化</t>
        </is>
      </c>
      <c r="F9" s="2" t="n">
        <v>18</v>
      </c>
      <c r="G9" s="2" t="n">
        <v>17</v>
      </c>
      <c r="H9" s="2" t="n">
        <v>17</v>
      </c>
      <c r="I9" s="2" t="n">
        <v>17</v>
      </c>
      <c r="J9" s="5">
        <f>SUM(F9:I9)</f>
        <v/>
      </c>
      <c r="K9" s="4" t="inlineStr">
        <is>
          <t>合計面積のフィールド化が秀逸</t>
        </is>
      </c>
      <c r="L9" s="3" t="inlineStr">
        <is>
          <t>Lee Mac</t>
        </is>
      </c>
      <c r="M9" s="3" t="inlineStr">
        <is>
          <t>Lee Mac Programming</t>
        </is>
      </c>
      <c r="N9" s="6" t="inlineStr">
        <is>
          <t>開く</t>
        </is>
      </c>
    </row>
    <row r="10">
      <c r="A10" s="2">
        <f>RANK(J10,$J$2:$J$697)</f>
        <v/>
      </c>
      <c r="B10" s="3" t="inlineStr">
        <is>
          <t>外部参照・図面管理・一括処理</t>
        </is>
      </c>
      <c r="C10" s="3" t="inlineStr">
        <is>
          <t>CDC / ODC</t>
        </is>
      </c>
      <c r="D10" s="4" t="inlineStr">
        <is>
          <t>OpenDwgsCmds</t>
        </is>
      </c>
      <c r="E10" s="4" t="inlineStr">
        <is>
          <t>開いた全図面でコマンド実行</t>
        </is>
      </c>
      <c r="F10" s="2" t="n">
        <v>19</v>
      </c>
      <c r="G10" s="2" t="n">
        <v>15</v>
      </c>
      <c r="H10" s="2" t="n">
        <v>17</v>
      </c>
      <c r="I10" s="2" t="n">
        <v>18</v>
      </c>
      <c r="J10" s="5">
        <f>SUM(F10:I10)</f>
        <v/>
      </c>
      <c r="K10" s="4" t="inlineStr">
        <is>
          <t>開いた全図面でコマンド実行</t>
        </is>
      </c>
      <c r="L10" s="3" t="inlineStr">
        <is>
          <t>Terry Miller</t>
        </is>
      </c>
      <c r="M10" s="3" t="inlineStr">
        <is>
          <t>AutoLISP Exchange</t>
        </is>
      </c>
      <c r="N10" s="6" t="inlineStr">
        <is>
          <t>開く</t>
        </is>
      </c>
    </row>
    <row r="11">
      <c r="A11" s="2">
        <f>RANK(J11,$J$2:$J$697)</f>
        <v/>
      </c>
      <c r="B11" s="3" t="inlineStr">
        <is>
          <t>印刷・レイアウト・図枠</t>
        </is>
      </c>
      <c r="C11" s="3" t="inlineStr">
        <is>
          <t>PlotDwgs / PD</t>
        </is>
      </c>
      <c r="D11" s="4" t="inlineStr">
        <is>
          <t>PlotDwgs</t>
        </is>
      </c>
      <c r="E11" s="4" t="inlineStr">
        <is>
          <t>開いた図面・フォルダを一括印刷</t>
        </is>
      </c>
      <c r="F11" s="2" t="n">
        <v>18</v>
      </c>
      <c r="G11" s="2" t="n">
        <v>10</v>
      </c>
      <c r="H11" s="2" t="n">
        <v>21</v>
      </c>
      <c r="I11" s="2" t="n">
        <v>20</v>
      </c>
      <c r="J11" s="5">
        <f>SUM(F11:I11)</f>
        <v/>
      </c>
      <c r="K11" s="4" t="inlineStr">
        <is>
          <t>図面・フォルダ一括印刷</t>
        </is>
      </c>
      <c r="L11" s="3" t="inlineStr">
        <is>
          <t>Terry Miller</t>
        </is>
      </c>
      <c r="M11" s="3" t="inlineStr">
        <is>
          <t>AutoLISP Exchange</t>
        </is>
      </c>
      <c r="N11" s="6" t="inlineStr">
        <is>
          <t>開く</t>
        </is>
      </c>
    </row>
    <row r="12">
      <c r="A12" s="2">
        <f>RANK(J12,$J$2:$J$697)</f>
        <v/>
      </c>
      <c r="B12" s="3" t="inlineStr">
        <is>
          <t>ハッチ・面積・長さ集計</t>
        </is>
      </c>
      <c r="C12" s="3" t="inlineStr">
        <is>
          <t>AT / AF</t>
        </is>
      </c>
      <c r="D12" s="4" t="inlineStr">
        <is>
          <t>Area Label</t>
        </is>
      </c>
      <c r="E12" s="4" t="inlineStr">
        <is>
          <t>面積を表やファイルに書出し</t>
        </is>
      </c>
      <c r="F12" s="2" t="n">
        <v>17</v>
      </c>
      <c r="G12" s="2" t="n">
        <v>13</v>
      </c>
      <c r="H12" s="2" t="n">
        <v>18</v>
      </c>
      <c r="I12" s="2" t="n">
        <v>18</v>
      </c>
      <c r="J12" s="5">
        <f>SUM(F12:I12)</f>
        <v/>
      </c>
      <c r="K12" s="4" t="inlineStr">
        <is>
          <t>面積表・ファイル書出しを一括</t>
        </is>
      </c>
      <c r="L12" s="3" t="inlineStr">
        <is>
          <t>Lee Mac</t>
        </is>
      </c>
      <c r="M12" s="3" t="inlineStr">
        <is>
          <t>Lee Mac Programming</t>
        </is>
      </c>
      <c r="N12" s="6" t="inlineStr">
        <is>
          <t>開く</t>
        </is>
      </c>
    </row>
    <row r="13">
      <c r="A13" s="2">
        <f>RANK(J13,$J$2:$J$697)</f>
        <v/>
      </c>
      <c r="B13" s="3" t="inlineStr">
        <is>
          <t>印刷・レイアウト・図枠</t>
        </is>
      </c>
      <c r="C13" s="3" t="inlineStr">
        <is>
          <t>utb</t>
        </is>
      </c>
      <c r="D13" s="4" t="inlineStr">
        <is>
          <t>Update Titleblock Attributes</t>
        </is>
      </c>
      <c r="E13" s="4" t="inlineStr">
        <is>
          <t>図枠属性を自動更新</t>
        </is>
      </c>
      <c r="F13" s="2" t="n">
        <v>17</v>
      </c>
      <c r="G13" s="2" t="n">
        <v>14</v>
      </c>
      <c r="H13" s="2" t="n">
        <v>18</v>
      </c>
      <c r="I13" s="2" t="n">
        <v>17</v>
      </c>
      <c r="J13" s="5">
        <f>SUM(F13:I13)</f>
        <v/>
      </c>
      <c r="K13" s="4" t="inlineStr">
        <is>
          <t>図枠属性を自動更新</t>
        </is>
      </c>
      <c r="L13" s="3" t="inlineStr">
        <is>
          <t>Lee Mac</t>
        </is>
      </c>
      <c r="M13" s="3" t="inlineStr">
        <is>
          <t>Lee Mac Programming</t>
        </is>
      </c>
      <c r="N13" s="6" t="inlineStr">
        <is>
          <t>開く</t>
        </is>
      </c>
    </row>
    <row r="14">
      <c r="A14" s="2">
        <f>RANK(J14,$J$2:$J$697)</f>
        <v/>
      </c>
      <c r="B14" s="3" t="inlineStr">
        <is>
          <t>外部参照・図面管理・一括処理</t>
        </is>
      </c>
      <c r="C14" s="3" t="inlineStr">
        <is>
          <t>BatchLisp</t>
        </is>
      </c>
      <c r="D14" s="4" t="inlineStr">
        <is>
          <t>BatchLisp</t>
        </is>
      </c>
      <c r="E14" s="4" t="inlineStr">
        <is>
          <t>LISPを複数図面で一括実行</t>
        </is>
      </c>
      <c r="F14" s="2" t="n">
        <v>17</v>
      </c>
      <c r="G14" s="2" t="n">
        <v>12</v>
      </c>
      <c r="H14" s="2" t="n">
        <v>19</v>
      </c>
      <c r="I14" s="2" t="n">
        <v>17</v>
      </c>
      <c r="J14" s="5">
        <f>SUM(F14:I14)</f>
        <v/>
      </c>
      <c r="K14" s="4" t="inlineStr">
        <is>
          <t>LISPを複数図面で一括実行</t>
        </is>
      </c>
      <c r="L14" s="3" t="inlineStr">
        <is>
          <t>Jeffery P. Sanders</t>
        </is>
      </c>
      <c r="M14" s="3" t="inlineStr">
        <is>
          <t>JefferyPSanders.com</t>
        </is>
      </c>
      <c r="N14" s="6" t="inlineStr">
        <is>
          <t>開く</t>
        </is>
      </c>
    </row>
    <row r="15">
      <c r="A15" s="2">
        <f>RANK(J15,$J$2:$J$697)</f>
        <v/>
      </c>
      <c r="B15" s="3" t="inlineStr">
        <is>
          <t>外部参照・図面管理・一括処理</t>
        </is>
      </c>
      <c r="C15" s="3" t="inlineStr">
        <is>
          <t>c2dwg</t>
        </is>
      </c>
      <c r="D15" s="4" t="inlineStr">
        <is>
          <t>Copy to Drawings</t>
        </is>
      </c>
      <c r="E15" s="4" t="inlineStr">
        <is>
          <t>図形を複数図面へコピー</t>
        </is>
      </c>
      <c r="F15" s="2" t="n">
        <v>19</v>
      </c>
      <c r="G15" s="2" t="n">
        <v>14</v>
      </c>
      <c r="H15" s="2" t="n">
        <v>15</v>
      </c>
      <c r="I15" s="2" t="n">
        <v>17</v>
      </c>
      <c r="J15" s="5">
        <f>SUM(F15:I15)</f>
        <v/>
      </c>
      <c r="K15" s="4" t="inlineStr">
        <is>
          <t>図形を複数図面へ複写</t>
        </is>
      </c>
      <c r="L15" s="3" t="inlineStr">
        <is>
          <t>Lee Mac</t>
        </is>
      </c>
      <c r="M15" s="3" t="inlineStr">
        <is>
          <t>Lee Mac Programming</t>
        </is>
      </c>
      <c r="N15" s="6" t="inlineStr">
        <is>
          <t>開く</t>
        </is>
      </c>
    </row>
    <row r="16">
      <c r="A16" s="2">
        <f>RANK(J16,$J$2:$J$697)</f>
        <v/>
      </c>
      <c r="B16" s="3" t="inlineStr">
        <is>
          <t>文字・テキスト</t>
        </is>
      </c>
      <c r="C16" s="3" t="inlineStr">
        <is>
          <t>DTCurve / DTRemove</t>
        </is>
      </c>
      <c r="D16" s="4" t="inlineStr">
        <is>
          <t>Align Text to Curve (Auto Re-align)</t>
        </is>
      </c>
      <c r="E16" s="4" t="inlineStr">
        <is>
          <t>曲線沿い文字を自動再配置</t>
        </is>
      </c>
      <c r="F16" s="2" t="n">
        <v>20</v>
      </c>
      <c r="G16" s="2" t="n">
        <v>22</v>
      </c>
      <c r="H16" s="2" t="n">
        <v>10</v>
      </c>
      <c r="I16" s="2" t="n">
        <v>12</v>
      </c>
      <c r="J16" s="5">
        <f>SUM(F16:I16)</f>
        <v/>
      </c>
      <c r="K16" s="4" t="inlineStr">
        <is>
          <t>リアクタで自動再配置</t>
        </is>
      </c>
      <c r="L16" s="3" t="inlineStr">
        <is>
          <t>Lee Mac</t>
        </is>
      </c>
      <c r="M16" s="3" t="inlineStr">
        <is>
          <t>Lee Mac Programming</t>
        </is>
      </c>
      <c r="N16" s="6" t="inlineStr">
        <is>
          <t>開く</t>
        </is>
      </c>
    </row>
    <row r="17">
      <c r="A17" s="2">
        <f>RANK(J17,$J$2:$J$697)</f>
        <v/>
      </c>
      <c r="B17" s="3" t="inlineStr">
        <is>
          <t>ハッチ・面積・長さ集計</t>
        </is>
      </c>
      <c r="C17" s="3" t="inlineStr">
        <is>
          <t>AREATBL</t>
        </is>
      </c>
      <c r="D17" s="4" t="inlineStr">
        <is>
          <t>AreaTable.lsp</t>
        </is>
      </c>
      <c r="E17" s="4" t="inlineStr">
        <is>
          <t>面積ラベルと集計表を作成</t>
        </is>
      </c>
      <c r="F17" s="2" t="n">
        <v>16</v>
      </c>
      <c r="G17" s="2" t="n">
        <v>13</v>
      </c>
      <c r="H17" s="2" t="n">
        <v>17</v>
      </c>
      <c r="I17" s="2" t="n">
        <v>18</v>
      </c>
      <c r="J17" s="5">
        <f>SUM(F17:I17)</f>
        <v/>
      </c>
      <c r="K17" s="4" t="inlineStr">
        <is>
          <t>面積ラベルと集計表を一括作成</t>
        </is>
      </c>
      <c r="L17" s="3" t="inlineStr">
        <is>
          <t>CADAuthority</t>
        </is>
      </c>
      <c r="M17" s="3" t="inlineStr">
        <is>
          <t>CAD Authority</t>
        </is>
      </c>
      <c r="N17" s="6" t="inlineStr">
        <is>
          <t>開く</t>
        </is>
      </c>
    </row>
    <row r="18">
      <c r="A18" s="2">
        <f>RANK(J18,$J$2:$J$697)</f>
        <v/>
      </c>
      <c r="B18" s="3" t="inlineStr">
        <is>
          <t>ブロック・属性</t>
        </is>
      </c>
      <c r="C18" s="3" t="inlineStr">
        <is>
          <t>ATTINC</t>
        </is>
      </c>
      <c r="D18" s="4" t="inlineStr">
        <is>
          <t>ATTINC</t>
        </is>
      </c>
      <c r="E18" s="4" t="inlineStr">
        <is>
          <t>属性値を連番で増加</t>
        </is>
      </c>
      <c r="F18" s="2" t="n">
        <v>16</v>
      </c>
      <c r="G18" s="2" t="n">
        <v>13</v>
      </c>
      <c r="H18" s="2" t="n">
        <v>18</v>
      </c>
      <c r="I18" s="2" t="n">
        <v>17</v>
      </c>
      <c r="J18" s="5">
        <f>SUM(F18:I18)</f>
        <v/>
      </c>
      <c r="K18" s="4" t="inlineStr">
        <is>
          <t>属性の自動連番</t>
        </is>
      </c>
      <c r="L18" s="3" t="inlineStr">
        <is>
          <t>Jeffery P. Sanders</t>
        </is>
      </c>
      <c r="M18" s="3" t="inlineStr">
        <is>
          <t>JefferyPSanders.com</t>
        </is>
      </c>
      <c r="N18" s="6" t="inlineStr">
        <is>
          <t>開く</t>
        </is>
      </c>
    </row>
    <row r="19">
      <c r="A19" s="2">
        <f>RANK(J19,$J$2:$J$697)</f>
        <v/>
      </c>
      <c r="B19" s="3" t="inlineStr">
        <is>
          <t>ブロック・属性</t>
        </is>
      </c>
      <c r="C19" s="3" t="inlineStr">
        <is>
          <t>autolabelon / autolabeloff</t>
        </is>
      </c>
      <c r="D19" s="4" t="inlineStr">
        <is>
          <t>Automatically Label Attributes</t>
        </is>
      </c>
      <c r="E19" s="4" t="inlineStr">
        <is>
          <t>頂点座標を属性に自動記入</t>
        </is>
      </c>
      <c r="F19" s="2" t="n">
        <v>20</v>
      </c>
      <c r="G19" s="2" t="n">
        <v>21</v>
      </c>
      <c r="H19" s="2" t="n">
        <v>13</v>
      </c>
      <c r="I19" s="2" t="n">
        <v>10</v>
      </c>
      <c r="J19" s="5">
        <f>SUM(F19:I19)</f>
        <v/>
      </c>
      <c r="K19" s="4" t="inlineStr">
        <is>
          <t>リアクタで座標自動更新</t>
        </is>
      </c>
      <c r="L19" s="3" t="inlineStr">
        <is>
          <t>Lee Mac</t>
        </is>
      </c>
      <c r="M19" s="3" t="inlineStr">
        <is>
          <t>Lee Mac Programming</t>
        </is>
      </c>
      <c r="N19" s="6" t="inlineStr">
        <is>
          <t>開く</t>
        </is>
      </c>
    </row>
    <row r="20">
      <c r="A20" s="2">
        <f>RANK(J20,$J$2:$J$697)</f>
        <v/>
      </c>
      <c r="B20" s="3" t="inlineStr">
        <is>
          <t>線・ポリライン編集</t>
        </is>
      </c>
      <c r="C20" s="3" t="inlineStr">
        <is>
          <t>BRKALL</t>
        </is>
      </c>
      <c r="D20" s="4" t="inlineStr">
        <is>
          <t>BreakAll.lsp</t>
        </is>
      </c>
      <c r="E20" s="4" t="inlineStr">
        <is>
          <t>全交点で一括切断</t>
        </is>
      </c>
      <c r="F20" s="2" t="n">
        <v>19</v>
      </c>
      <c r="G20" s="2" t="n">
        <v>13</v>
      </c>
      <c r="H20" s="2" t="n">
        <v>16</v>
      </c>
      <c r="I20" s="2" t="n">
        <v>16</v>
      </c>
      <c r="J20" s="5">
        <f>SUM(F20:I20)</f>
        <v/>
      </c>
      <c r="K20" s="4" t="inlineStr">
        <is>
          <t>全交点一括切断は標準不可</t>
        </is>
      </c>
      <c r="L20" s="3" t="inlineStr">
        <is>
          <t>CADAuthority</t>
        </is>
      </c>
      <c r="M20" s="3" t="inlineStr">
        <is>
          <t>CAD Authority</t>
        </is>
      </c>
      <c r="N20" s="6" t="inlineStr">
        <is>
          <t>開く</t>
        </is>
      </c>
    </row>
    <row r="21">
      <c r="A21" s="2">
        <f>RANK(J21,$J$2:$J$697)</f>
        <v/>
      </c>
      <c r="B21" s="3" t="inlineStr">
        <is>
          <t>文字・テキスト</t>
        </is>
      </c>
      <c r="C21" s="3" t="inlineStr">
        <is>
          <t>INCNUM</t>
        </is>
      </c>
      <c r="D21" s="4" t="inlineStr">
        <is>
          <t>IncrementalNumbering.lsp</t>
        </is>
      </c>
      <c r="E21" s="4" t="inlineStr">
        <is>
          <t>クリックで連番・連字を記入</t>
        </is>
      </c>
      <c r="F21" s="2" t="n">
        <v>13</v>
      </c>
      <c r="G21" s="2" t="n">
        <v>11</v>
      </c>
      <c r="H21" s="2" t="n">
        <v>18</v>
      </c>
      <c r="I21" s="2" t="n">
        <v>22</v>
      </c>
      <c r="J21" s="5">
        <f>SUM(F21:I21)</f>
        <v/>
      </c>
      <c r="K21" s="4" t="inlineStr">
        <is>
          <t>連番記入は頻出、標準にない</t>
        </is>
      </c>
      <c r="L21" s="3" t="inlineStr">
        <is>
          <t>CADAuthority</t>
        </is>
      </c>
      <c r="M21" s="3" t="inlineStr">
        <is>
          <t>CAD Authority</t>
        </is>
      </c>
      <c r="N21" s="6" t="inlineStr">
        <is>
          <t>開く</t>
        </is>
      </c>
    </row>
    <row r="22">
      <c r="A22" s="2">
        <f>RANK(J22,$J$2:$J$697)</f>
        <v/>
      </c>
      <c r="B22" s="3" t="inlineStr">
        <is>
          <t>文字・テキスト</t>
        </is>
      </c>
      <c r="C22" s="3" t="inlineStr">
        <is>
          <t>fieldmath</t>
        </is>
      </c>
      <c r="D22" s="4" t="inlineStr">
        <is>
          <t>Field Arithmetic</t>
        </is>
      </c>
      <c r="E22" s="4" t="inlineStr">
        <is>
          <t>フィールド同士の計算式作成</t>
        </is>
      </c>
      <c r="F22" s="2" t="n">
        <v>19</v>
      </c>
      <c r="G22" s="2" t="n">
        <v>18</v>
      </c>
      <c r="H22" s="2" t="n">
        <v>12</v>
      </c>
      <c r="I22" s="2" t="n">
        <v>14</v>
      </c>
      <c r="J22" s="5">
        <f>SUM(F22:I22)</f>
        <v/>
      </c>
      <c r="K22" s="4" t="inlineStr">
        <is>
          <t>フィールド計算式を自動作成</t>
        </is>
      </c>
      <c r="L22" s="3" t="inlineStr">
        <is>
          <t>Lee Mac</t>
        </is>
      </c>
      <c r="M22" s="3" t="inlineStr">
        <is>
          <t>Lee Mac Programming</t>
        </is>
      </c>
      <c r="N22" s="6" t="inlineStr">
        <is>
          <t>開く</t>
        </is>
      </c>
    </row>
    <row r="23">
      <c r="A23" s="2">
        <f>RANK(J23,$J$2:$J$697)</f>
        <v/>
      </c>
      <c r="B23" s="3" t="inlineStr">
        <is>
          <t>座標・測量・土木</t>
        </is>
      </c>
      <c r="C23" s="3" t="inlineStr">
        <is>
          <t>TPOPTRIA</t>
        </is>
      </c>
      <c r="D23" s="4" t="inlineStr">
        <is>
          <t>TOPOPROCESS.LSP</t>
        </is>
      </c>
      <c r="E23" s="4" t="inlineStr">
        <is>
          <t>3D点からTIN三角網を作成</t>
        </is>
      </c>
      <c r="F23" s="2" t="n">
        <v>22</v>
      </c>
      <c r="G23" s="2" t="n">
        <v>15</v>
      </c>
      <c r="H23" s="2" t="n">
        <v>17</v>
      </c>
      <c r="I23" s="2" t="n">
        <v>9</v>
      </c>
      <c r="J23" s="5">
        <f>SUM(F23:I23)</f>
        <v/>
      </c>
      <c r="K23" s="4" t="inlineStr">
        <is>
          <t>3D点からTIN作成</t>
        </is>
      </c>
      <c r="L23" s="3" t="inlineStr">
        <is>
          <t>Giles Darling</t>
        </is>
      </c>
      <c r="M23" s="3" t="inlineStr">
        <is>
          <t>gilesdarling.me.uk</t>
        </is>
      </c>
      <c r="N23" s="6" t="inlineStr">
        <is>
          <t>開く</t>
        </is>
      </c>
    </row>
    <row r="24">
      <c r="A24" s="2">
        <f>RANK(J24,$J$2:$J$697)</f>
        <v/>
      </c>
      <c r="B24" s="3" t="inlineStr">
        <is>
          <t>座標・測量・土木</t>
        </is>
      </c>
      <c r="C24" s="3" t="inlineStr">
        <is>
          <t>TPOPCONT</t>
        </is>
      </c>
      <c r="D24" s="4" t="inlineStr">
        <is>
          <t>TOPOPROCESS.LSP</t>
        </is>
      </c>
      <c r="E24" s="4" t="inlineStr">
        <is>
          <t>三角網から等高線を作成</t>
        </is>
      </c>
      <c r="F24" s="2" t="n">
        <v>22</v>
      </c>
      <c r="G24" s="2" t="n">
        <v>15</v>
      </c>
      <c r="H24" s="2" t="n">
        <v>17</v>
      </c>
      <c r="I24" s="2" t="n">
        <v>9</v>
      </c>
      <c r="J24" s="5">
        <f>SUM(F24:I24)</f>
        <v/>
      </c>
      <c r="K24" s="4" t="inlineStr">
        <is>
          <t>TINから等高線作成</t>
        </is>
      </c>
      <c r="L24" s="3" t="inlineStr">
        <is>
          <t>Giles Darling</t>
        </is>
      </c>
      <c r="M24" s="3" t="inlineStr">
        <is>
          <t>gilesdarling.me.uk</t>
        </is>
      </c>
      <c r="N24" s="6" t="inlineStr">
        <is>
          <t>開く</t>
        </is>
      </c>
    </row>
    <row r="25">
      <c r="A25" s="2">
        <f>RANK(J25,$J$2:$J$697)</f>
        <v/>
      </c>
      <c r="B25" s="3" t="inlineStr">
        <is>
          <t>外部参照・図面管理・一括処理</t>
        </is>
      </c>
      <c r="C25" s="3" t="inlineStr">
        <is>
          <t>ATTMAP</t>
        </is>
      </c>
      <c r="D25" s="4" t="inlineStr">
        <is>
          <t>ATTMAP</t>
        </is>
      </c>
      <c r="E25" s="4" t="inlineStr">
        <is>
          <t>属性値を他図面へ一括転記</t>
        </is>
      </c>
      <c r="F25" s="2" t="n">
        <v>18</v>
      </c>
      <c r="G25" s="2" t="n">
        <v>13</v>
      </c>
      <c r="H25" s="2" t="n">
        <v>16</v>
      </c>
      <c r="I25" s="2" t="n">
        <v>15</v>
      </c>
      <c r="J25" s="5">
        <f>SUM(F25:I25)</f>
        <v/>
      </c>
      <c r="K25" s="4" t="inlineStr">
        <is>
          <t>属性値を他図面へ転記</t>
        </is>
      </c>
      <c r="L25" s="3" t="inlineStr">
        <is>
          <t>Jeffery P. Sanders</t>
        </is>
      </c>
      <c r="M25" s="3" t="inlineStr">
        <is>
          <t>JefferyPSanders.com</t>
        </is>
      </c>
      <c r="N25" s="6" t="inlineStr">
        <is>
          <t>開く</t>
        </is>
      </c>
    </row>
    <row r="26">
      <c r="A26" s="2">
        <f>RANK(J26,$J$2:$J$697)</f>
        <v/>
      </c>
      <c r="B26" s="3" t="inlineStr">
        <is>
          <t>外部参照・図面管理・一括処理</t>
        </is>
      </c>
      <c r="C26" s="3" t="inlineStr">
        <is>
          <t>C2X</t>
        </is>
      </c>
      <c r="D26" s="4" t="inlineStr">
        <is>
          <t>Copy to XRef</t>
        </is>
      </c>
      <c r="E26" s="4" t="inlineStr">
        <is>
          <t>図形を外部参照図面へコピー</t>
        </is>
      </c>
      <c r="F26" s="2" t="n">
        <v>19</v>
      </c>
      <c r="G26" s="2" t="n">
        <v>16</v>
      </c>
      <c r="H26" s="2" t="n">
        <v>13</v>
      </c>
      <c r="I26" s="2" t="n">
        <v>14</v>
      </c>
      <c r="J26" s="5">
        <f>SUM(F26:I26)</f>
        <v/>
      </c>
      <c r="K26" s="4" t="inlineStr">
        <is>
          <t>図形を外部参照先へ直接複写</t>
        </is>
      </c>
      <c r="L26" s="3" t="inlineStr">
        <is>
          <t>Lee Mac</t>
        </is>
      </c>
      <c r="M26" s="3" t="inlineStr">
        <is>
          <t>Lee Mac Programming</t>
        </is>
      </c>
      <c r="N26" s="6" t="inlineStr">
        <is>
          <t>開く</t>
        </is>
      </c>
    </row>
    <row r="27">
      <c r="A27" s="2">
        <f>RANK(J27,$J$2:$J$697)</f>
        <v/>
      </c>
      <c r="B27" s="3" t="inlineStr">
        <is>
          <t>外部参照・図面管理・一括処理</t>
        </is>
      </c>
      <c r="C27" s="3" t="inlineStr">
        <is>
          <t>Steal / StealAll / StealLast / StealTemplate / StealTemplates</t>
        </is>
      </c>
      <c r="D27" s="4" t="inlineStr">
        <is>
          <t>Steal from Drawing</t>
        </is>
      </c>
      <c r="E27" s="4" t="inlineStr">
        <is>
          <t>他図面から定義を取り込み</t>
        </is>
      </c>
      <c r="F27" s="2" t="n">
        <v>15</v>
      </c>
      <c r="G27" s="2" t="n">
        <v>13</v>
      </c>
      <c r="H27" s="2" t="n">
        <v>16</v>
      </c>
      <c r="I27" s="2" t="n">
        <v>18</v>
      </c>
      <c r="J27" s="5">
        <f>SUM(F27:I27)</f>
        <v/>
      </c>
      <c r="K27" s="4" t="inlineStr">
        <is>
          <t>他図面から定義取込み</t>
        </is>
      </c>
      <c r="L27" s="3" t="inlineStr">
        <is>
          <t>Lee Mac</t>
        </is>
      </c>
      <c r="M27" s="3" t="inlineStr">
        <is>
          <t>Lee Mac Programming</t>
        </is>
      </c>
      <c r="N27" s="6" t="inlineStr">
        <is>
          <t>開く</t>
        </is>
      </c>
    </row>
    <row r="28">
      <c r="A28" s="2">
        <f>RANK(J28,$J$2:$J$697)</f>
        <v/>
      </c>
      <c r="B28" s="3" t="inlineStr">
        <is>
          <t>文字・テキスト</t>
        </is>
      </c>
      <c r="C28" s="3" t="inlineStr">
        <is>
          <t>tbox / rtbox</t>
        </is>
      </c>
      <c r="D28" s="4" t="inlineStr">
        <is>
          <t>Associative Textbox</t>
        </is>
      </c>
      <c r="E28" s="4" t="inlineStr">
        <is>
          <t>文字に連動する囲み枠を作図</t>
        </is>
      </c>
      <c r="F28" s="2" t="n">
        <v>16</v>
      </c>
      <c r="G28" s="2" t="n">
        <v>19</v>
      </c>
      <c r="H28" s="2" t="n">
        <v>10</v>
      </c>
      <c r="I28" s="2" t="n">
        <v>16</v>
      </c>
      <c r="J28" s="5">
        <f>SUM(F28:I28)</f>
        <v/>
      </c>
      <c r="K28" s="4" t="inlineStr">
        <is>
          <t>文字連動枠、リアクタ系</t>
        </is>
      </c>
      <c r="L28" s="3" t="inlineStr">
        <is>
          <t>Lee Mac</t>
        </is>
      </c>
      <c r="M28" s="3" t="inlineStr">
        <is>
          <t>Lee Mac Programming</t>
        </is>
      </c>
      <c r="N28" s="6" t="inlineStr">
        <is>
          <t>開く</t>
        </is>
      </c>
    </row>
    <row r="29">
      <c r="A29" s="2">
        <f>RANK(J29,$J$2:$J$697)</f>
        <v/>
      </c>
      <c r="B29" s="3" t="inlineStr">
        <is>
          <t>ハッチ・面積・長さ集計</t>
        </is>
      </c>
      <c r="C29" s="3" t="inlineStr">
        <is>
          <t>-</t>
        </is>
      </c>
      <c r="D29" s="4" t="inlineStr">
        <is>
          <t>CALCAREA.LSP</t>
        </is>
      </c>
      <c r="E29" s="4" t="inlineStr">
        <is>
          <t>部屋番号と面積をCSV出力</t>
        </is>
      </c>
      <c r="F29" s="2" t="n">
        <v>18</v>
      </c>
      <c r="G29" s="2" t="n">
        <v>13</v>
      </c>
      <c r="H29" s="2" t="n">
        <v>17</v>
      </c>
      <c r="I29" s="2" t="n">
        <v>13</v>
      </c>
      <c r="J29" s="5">
        <f>SUM(F29:I29)</f>
        <v/>
      </c>
      <c r="K29" s="4" t="inlineStr">
        <is>
          <t>部屋番号と面積をCSV化</t>
        </is>
      </c>
      <c r="L29" s="3" t="inlineStr">
        <is>
          <t>Owen Wengerd (ManuSoft)</t>
        </is>
      </c>
      <c r="M29" s="3" t="inlineStr">
        <is>
          <t>ManuSoft</t>
        </is>
      </c>
      <c r="N29" s="6" t="inlineStr">
        <is>
          <t>開く</t>
        </is>
      </c>
    </row>
    <row r="30">
      <c r="A30" s="2">
        <f>RANK(J30,$J$2:$J$697)</f>
        <v/>
      </c>
      <c r="B30" s="3" t="inlineStr">
        <is>
          <t>印刷・レイアウト・図枠</t>
        </is>
      </c>
      <c r="C30" s="3" t="inlineStr">
        <is>
          <t>C2L / C2AL</t>
        </is>
      </c>
      <c r="D30" s="4" t="inlineStr">
        <is>
          <t>Copy to Layouts</t>
        </is>
      </c>
      <c r="E30" s="4" t="inlineStr">
        <is>
          <t>図形を複数レイアウトへコピー</t>
        </is>
      </c>
      <c r="F30" s="2" t="n">
        <v>17</v>
      </c>
      <c r="G30" s="2" t="n">
        <v>12</v>
      </c>
      <c r="H30" s="2" t="n">
        <v>15</v>
      </c>
      <c r="I30" s="2" t="n">
        <v>17</v>
      </c>
      <c r="J30" s="5">
        <f>SUM(F30:I30)</f>
        <v/>
      </c>
      <c r="K30" s="4" t="inlineStr">
        <is>
          <t>図形を複数レイアウトへ複写</t>
        </is>
      </c>
      <c r="L30" s="3" t="inlineStr">
        <is>
          <t>Lee Mac</t>
        </is>
      </c>
      <c r="M30" s="3" t="inlineStr">
        <is>
          <t>Lee Mac Programming</t>
        </is>
      </c>
      <c r="N30" s="6" t="inlineStr">
        <is>
          <t>開く</t>
        </is>
      </c>
    </row>
    <row r="31">
      <c r="A31" s="2">
        <f>RANK(J31,$J$2:$J$697)</f>
        <v/>
      </c>
      <c r="B31" s="3" t="inlineStr">
        <is>
          <t>寸法</t>
        </is>
      </c>
      <c r="C31" s="3" t="inlineStr">
        <is>
          <t>EDIM</t>
        </is>
      </c>
      <c r="D31" s="4" t="inlineStr">
        <is>
          <t>EasyDim.lsp</t>
        </is>
      </c>
      <c r="E31" s="4" t="inlineStr">
        <is>
          <t>ポリライン全周に寸法記入</t>
        </is>
      </c>
      <c r="F31" s="2" t="n">
        <v>17</v>
      </c>
      <c r="G31" s="2" t="n">
        <v>12</v>
      </c>
      <c r="H31" s="2" t="n">
        <v>16</v>
      </c>
      <c r="I31" s="2" t="n">
        <v>16</v>
      </c>
      <c r="J31" s="5">
        <f>SUM(F31:I31)</f>
        <v/>
      </c>
      <c r="K31" s="4" t="inlineStr">
        <is>
          <t>全周寸法の自動記入</t>
        </is>
      </c>
      <c r="L31" s="3" t="inlineStr">
        <is>
          <t>CADAuthority</t>
        </is>
      </c>
      <c r="M31" s="3" t="inlineStr">
        <is>
          <t>CAD Authority</t>
        </is>
      </c>
      <c r="N31" s="6" t="inlineStr">
        <is>
          <t>開く</t>
        </is>
      </c>
    </row>
    <row r="32">
      <c r="A32" s="2">
        <f>RANK(J32,$J$2:$J$697)</f>
        <v/>
      </c>
      <c r="B32" s="3" t="inlineStr">
        <is>
          <t>文字・テキスト</t>
        </is>
      </c>
      <c r="C32" s="3" t="inlineStr">
        <is>
          <t>FindReplace / FR</t>
        </is>
      </c>
      <c r="D32" s="4" t="inlineStr">
        <is>
          <t>FindReplace</t>
        </is>
      </c>
      <c r="E32" s="4" t="inlineStr">
        <is>
          <t>開いた全図面の文字を検索置換</t>
        </is>
      </c>
      <c r="F32" s="2" t="n">
        <v>14</v>
      </c>
      <c r="G32" s="2" t="n">
        <v>10</v>
      </c>
      <c r="H32" s="2" t="n">
        <v>15</v>
      </c>
      <c r="I32" s="2" t="n">
        <v>22</v>
      </c>
      <c r="J32" s="5">
        <f>SUM(F32:I32)</f>
        <v/>
      </c>
      <c r="K32" s="4" t="inlineStr">
        <is>
          <t>標準FINDは開図面単位、一括が利点</t>
        </is>
      </c>
      <c r="L32" s="3" t="inlineStr">
        <is>
          <t>Terry Miller</t>
        </is>
      </c>
      <c r="M32" s="3" t="inlineStr">
        <is>
          <t>AutoLISP Exchange</t>
        </is>
      </c>
      <c r="N32" s="6" t="inlineStr">
        <is>
          <t>開く</t>
        </is>
      </c>
    </row>
    <row r="33">
      <c r="A33" s="2">
        <f>RANK(J33,$J$2:$J$697)</f>
        <v/>
      </c>
      <c r="B33" s="3" t="inlineStr">
        <is>
          <t>ブロック・属性</t>
        </is>
      </c>
      <c r="C33" s="3" t="inlineStr">
        <is>
          <t>nmove</t>
        </is>
      </c>
      <c r="D33" s="4" t="inlineStr">
        <is>
          <t>Nested Move</t>
        </is>
      </c>
      <c r="E33" s="4" t="inlineStr">
        <is>
          <t>ブロック内図形を移動</t>
        </is>
      </c>
      <c r="F33" s="2" t="n">
        <v>18</v>
      </c>
      <c r="G33" s="2" t="n">
        <v>17</v>
      </c>
      <c r="H33" s="2" t="n">
        <v>12</v>
      </c>
      <c r="I33" s="2" t="n">
        <v>14</v>
      </c>
      <c r="J33" s="5">
        <f>SUM(F33:I33)</f>
        <v/>
      </c>
      <c r="K33" s="4" t="inlineStr">
        <is>
          <t>ブロック編集せず内部移動</t>
        </is>
      </c>
      <c r="L33" s="3" t="inlineStr">
        <is>
          <t>Lee Mac</t>
        </is>
      </c>
      <c r="M33" s="3" t="inlineStr">
        <is>
          <t>Lee Mac Programming</t>
        </is>
      </c>
      <c r="N33" s="6" t="inlineStr">
        <is>
          <t>開く</t>
        </is>
      </c>
    </row>
    <row r="34">
      <c r="A34" s="2">
        <f>RANK(J34,$J$2:$J$697)</f>
        <v/>
      </c>
      <c r="B34" s="3" t="inlineStr">
        <is>
          <t>その他</t>
        </is>
      </c>
      <c r="C34" s="3" t="inlineStr">
        <is>
          <t>LockObjects / UnlockObjects / DisableLock</t>
        </is>
      </c>
      <c r="D34" s="4" t="inlineStr">
        <is>
          <t>Object Lock</t>
        </is>
      </c>
      <c r="E34" s="4" t="inlineStr">
        <is>
          <t>図形を編集不可にロック</t>
        </is>
      </c>
      <c r="F34" s="2" t="n">
        <v>20</v>
      </c>
      <c r="G34" s="2" t="n">
        <v>19</v>
      </c>
      <c r="H34" s="2" t="n">
        <v>9</v>
      </c>
      <c r="I34" s="2" t="n">
        <v>13</v>
      </c>
      <c r="J34" s="5">
        <f>SUM(F34:I34)</f>
        <v/>
      </c>
      <c r="K34" s="4" t="inlineStr">
        <is>
          <t>リアクタで編集禁止</t>
        </is>
      </c>
      <c r="L34" s="3" t="inlineStr">
        <is>
          <t>Lee Mac</t>
        </is>
      </c>
      <c r="M34" s="3" t="inlineStr">
        <is>
          <t>Lee Mac Programming</t>
        </is>
      </c>
      <c r="N34" s="6" t="inlineStr">
        <is>
          <t>開く</t>
        </is>
      </c>
    </row>
    <row r="35">
      <c r="A35" s="2">
        <f>RANK(J35,$J$2:$J$697)</f>
        <v/>
      </c>
      <c r="B35" s="3" t="inlineStr">
        <is>
          <t>外部参照・図面管理・一括処理</t>
        </is>
      </c>
      <c r="C35" s="3" t="inlineStr">
        <is>
          <t>WScript</t>
        </is>
      </c>
      <c r="D35" s="4" t="inlineStr">
        <is>
          <t>Script Writer</t>
        </is>
      </c>
      <c r="E35" s="4" t="inlineStr">
        <is>
          <t>複数図面用スクリプト作成</t>
        </is>
      </c>
      <c r="F35" s="2" t="n">
        <v>15</v>
      </c>
      <c r="G35" s="2" t="n">
        <v>11</v>
      </c>
      <c r="H35" s="2" t="n">
        <v>18</v>
      </c>
      <c r="I35" s="2" t="n">
        <v>17</v>
      </c>
      <c r="J35" s="5">
        <f>SUM(F35:I35)</f>
        <v/>
      </c>
      <c r="K35" s="4" t="inlineStr">
        <is>
          <t>複数図面スクリプトを簡単作成</t>
        </is>
      </c>
      <c r="L35" s="3" t="inlineStr">
        <is>
          <t>Lee Mac</t>
        </is>
      </c>
      <c r="M35" s="3" t="inlineStr">
        <is>
          <t>Lee Mac Programming</t>
        </is>
      </c>
      <c r="N35" s="6" t="inlineStr">
        <is>
          <t>開く</t>
        </is>
      </c>
    </row>
    <row r="36">
      <c r="A36" s="2">
        <f>RANK(J36,$J$2:$J$697)</f>
        <v/>
      </c>
      <c r="B36" s="3" t="inlineStr">
        <is>
          <t>ブロック・属性</t>
        </is>
      </c>
      <c r="C36" s="3" t="inlineStr">
        <is>
          <t>A2A</t>
        </is>
      </c>
      <c r="D36" s="4" t="inlineStr">
        <is>
          <t>Area Field to Attribute</t>
        </is>
      </c>
      <c r="E36" s="4" t="inlineStr">
        <is>
          <t>面積フィールドを属性に挿入</t>
        </is>
      </c>
      <c r="F36" s="2" t="n">
        <v>15</v>
      </c>
      <c r="G36" s="2" t="n">
        <v>15</v>
      </c>
      <c r="H36" s="2" t="n">
        <v>17</v>
      </c>
      <c r="I36" s="2" t="n">
        <v>13</v>
      </c>
      <c r="J36" s="5">
        <f>SUM(F36:I36)</f>
        <v/>
      </c>
      <c r="K36" s="4" t="inlineStr">
        <is>
          <t>面積フィールド自動連携</t>
        </is>
      </c>
      <c r="L36" s="3" t="inlineStr">
        <is>
          <t>Lee Mac</t>
        </is>
      </c>
      <c r="M36" s="3" t="inlineStr">
        <is>
          <t>Lee Mac Programming</t>
        </is>
      </c>
      <c r="N36" s="6" t="inlineStr">
        <is>
          <t>開く</t>
        </is>
      </c>
    </row>
    <row r="37">
      <c r="A37" s="2">
        <f>RANK(J37,$J$2:$J$697)</f>
        <v/>
      </c>
      <c r="B37" s="3" t="inlineStr">
        <is>
          <t>ハッチ・面積・長さ集計</t>
        </is>
      </c>
      <c r="C37" s="3" t="inlineStr">
        <is>
          <t>bomlengths</t>
        </is>
      </c>
      <c r="D37" s="4" t="inlineStr">
        <is>
          <t>BOMLengths.lsp</t>
        </is>
      </c>
      <c r="E37" s="4" t="inlineStr">
        <is>
          <t>複数図形の長さを集計</t>
        </is>
      </c>
      <c r="F37" s="2" t="n">
        <v>17</v>
      </c>
      <c r="G37" s="2" t="n">
        <v>11</v>
      </c>
      <c r="H37" s="2" t="n">
        <v>17</v>
      </c>
      <c r="I37" s="2" t="n">
        <v>15</v>
      </c>
      <c r="J37" s="5">
        <f>SUM(F37:I37)</f>
        <v/>
      </c>
      <c r="K37" s="4" t="inlineStr">
        <is>
          <t>部材長の集計表作成</t>
        </is>
      </c>
      <c r="L37" s="3" t="inlineStr">
        <is>
          <t>JTB World (Jimmy Bergmark)</t>
        </is>
      </c>
      <c r="M37" s="3" t="inlineStr">
        <is>
          <t>JTB World</t>
        </is>
      </c>
      <c r="N37" s="6" t="inlineStr">
        <is>
          <t>開く</t>
        </is>
      </c>
    </row>
    <row r="38">
      <c r="A38" s="2">
        <f>RANK(J38,$J$2:$J$697)</f>
        <v/>
      </c>
      <c r="B38" s="3" t="inlineStr">
        <is>
          <t>印刷・レイアウト・図枠</t>
        </is>
      </c>
      <c r="C38" s="3" t="inlineStr">
        <is>
          <t>TabSort</t>
        </is>
      </c>
      <c r="D38" s="4" t="inlineStr">
        <is>
          <t>TabSort</t>
        </is>
      </c>
      <c r="E38" s="4" t="inlineStr">
        <is>
          <t>レイアウトタブを並べ替え</t>
        </is>
      </c>
      <c r="F38" s="2" t="n">
        <v>17</v>
      </c>
      <c r="G38" s="2" t="n">
        <v>13</v>
      </c>
      <c r="H38" s="2" t="n">
        <v>13</v>
      </c>
      <c r="I38" s="2" t="n">
        <v>17</v>
      </c>
      <c r="J38" s="5">
        <f>SUM(F38:I38)</f>
        <v/>
      </c>
      <c r="K38" s="4" t="inlineStr">
        <is>
          <t>タブ並べ替えを一覧操作</t>
        </is>
      </c>
      <c r="L38" s="3" t="inlineStr">
        <is>
          <t>Lee Mac</t>
        </is>
      </c>
      <c r="M38" s="3" t="inlineStr">
        <is>
          <t>Lee Mac Programming</t>
        </is>
      </c>
      <c r="N38" s="6" t="inlineStr">
        <is>
          <t>開く</t>
        </is>
      </c>
    </row>
    <row r="39">
      <c r="A39" s="2">
        <f>RANK(J39,$J$2:$J$697)</f>
        <v/>
      </c>
      <c r="B39" s="3" t="inlineStr">
        <is>
          <t>ブロック・属性</t>
        </is>
      </c>
      <c r="C39" s="3" t="inlineStr">
        <is>
          <t>BFZ</t>
        </is>
      </c>
      <c r="D39" s="4" t="inlineStr">
        <is>
          <t>BlockFixZero.lsp</t>
        </is>
      </c>
      <c r="E39" s="4" t="inlineStr">
        <is>
          <t>ブロック内図形を0画層へ</t>
        </is>
      </c>
      <c r="F39" s="2" t="n">
        <v>15</v>
      </c>
      <c r="G39" s="2" t="n">
        <v>10</v>
      </c>
      <c r="H39" s="2" t="n">
        <v>15</v>
      </c>
      <c r="I39" s="2" t="n">
        <v>19</v>
      </c>
      <c r="J39" s="5">
        <f>SUM(F39:I39)</f>
        <v/>
      </c>
      <c r="K39" s="4" t="inlineStr">
        <is>
          <t>BEDIT不要で0画層化</t>
        </is>
      </c>
      <c r="L39" s="3" t="inlineStr">
        <is>
          <t>CADAuthority</t>
        </is>
      </c>
      <c r="M39" s="3" t="inlineStr">
        <is>
          <t>CAD Authority</t>
        </is>
      </c>
      <c r="N39" s="6" t="inlineStr">
        <is>
          <t>開く</t>
        </is>
      </c>
    </row>
    <row r="40">
      <c r="A40" s="2">
        <f>RANK(J40,$J$2:$J$697)</f>
        <v/>
      </c>
      <c r="B40" s="3" t="inlineStr">
        <is>
          <t>寸法</t>
        </is>
      </c>
      <c r="C40" s="3" t="inlineStr">
        <is>
          <t>DPL</t>
        </is>
      </c>
      <c r="D40" s="4" t="inlineStr">
        <is>
          <t>DPL</t>
        </is>
      </c>
      <c r="E40" s="4" t="inlineStr">
        <is>
          <t>ポリラインを1クリックで寸法記入</t>
        </is>
      </c>
      <c r="F40" s="2" t="n">
        <v>16</v>
      </c>
      <c r="G40" s="2" t="n">
        <v>12</v>
      </c>
      <c r="H40" s="2" t="n">
        <v>15</v>
      </c>
      <c r="I40" s="2" t="n">
        <v>16</v>
      </c>
      <c r="J40" s="5">
        <f>SUM(F40:I40)</f>
        <v/>
      </c>
      <c r="K40" s="4" t="inlineStr">
        <is>
          <t>ポリライン1クリック寸法</t>
        </is>
      </c>
      <c r="L40" s="3" t="inlineStr">
        <is>
          <t>Terry Miller</t>
        </is>
      </c>
      <c r="M40" s="3" t="inlineStr">
        <is>
          <t>AutoLISP Exchange</t>
        </is>
      </c>
      <c r="N40" s="6" t="inlineStr">
        <is>
          <t>開く</t>
        </is>
      </c>
    </row>
    <row r="41">
      <c r="A41" s="2">
        <f>RANK(J41,$J$2:$J$697)</f>
        <v/>
      </c>
      <c r="B41" s="3" t="inlineStr">
        <is>
          <t>ブロック・属性</t>
        </is>
      </c>
      <c r="C41" s="3" t="inlineStr">
        <is>
          <t>JBP</t>
        </is>
      </c>
      <c r="D41" s="4" t="inlineStr">
        <is>
          <t>Justify Block Base Point</t>
        </is>
      </c>
      <c r="E41" s="4" t="inlineStr">
        <is>
          <t>ブロック基点を位置合わせ</t>
        </is>
      </c>
      <c r="F41" s="2" t="n">
        <v>17</v>
      </c>
      <c r="G41" s="2" t="n">
        <v>15</v>
      </c>
      <c r="H41" s="2" t="n">
        <v>12</v>
      </c>
      <c r="I41" s="2" t="n">
        <v>15</v>
      </c>
      <c r="J41" s="5">
        <f>SUM(F41:I41)</f>
        <v/>
      </c>
      <c r="K41" s="4" t="inlineStr">
        <is>
          <t>基点を外形基準に整列</t>
        </is>
      </c>
      <c r="L41" s="3" t="inlineStr">
        <is>
          <t>Lee Mac</t>
        </is>
      </c>
      <c r="M41" s="3" t="inlineStr">
        <is>
          <t>Lee Mac Programming</t>
        </is>
      </c>
      <c r="N41" s="6" t="inlineStr">
        <is>
          <t>開く</t>
        </is>
      </c>
    </row>
    <row r="42">
      <c r="A42" s="2">
        <f>RANK(J42,$J$2:$J$697)</f>
        <v/>
      </c>
      <c r="B42" s="3" t="inlineStr">
        <is>
          <t>設備</t>
        </is>
      </c>
      <c r="C42" s="3" t="inlineStr">
        <is>
          <t>-</t>
        </is>
      </c>
      <c r="D42" s="4" t="inlineStr">
        <is>
          <t>LITIO</t>
        </is>
      </c>
      <c r="E42" s="4" t="inlineStr">
        <is>
          <t>ダクト・板金の展開図作成</t>
        </is>
      </c>
      <c r="F42" s="2" t="n">
        <v>20</v>
      </c>
      <c r="G42" s="2" t="n">
        <v>16</v>
      </c>
      <c r="H42" s="2" t="n">
        <v>15</v>
      </c>
      <c r="I42" s="2" t="n">
        <v>8</v>
      </c>
      <c r="J42" s="5">
        <f>SUM(F42:I42)</f>
        <v/>
      </c>
      <c r="K42" s="4" t="inlineStr">
        <is>
          <t>板金展開は標準に無い</t>
        </is>
      </c>
      <c r="L42" s="3" t="inlineStr">
        <is>
          <t>Juan Lavric</t>
        </is>
      </c>
      <c r="M42" s="3" t="inlineStr">
        <is>
          <t>AutoLISP Exchange</t>
        </is>
      </c>
      <c r="N42" s="6" t="inlineStr">
        <is>
          <t>開く</t>
        </is>
      </c>
    </row>
    <row r="43">
      <c r="A43" s="2">
        <f>RANK(J43,$J$2:$J$697)</f>
        <v/>
      </c>
      <c r="B43" s="3" t="inlineStr">
        <is>
          <t>線・ポリライン編集</t>
        </is>
      </c>
      <c r="C43" s="3" t="inlineStr">
        <is>
          <t>outline</t>
        </is>
      </c>
      <c r="D43" s="4" t="inlineStr">
        <is>
          <t>Outline Objects</t>
        </is>
      </c>
      <c r="E43" s="4" t="inlineStr">
        <is>
          <t>選択図形の外形線を作成</t>
        </is>
      </c>
      <c r="F43" s="2" t="n">
        <v>17</v>
      </c>
      <c r="G43" s="2" t="n">
        <v>15</v>
      </c>
      <c r="H43" s="2" t="n">
        <v>13</v>
      </c>
      <c r="I43" s="2" t="n">
        <v>14</v>
      </c>
      <c r="J43" s="5">
        <f>SUM(F43:I43)</f>
        <v/>
      </c>
      <c r="K43" s="4" t="inlineStr">
        <is>
          <t>外形線の自動作成</t>
        </is>
      </c>
      <c r="L43" s="3" t="inlineStr">
        <is>
          <t>Lee Mac</t>
        </is>
      </c>
      <c r="M43" s="3" t="inlineStr">
        <is>
          <t>Lee Mac Programming</t>
        </is>
      </c>
      <c r="N43" s="6" t="inlineStr">
        <is>
          <t>開く</t>
        </is>
      </c>
    </row>
    <row r="44">
      <c r="A44" s="2">
        <f>RANK(J44,$J$2:$J$697)</f>
        <v/>
      </c>
      <c r="B44" s="3" t="inlineStr">
        <is>
          <t>印刷・レイアウト・図枠</t>
        </is>
      </c>
      <c r="C44" s="3" t="inlineStr">
        <is>
          <t>RL</t>
        </is>
      </c>
      <c r="D44" s="4" t="inlineStr">
        <is>
          <t>Renumber Layouts</t>
        </is>
      </c>
      <c r="E44" s="4" t="inlineStr">
        <is>
          <t>レイアウト名を連番に変更</t>
        </is>
      </c>
      <c r="F44" s="2" t="n">
        <v>16</v>
      </c>
      <c r="G44" s="2" t="n">
        <v>11</v>
      </c>
      <c r="H44" s="2" t="n">
        <v>15</v>
      </c>
      <c r="I44" s="2" t="n">
        <v>17</v>
      </c>
      <c r="J44" s="5">
        <f>SUM(F44:I44)</f>
        <v/>
      </c>
      <c r="K44" s="4" t="inlineStr">
        <is>
          <t>レイアウト名を連番化</t>
        </is>
      </c>
      <c r="L44" s="3" t="inlineStr">
        <is>
          <t>Lee Mac</t>
        </is>
      </c>
      <c r="M44" s="3" t="inlineStr">
        <is>
          <t>Lee Mac Programming</t>
        </is>
      </c>
      <c r="N44" s="6" t="inlineStr">
        <is>
          <t>開く</t>
        </is>
      </c>
    </row>
    <row r="45">
      <c r="A45" s="2">
        <f>RANK(J45,$J$2:$J$697)</f>
        <v/>
      </c>
      <c r="B45" s="3" t="inlineStr">
        <is>
          <t>座標・測量・土木</t>
        </is>
      </c>
      <c r="C45" s="3" t="inlineStr">
        <is>
          <t>-</t>
        </is>
      </c>
      <c r="D45" s="4" t="inlineStr">
        <is>
          <t>Rolling_ball</t>
        </is>
      </c>
      <c r="E45" s="4" t="inlineStr">
        <is>
          <t>2本のポリラインの中心線を求める</t>
        </is>
      </c>
      <c r="F45" s="2" t="n">
        <v>19</v>
      </c>
      <c r="G45" s="2" t="n">
        <v>19</v>
      </c>
      <c r="H45" s="2" t="n">
        <v>11</v>
      </c>
      <c r="I45" s="2" t="n">
        <v>10</v>
      </c>
      <c r="J45" s="5">
        <f>SUM(F45:I45)</f>
        <v/>
      </c>
      <c r="K45" s="4" t="inlineStr">
        <is>
          <t>2線の中心線を求める</t>
        </is>
      </c>
      <c r="L45" s="3" t="inlineStr">
        <is>
          <t>Jeffery P. Sanders</t>
        </is>
      </c>
      <c r="M45" s="3" t="inlineStr">
        <is>
          <t>JefferyPSanders.com</t>
        </is>
      </c>
      <c r="N45" s="6" t="inlineStr">
        <is>
          <t>開く</t>
        </is>
      </c>
    </row>
    <row r="46">
      <c r="A46" s="2">
        <f>RANK(J46,$J$2:$J$697)</f>
        <v/>
      </c>
      <c r="B46" s="3" t="inlineStr">
        <is>
          <t>文字・テキスト</t>
        </is>
      </c>
      <c r="C46" s="3" t="inlineStr">
        <is>
          <t>TOTALTX</t>
        </is>
      </c>
      <c r="D46" s="4" t="inlineStr">
        <is>
          <t>TotalTx</t>
        </is>
      </c>
      <c r="E46" s="4" t="inlineStr">
        <is>
          <t>数値文字を合計</t>
        </is>
      </c>
      <c r="F46" s="2" t="n">
        <v>17</v>
      </c>
      <c r="G46" s="2" t="n">
        <v>11</v>
      </c>
      <c r="H46" s="2" t="n">
        <v>15</v>
      </c>
      <c r="I46" s="2" t="n">
        <v>16</v>
      </c>
      <c r="J46" s="5">
        <f>SUM(F46:I46)</f>
        <v/>
      </c>
      <c r="K46" s="4" t="inlineStr">
        <is>
          <t>数値文字合計は標準にない</t>
        </is>
      </c>
      <c r="L46" s="3" t="inlineStr">
        <is>
          <t>Jeffery P. Sanders</t>
        </is>
      </c>
      <c r="M46" s="3" t="inlineStr">
        <is>
          <t>JefferyPSanders.com</t>
        </is>
      </c>
      <c r="N46" s="6" t="inlineStr">
        <is>
          <t>開く</t>
        </is>
      </c>
    </row>
    <row r="47">
      <c r="A47" s="2">
        <f>RANK(J47,$J$2:$J$697)</f>
        <v/>
      </c>
      <c r="B47" s="3" t="inlineStr">
        <is>
          <t>ハッチ・面積・長さ集計</t>
        </is>
      </c>
      <c r="C47" s="3" t="inlineStr">
        <is>
          <t>-</t>
        </is>
      </c>
      <c r="D47" s="4" t="inlineStr">
        <is>
          <t>Zone Area or Length (zone.lsp)</t>
        </is>
      </c>
      <c r="E47" s="4" t="inlineStr">
        <is>
          <t>画層上ポリラインの面積・長さ合計</t>
        </is>
      </c>
      <c r="F47" s="2" t="n">
        <v>17</v>
      </c>
      <c r="G47" s="2" t="n">
        <v>11</v>
      </c>
      <c r="H47" s="2" t="n">
        <v>16</v>
      </c>
      <c r="I47" s="2" t="n">
        <v>15</v>
      </c>
      <c r="J47" s="5">
        <f>SUM(F47:I47)</f>
        <v/>
      </c>
      <c r="K47" s="4" t="inlineStr">
        <is>
          <t>画層別の面積長さ合計</t>
        </is>
      </c>
      <c r="L47" s="3" t="inlineStr"/>
      <c r="M47" s="3" t="inlineStr">
        <is>
          <t>draftsperson.net</t>
        </is>
      </c>
      <c r="N47" s="6" t="inlineStr">
        <is>
          <t>開く</t>
        </is>
      </c>
    </row>
    <row r="48">
      <c r="A48" s="2">
        <f>RANK(J48,$J$2:$J$697)</f>
        <v/>
      </c>
      <c r="B48" s="3" t="inlineStr">
        <is>
          <t>寸法</t>
        </is>
      </c>
      <c r="C48" s="3" t="inlineStr">
        <is>
          <t>dimoverlap</t>
        </is>
      </c>
      <c r="D48" s="4" t="inlineStr">
        <is>
          <t>Dimension Overlap</t>
        </is>
      </c>
      <c r="E48" s="4" t="inlineStr">
        <is>
          <t>重なった寸法を検出</t>
        </is>
      </c>
      <c r="F48" s="2" t="n">
        <v>18</v>
      </c>
      <c r="G48" s="2" t="n">
        <v>14</v>
      </c>
      <c r="H48" s="2" t="n">
        <v>10</v>
      </c>
      <c r="I48" s="2" t="n">
        <v>16</v>
      </c>
      <c r="J48" s="5">
        <f>SUM(F48:I48)</f>
        <v/>
      </c>
      <c r="K48" s="4" t="inlineStr">
        <is>
          <t>重なり寸法検出は標準にない</t>
        </is>
      </c>
      <c r="L48" s="3" t="inlineStr">
        <is>
          <t>Lee Mac</t>
        </is>
      </c>
      <c r="M48" s="3" t="inlineStr">
        <is>
          <t>Lee Mac Programming</t>
        </is>
      </c>
      <c r="N48" s="6" t="inlineStr">
        <is>
          <t>開く</t>
        </is>
      </c>
    </row>
    <row r="49">
      <c r="A49" s="2">
        <f>RANK(J49,$J$2:$J$697)</f>
        <v/>
      </c>
      <c r="B49" s="3" t="inlineStr">
        <is>
          <t>表示・UCS・ビュー</t>
        </is>
      </c>
      <c r="C49" s="3" t="inlineStr">
        <is>
          <t>DOCOLOR</t>
        </is>
      </c>
      <c r="D49" s="4" t="inlineStr">
        <is>
          <t>DrawOrderByColor.lsp</t>
        </is>
      </c>
      <c r="E49" s="4" t="inlineStr">
        <is>
          <t>色ごとに表示順を設定</t>
        </is>
      </c>
      <c r="F49" s="2" t="n">
        <v>16</v>
      </c>
      <c r="G49" s="2" t="n">
        <v>14</v>
      </c>
      <c r="H49" s="2" t="n">
        <v>13</v>
      </c>
      <c r="I49" s="2" t="n">
        <v>15</v>
      </c>
      <c r="J49" s="5">
        <f>SUM(F49:I49)</f>
        <v/>
      </c>
      <c r="K49" s="4" t="inlineStr">
        <is>
          <t>色ごとに表示順設定</t>
        </is>
      </c>
      <c r="L49" s="3" t="inlineStr">
        <is>
          <t>CADAuthority</t>
        </is>
      </c>
      <c r="M49" s="3" t="inlineStr">
        <is>
          <t>CAD Authority</t>
        </is>
      </c>
      <c r="N49" s="6" t="inlineStr">
        <is>
          <t>開く</t>
        </is>
      </c>
    </row>
    <row r="50">
      <c r="A50" s="2">
        <f>RANK(J50,$J$2:$J$697)</f>
        <v/>
      </c>
      <c r="B50" s="3" t="inlineStr">
        <is>
          <t>線・ポリライン編集</t>
        </is>
      </c>
      <c r="C50" s="3" t="inlineStr">
        <is>
          <t>brk / brko</t>
        </is>
      </c>
      <c r="D50" s="4" t="inlineStr">
        <is>
          <t>Object Break</t>
        </is>
      </c>
      <c r="E50" s="4" t="inlineStr">
        <is>
          <t>交差部で図形を切断</t>
        </is>
      </c>
      <c r="F50" s="2" t="n">
        <v>16</v>
      </c>
      <c r="G50" s="2" t="n">
        <v>13</v>
      </c>
      <c r="H50" s="2" t="n">
        <v>14</v>
      </c>
      <c r="I50" s="2" t="n">
        <v>15</v>
      </c>
      <c r="J50" s="5">
        <f>SUM(F50:I50)</f>
        <v/>
      </c>
      <c r="K50" s="4" t="inlineStr">
        <is>
          <t>交差部の一括切断</t>
        </is>
      </c>
      <c r="L50" s="3" t="inlineStr">
        <is>
          <t>Lee Mac</t>
        </is>
      </c>
      <c r="M50" s="3" t="inlineStr">
        <is>
          <t>Lee Mac Programming</t>
        </is>
      </c>
      <c r="N50" s="6" t="inlineStr">
        <is>
          <t>開く</t>
        </is>
      </c>
    </row>
    <row r="51">
      <c r="A51" s="2">
        <f>RANK(J51,$J$2:$J$697)</f>
        <v/>
      </c>
      <c r="B51" s="3" t="inlineStr">
        <is>
          <t>文字・テキスト</t>
        </is>
      </c>
      <c r="C51" s="3" t="inlineStr">
        <is>
          <t>mteditreactoron / mteditreactoroff</t>
        </is>
      </c>
      <c r="D51" s="4" t="inlineStr">
        <is>
          <t>Select all MText or MLeader Content on Double-Click</t>
        </is>
      </c>
      <c r="E51" s="4" t="inlineStr">
        <is>
          <t>ダブルクリックで全文字選択</t>
        </is>
      </c>
      <c r="F51" s="2" t="n">
        <v>16</v>
      </c>
      <c r="G51" s="2" t="n">
        <v>18</v>
      </c>
      <c r="H51" s="2" t="n">
        <v>8</v>
      </c>
      <c r="I51" s="2" t="n">
        <v>16</v>
      </c>
      <c r="J51" s="5">
        <f>SUM(F51:I51)</f>
        <v/>
      </c>
      <c r="K51" s="4" t="inlineStr">
        <is>
          <t>リアクタで全選択、操作改善</t>
        </is>
      </c>
      <c r="L51" s="3" t="inlineStr">
        <is>
          <t>Lee Mac</t>
        </is>
      </c>
      <c r="M51" s="3" t="inlineStr">
        <is>
          <t>Lee Mac Programming</t>
        </is>
      </c>
      <c r="N51" s="6" t="inlineStr">
        <is>
          <t>開く</t>
        </is>
      </c>
    </row>
    <row r="52">
      <c r="A52" s="2">
        <f>RANK(J52,$J$2:$J$697)</f>
        <v/>
      </c>
      <c r="B52" s="3" t="inlineStr">
        <is>
          <t>ハッチ・面積・長さ集計</t>
        </is>
      </c>
      <c r="C52" s="3" t="inlineStr">
        <is>
          <t>sht</t>
        </is>
      </c>
      <c r="D52" s="4" t="inlineStr">
        <is>
          <t>Show Hatch Text</t>
        </is>
      </c>
      <c r="E52" s="4" t="inlineStr">
        <is>
          <t>文字上のハッチを除去表示</t>
        </is>
      </c>
      <c r="F52" s="2" t="n">
        <v>17</v>
      </c>
      <c r="G52" s="2" t="n">
        <v>15</v>
      </c>
      <c r="H52" s="2" t="n">
        <v>12</v>
      </c>
      <c r="I52" s="2" t="n">
        <v>14</v>
      </c>
      <c r="J52" s="5">
        <f>SUM(F52:I52)</f>
        <v/>
      </c>
      <c r="K52" s="4" t="inlineStr">
        <is>
          <t>文字周りハッチ抜きを自動化</t>
        </is>
      </c>
      <c r="L52" s="3" t="inlineStr">
        <is>
          <t>Lee Mac</t>
        </is>
      </c>
      <c r="M52" s="3" t="inlineStr">
        <is>
          <t>Lee Mac Programming</t>
        </is>
      </c>
      <c r="N52" s="6" t="inlineStr">
        <is>
          <t>開く</t>
        </is>
      </c>
    </row>
    <row r="53">
      <c r="A53" s="2">
        <f>RANK(J53,$J$2:$J$697)</f>
        <v/>
      </c>
      <c r="B53" s="3" t="inlineStr">
        <is>
          <t>ブロック・属性</t>
        </is>
      </c>
      <c r="C53" s="3" t="inlineStr">
        <is>
          <t>attsum</t>
        </is>
      </c>
      <c r="D53" s="4" t="inlineStr">
        <is>
          <t>Sum Attribute Values</t>
        </is>
      </c>
      <c r="E53" s="4" t="inlineStr">
        <is>
          <t>属性数値を合計</t>
        </is>
      </c>
      <c r="F53" s="2" t="n">
        <v>18</v>
      </c>
      <c r="G53" s="2" t="n">
        <v>13</v>
      </c>
      <c r="H53" s="2" t="n">
        <v>15</v>
      </c>
      <c r="I53" s="2" t="n">
        <v>12</v>
      </c>
      <c r="J53" s="5">
        <f>SUM(F53:I53)</f>
        <v/>
      </c>
      <c r="K53" s="4" t="inlineStr">
        <is>
          <t>属性数値の合計は標準不可</t>
        </is>
      </c>
      <c r="L53" s="3" t="inlineStr">
        <is>
          <t>Lee Mac</t>
        </is>
      </c>
      <c r="M53" s="3" t="inlineStr">
        <is>
          <t>Lee Mac Programming</t>
        </is>
      </c>
      <c r="N53" s="6" t="inlineStr">
        <is>
          <t>開く</t>
        </is>
      </c>
    </row>
    <row r="54">
      <c r="A54" s="2">
        <f>RANK(J54,$J$2:$J$697)</f>
        <v/>
      </c>
      <c r="B54" s="3" t="inlineStr">
        <is>
          <t>座標・測量・土木</t>
        </is>
      </c>
      <c r="C54" s="3" t="inlineStr">
        <is>
          <t>TPOPVOL</t>
        </is>
      </c>
      <c r="D54" s="4" t="inlineStr">
        <is>
          <t>TOPOPROCESS.LSP</t>
        </is>
      </c>
      <c r="E54" s="4" t="inlineStr">
        <is>
          <t>三角網の体積を計算</t>
        </is>
      </c>
      <c r="F54" s="2" t="n">
        <v>21</v>
      </c>
      <c r="G54" s="2" t="n">
        <v>14</v>
      </c>
      <c r="H54" s="2" t="n">
        <v>15</v>
      </c>
      <c r="I54" s="2" t="n">
        <v>8</v>
      </c>
      <c r="J54" s="5">
        <f>SUM(F54:I54)</f>
        <v/>
      </c>
      <c r="K54" s="4" t="inlineStr">
        <is>
          <t>三角網体積計算</t>
        </is>
      </c>
      <c r="L54" s="3" t="inlineStr">
        <is>
          <t>Giles Darling</t>
        </is>
      </c>
      <c r="M54" s="3" t="inlineStr">
        <is>
          <t>gilesdarling.me.uk</t>
        </is>
      </c>
      <c r="N54" s="6" t="inlineStr">
        <is>
          <t>開く</t>
        </is>
      </c>
    </row>
    <row r="55">
      <c r="A55" s="2">
        <f>RANK(J55,$J$2:$J$697)</f>
        <v/>
      </c>
      <c r="B55" s="3" t="inlineStr">
        <is>
          <t>ハッチ・面積・長さ集計</t>
        </is>
      </c>
      <c r="C55" s="3" t="inlineStr">
        <is>
          <t>tlen</t>
        </is>
      </c>
      <c r="D55" s="4" t="inlineStr">
        <is>
          <t>Total Length &amp; Area Programs</t>
        </is>
      </c>
      <c r="E55" s="4" t="inlineStr">
        <is>
          <t>選択図形の合計長さ・面積</t>
        </is>
      </c>
      <c r="F55" s="2" t="n">
        <v>15</v>
      </c>
      <c r="G55" s="2" t="n">
        <v>9</v>
      </c>
      <c r="H55" s="2" t="n">
        <v>16</v>
      </c>
      <c r="I55" s="2" t="n">
        <v>18</v>
      </c>
      <c r="J55" s="5">
        <f>SUM(F55:I55)</f>
        <v/>
      </c>
      <c r="K55" s="4" t="inlineStr">
        <is>
          <t>合計長さ・面積を即表示</t>
        </is>
      </c>
      <c r="L55" s="3" t="inlineStr">
        <is>
          <t>Lee Mac</t>
        </is>
      </c>
      <c r="M55" s="3" t="inlineStr">
        <is>
          <t>Lee Mac Programming</t>
        </is>
      </c>
      <c r="N55" s="6" t="inlineStr">
        <is>
          <t>開く</t>
        </is>
      </c>
    </row>
    <row r="56">
      <c r="A56" s="2">
        <f>RANK(J56,$J$2:$J$697)</f>
        <v/>
      </c>
      <c r="B56" s="3" t="inlineStr">
        <is>
          <t>ブロック・属性</t>
        </is>
      </c>
      <c r="C56" s="3" t="inlineStr">
        <is>
          <t>-</t>
        </is>
      </c>
      <c r="D56" s="4" t="inlineStr">
        <is>
          <t>Auto Rename Blocks (arenam.zip)</t>
        </is>
      </c>
      <c r="E56" s="4" t="inlineStr">
        <is>
          <t>ブロック名を対応表で一括変更</t>
        </is>
      </c>
      <c r="F56" s="2" t="n">
        <v>17</v>
      </c>
      <c r="G56" s="2" t="n">
        <v>13</v>
      </c>
      <c r="H56" s="2" t="n">
        <v>15</v>
      </c>
      <c r="I56" s="2" t="n">
        <v>12</v>
      </c>
      <c r="J56" s="5">
        <f>SUM(F56:I56)</f>
        <v/>
      </c>
      <c r="K56" s="4" t="inlineStr">
        <is>
          <t>対応表で一括リネーム</t>
        </is>
      </c>
      <c r="L56" s="3" t="inlineStr"/>
      <c r="M56" s="3" t="inlineStr">
        <is>
          <t>draftsperson.net</t>
        </is>
      </c>
      <c r="N56" s="6" t="inlineStr">
        <is>
          <t>開く</t>
        </is>
      </c>
    </row>
    <row r="57">
      <c r="A57" s="2">
        <f>RANK(J57,$J$2:$J$697)</f>
        <v/>
      </c>
      <c r="B57" s="3" t="inlineStr">
        <is>
          <t>選択・絞り込み</t>
        </is>
      </c>
      <c r="C57" s="3" t="inlineStr">
        <is>
          <t>cs</t>
        </is>
      </c>
      <c r="D57" s="4" t="inlineStr">
        <is>
          <t>Chain Selection</t>
        </is>
      </c>
      <c r="E57" s="4" t="inlineStr">
        <is>
          <t>連結した図形をまとめて選択</t>
        </is>
      </c>
      <c r="F57" s="2" t="n">
        <v>15</v>
      </c>
      <c r="G57" s="2" t="n">
        <v>12</v>
      </c>
      <c r="H57" s="2" t="n">
        <v>12</v>
      </c>
      <c r="I57" s="2" t="n">
        <v>18</v>
      </c>
      <c r="J57" s="5">
        <f>SUM(F57:I57)</f>
        <v/>
      </c>
      <c r="K57" s="4" t="inlineStr">
        <is>
          <t>連結図形選択は標準困難</t>
        </is>
      </c>
      <c r="L57" s="3" t="inlineStr">
        <is>
          <t>Lee Mac</t>
        </is>
      </c>
      <c r="M57" s="3" t="inlineStr">
        <is>
          <t>Lee Mac Programming</t>
        </is>
      </c>
      <c r="N57" s="6" t="inlineStr">
        <is>
          <t>開く</t>
        </is>
      </c>
    </row>
    <row r="58">
      <c r="A58" s="2">
        <f>RANK(J58,$J$2:$J$697)</f>
        <v/>
      </c>
      <c r="B58" s="3" t="inlineStr">
        <is>
          <t>ブロック・属性</t>
        </is>
      </c>
      <c r="C58" s="3" t="inlineStr">
        <is>
          <t>CB / RB</t>
        </is>
      </c>
      <c r="D58" s="4" t="inlineStr">
        <is>
          <t>Copy or Rename Block Reference</t>
        </is>
      </c>
      <c r="E58" s="4" t="inlineStr">
        <is>
          <t>ブロックを複製・名前変更</t>
        </is>
      </c>
      <c r="F58" s="2" t="n">
        <v>15</v>
      </c>
      <c r="G58" s="2" t="n">
        <v>13</v>
      </c>
      <c r="H58" s="2" t="n">
        <v>13</v>
      </c>
      <c r="I58" s="2" t="n">
        <v>16</v>
      </c>
      <c r="J58" s="5">
        <f>SUM(F58:I58)</f>
        <v/>
      </c>
      <c r="K58" s="4" t="inlineStr">
        <is>
          <t>参照単位で別名ブロック化</t>
        </is>
      </c>
      <c r="L58" s="3" t="inlineStr">
        <is>
          <t>Lee Mac</t>
        </is>
      </c>
      <c r="M58" s="3" t="inlineStr">
        <is>
          <t>Lee Mac Programming</t>
        </is>
      </c>
      <c r="N58" s="6" t="inlineStr">
        <is>
          <t>開く</t>
        </is>
      </c>
    </row>
    <row r="59">
      <c r="A59" s="2">
        <f>RANK(J59,$J$2:$J$697)</f>
        <v/>
      </c>
      <c r="B59" s="3" t="inlineStr">
        <is>
          <t>印刷・レイアウト・図枠</t>
        </is>
      </c>
      <c r="C59" s="3" t="inlineStr">
        <is>
          <t>DFL / DFAL</t>
        </is>
      </c>
      <c r="D59" s="4" t="inlineStr">
        <is>
          <t>Delete From Layouts</t>
        </is>
      </c>
      <c r="E59" s="4" t="inlineStr">
        <is>
          <t>複数レイアウトから図形削除</t>
        </is>
      </c>
      <c r="F59" s="2" t="n">
        <v>17</v>
      </c>
      <c r="G59" s="2" t="n">
        <v>11</v>
      </c>
      <c r="H59" s="2" t="n">
        <v>13</v>
      </c>
      <c r="I59" s="2" t="n">
        <v>16</v>
      </c>
      <c r="J59" s="5">
        <f>SUM(F59:I59)</f>
        <v/>
      </c>
      <c r="K59" s="4" t="inlineStr">
        <is>
          <t>複数レイアウトから一括削除</t>
        </is>
      </c>
      <c r="L59" s="3" t="inlineStr">
        <is>
          <t>Lee Mac</t>
        </is>
      </c>
      <c r="M59" s="3" t="inlineStr">
        <is>
          <t>Lee Mac Programming</t>
        </is>
      </c>
      <c r="N59" s="6" t="inlineStr">
        <is>
          <t>開く</t>
        </is>
      </c>
    </row>
    <row r="60">
      <c r="A60" s="2">
        <f>RANK(J60,$J$2:$J$697)</f>
        <v/>
      </c>
      <c r="B60" s="3" t="inlineStr">
        <is>
          <t>ハッチ・面積・長さ集計</t>
        </is>
      </c>
      <c r="C60" s="3" t="inlineStr">
        <is>
          <t>IntLen / IntLenM</t>
        </is>
      </c>
      <c r="D60" s="4" t="inlineStr">
        <is>
          <t>Length Between Intersections</t>
        </is>
      </c>
      <c r="E60" s="4" t="inlineStr">
        <is>
          <t>交点間の長さを計測</t>
        </is>
      </c>
      <c r="F60" s="2" t="n">
        <v>18</v>
      </c>
      <c r="G60" s="2" t="n">
        <v>15</v>
      </c>
      <c r="H60" s="2" t="n">
        <v>12</v>
      </c>
      <c r="I60" s="2" t="n">
        <v>12</v>
      </c>
      <c r="J60" s="5">
        <f>SUM(F60:I60)</f>
        <v/>
      </c>
      <c r="K60" s="4" t="inlineStr">
        <is>
          <t>交点間長さ計測はユニーク</t>
        </is>
      </c>
      <c r="L60" s="3" t="inlineStr">
        <is>
          <t>Lee Mac</t>
        </is>
      </c>
      <c r="M60" s="3" t="inlineStr">
        <is>
          <t>Lee Mac Programming</t>
        </is>
      </c>
      <c r="N60" s="6" t="inlineStr">
        <is>
          <t>開く</t>
        </is>
      </c>
    </row>
    <row r="61">
      <c r="A61" s="2">
        <f>RANK(J61,$J$2:$J$697)</f>
        <v/>
      </c>
      <c r="B61" s="3" t="inlineStr">
        <is>
          <t>ブロック・属性</t>
        </is>
      </c>
      <c r="C61" s="3" t="inlineStr">
        <is>
          <t>MatchAttribs</t>
        </is>
      </c>
      <c r="D61" s="4" t="inlineStr">
        <is>
          <t>Match Attributes</t>
        </is>
      </c>
      <c r="E61" s="4" t="inlineStr">
        <is>
          <t>属性値をブロック間でコピー</t>
        </is>
      </c>
      <c r="F61" s="2" t="n">
        <v>16</v>
      </c>
      <c r="G61" s="2" t="n">
        <v>12</v>
      </c>
      <c r="H61" s="2" t="n">
        <v>14</v>
      </c>
      <c r="I61" s="2" t="n">
        <v>15</v>
      </c>
      <c r="J61" s="5">
        <f>SUM(F61:I61)</f>
        <v/>
      </c>
      <c r="K61" s="4" t="inlineStr">
        <is>
          <t>属性値を一括転記</t>
        </is>
      </c>
      <c r="L61" s="3" t="inlineStr">
        <is>
          <t>Lee Mac</t>
        </is>
      </c>
      <c r="M61" s="3" t="inlineStr">
        <is>
          <t>Lee Mac Programming</t>
        </is>
      </c>
      <c r="N61" s="6" t="inlineStr">
        <is>
          <t>開く</t>
        </is>
      </c>
    </row>
    <row r="62">
      <c r="A62" s="2">
        <f>RANK(J62,$J$2:$J$697)</f>
        <v/>
      </c>
      <c r="B62" s="3" t="inlineStr">
        <is>
          <t>作図</t>
        </is>
      </c>
      <c r="C62" s="3" t="inlineStr">
        <is>
          <t>ShrinkWrap</t>
        </is>
      </c>
      <c r="D62" s="4" t="inlineStr">
        <is>
          <t>ShrinkWrap</t>
        </is>
      </c>
      <c r="E62" s="4" t="inlineStr">
        <is>
          <t>図形外周を境界で囲む</t>
        </is>
      </c>
      <c r="F62" s="2" t="n">
        <v>17</v>
      </c>
      <c r="G62" s="2" t="n">
        <v>16</v>
      </c>
      <c r="H62" s="2" t="n">
        <v>12</v>
      </c>
      <c r="I62" s="2" t="n">
        <v>12</v>
      </c>
      <c r="J62" s="5">
        <f>SUM(F62:I62)</f>
        <v/>
      </c>
      <c r="K62" s="4" t="inlineStr">
        <is>
          <t>外周を自動で囲む</t>
        </is>
      </c>
      <c r="L62" s="3" t="inlineStr">
        <is>
          <t>Jeffery P. Sanders</t>
        </is>
      </c>
      <c r="M62" s="3" t="inlineStr">
        <is>
          <t>JefferyPSanders.com</t>
        </is>
      </c>
      <c r="N62" s="6" t="inlineStr">
        <is>
          <t>開く</t>
        </is>
      </c>
    </row>
    <row r="63">
      <c r="A63" s="2">
        <f>RANK(J63,$J$2:$J$697)</f>
        <v/>
      </c>
      <c r="B63" s="3" t="inlineStr">
        <is>
          <t>ハッチ・面積・長さ集計</t>
        </is>
      </c>
      <c r="C63" s="3" t="inlineStr">
        <is>
          <t>TOTLEN</t>
        </is>
      </c>
      <c r="D63" s="4" t="inlineStr">
        <is>
          <t>TotalLength.lsp</t>
        </is>
      </c>
      <c r="E63" s="4" t="inlineStr">
        <is>
          <t>線・円弧・ポリラインの総延長</t>
        </is>
      </c>
      <c r="F63" s="2" t="n">
        <v>15</v>
      </c>
      <c r="G63" s="2" t="n">
        <v>7</v>
      </c>
      <c r="H63" s="2" t="n">
        <v>16</v>
      </c>
      <c r="I63" s="2" t="n">
        <v>19</v>
      </c>
      <c r="J63" s="5">
        <f>SUM(F63:I63)</f>
        <v/>
      </c>
      <c r="K63" s="4" t="inlineStr">
        <is>
          <t>総延長集計は標準で手間</t>
        </is>
      </c>
      <c r="L63" s="3" t="inlineStr">
        <is>
          <t>CADAuthority</t>
        </is>
      </c>
      <c r="M63" s="3" t="inlineStr">
        <is>
          <t>CAD Authority</t>
        </is>
      </c>
      <c r="N63" s="6" t="inlineStr">
        <is>
          <t>開く</t>
        </is>
      </c>
    </row>
    <row r="64">
      <c r="A64" s="2">
        <f>RANK(J64,$J$2:$J$697)</f>
        <v/>
      </c>
      <c r="B64" s="3" t="inlineStr">
        <is>
          <t>文字・テキスト</t>
        </is>
      </c>
      <c r="C64" s="3" t="inlineStr">
        <is>
          <t>-</t>
        </is>
      </c>
      <c r="D64" s="4" t="inlineStr">
        <is>
          <t>Add or Subtract Text Values (dp2.lsp)</t>
        </is>
      </c>
      <c r="E64" s="4" t="inlineStr">
        <is>
          <t>数値文字に値を加減算</t>
        </is>
      </c>
      <c r="F64" s="2" t="n">
        <v>16</v>
      </c>
      <c r="G64" s="2" t="n">
        <v>10</v>
      </c>
      <c r="H64" s="2" t="n">
        <v>14</v>
      </c>
      <c r="I64" s="2" t="n">
        <v>16</v>
      </c>
      <c r="J64" s="5">
        <f>SUM(F64:I64)</f>
        <v/>
      </c>
      <c r="K64" s="4" t="inlineStr">
        <is>
          <t>数値文字の加減算は便利</t>
        </is>
      </c>
      <c r="L64" s="3" t="inlineStr"/>
      <c r="M64" s="3" t="inlineStr">
        <is>
          <t>draftsperson.net</t>
        </is>
      </c>
      <c r="N64" s="6" t="inlineStr">
        <is>
          <t>開く</t>
        </is>
      </c>
    </row>
    <row r="65">
      <c r="A65" s="2">
        <f>RANK(J65,$J$2:$J$697)</f>
        <v/>
      </c>
      <c r="B65" s="3" t="inlineStr">
        <is>
          <t>ブロック・属性</t>
        </is>
      </c>
      <c r="C65" s="3" t="inlineStr">
        <is>
          <t>BLKTREE</t>
        </is>
      </c>
      <c r="D65" s="4" t="inlineStr">
        <is>
          <t>BLKTREE</t>
        </is>
      </c>
      <c r="E65" s="4" t="inlineStr">
        <is>
          <t>ブロック構造をツリー表示</t>
        </is>
      </c>
      <c r="F65" s="2" t="n">
        <v>21</v>
      </c>
      <c r="G65" s="2" t="n">
        <v>15</v>
      </c>
      <c r="H65" s="2" t="n">
        <v>8</v>
      </c>
      <c r="I65" s="2" t="n">
        <v>12</v>
      </c>
      <c r="J65" s="5">
        <f>SUM(F65:I65)</f>
        <v/>
      </c>
      <c r="K65" s="4" t="inlineStr">
        <is>
          <t>ブロック構造の可視化</t>
        </is>
      </c>
      <c r="L65" s="3" t="inlineStr">
        <is>
          <t>Jeffery P. Sanders</t>
        </is>
      </c>
      <c r="M65" s="3" t="inlineStr">
        <is>
          <t>JefferyPSanders.com</t>
        </is>
      </c>
      <c r="N65" s="6" t="inlineStr">
        <is>
          <t>開く</t>
        </is>
      </c>
    </row>
    <row r="66">
      <c r="A66" s="2">
        <f>RANK(J66,$J$2:$J$697)</f>
        <v/>
      </c>
      <c r="B66" s="3" t="inlineStr">
        <is>
          <t>ブロック・属性</t>
        </is>
      </c>
      <c r="C66" s="3" t="inlineStr">
        <is>
          <t>BLOCKMASTER</t>
        </is>
      </c>
      <c r="D66" s="4" t="inlineStr">
        <is>
          <t>BLOCKMASTER</t>
        </is>
      </c>
      <c r="E66" s="4" t="inlineStr">
        <is>
          <t>挿入時に属性を自動入力</t>
        </is>
      </c>
      <c r="F66" s="2" t="n">
        <v>14</v>
      </c>
      <c r="G66" s="2" t="n">
        <v>14</v>
      </c>
      <c r="H66" s="2" t="n">
        <v>14</v>
      </c>
      <c r="I66" s="2" t="n">
        <v>14</v>
      </c>
      <c r="J66" s="5">
        <f>SUM(F66:I66)</f>
        <v/>
      </c>
      <c r="K66" s="4" t="inlineStr">
        <is>
          <t>挿入時の属性自動入力</t>
        </is>
      </c>
      <c r="L66" s="3" t="inlineStr">
        <is>
          <t>Jeffery P. Sanders</t>
        </is>
      </c>
      <c r="M66" s="3" t="inlineStr">
        <is>
          <t>JefferyPSanders.com</t>
        </is>
      </c>
      <c r="N66" s="6" t="inlineStr">
        <is>
          <t>開く</t>
        </is>
      </c>
    </row>
    <row r="67">
      <c r="A67" s="2">
        <f>RANK(J67,$J$2:$J$697)</f>
        <v/>
      </c>
      <c r="B67" s="3" t="inlineStr">
        <is>
          <t>ハッチ・面積・長さ集計</t>
        </is>
      </c>
      <c r="C67" s="3" t="inlineStr">
        <is>
          <t>chainlen</t>
        </is>
      </c>
      <c r="D67" s="4" t="inlineStr">
        <is>
          <t>Chain Length</t>
        </is>
      </c>
      <c r="E67" s="4" t="inlineStr">
        <is>
          <t>連続図形の合計長さを計測</t>
        </is>
      </c>
      <c r="F67" s="2" t="n">
        <v>17</v>
      </c>
      <c r="G67" s="2" t="n">
        <v>13</v>
      </c>
      <c r="H67" s="2" t="n">
        <v>13</v>
      </c>
      <c r="I67" s="2" t="n">
        <v>13</v>
      </c>
      <c r="J67" s="5">
        <f>SUM(F67:I67)</f>
        <v/>
      </c>
      <c r="K67" s="4" t="inlineStr">
        <is>
          <t>連続図形の長さを自動追跡</t>
        </is>
      </c>
      <c r="L67" s="3" t="inlineStr">
        <is>
          <t>Lee Mac</t>
        </is>
      </c>
      <c r="M67" s="3" t="inlineStr">
        <is>
          <t>Lee Mac Programming</t>
        </is>
      </c>
      <c r="N67" s="6" t="inlineStr">
        <is>
          <t>開く</t>
        </is>
      </c>
    </row>
    <row r="68">
      <c r="A68" s="2">
        <f>RANK(J68,$J$2:$J$697)</f>
        <v/>
      </c>
      <c r="B68" s="3" t="inlineStr">
        <is>
          <t>ブロック・属性</t>
        </is>
      </c>
      <c r="C68" s="3" t="inlineStr">
        <is>
          <t>-</t>
        </is>
      </c>
      <c r="D68" s="4" t="inlineStr">
        <is>
          <t>FIXBLOCK.LSP</t>
        </is>
      </c>
      <c r="E68" s="4" t="inlineStr">
        <is>
          <t>ブロック要素を0画層・BYBLOCKに</t>
        </is>
      </c>
      <c r="F68" s="2" t="n">
        <v>15</v>
      </c>
      <c r="G68" s="2" t="n">
        <v>9</v>
      </c>
      <c r="H68" s="2" t="n">
        <v>14</v>
      </c>
      <c r="I68" s="2" t="n">
        <v>18</v>
      </c>
      <c r="J68" s="5">
        <f>SUM(F68:I68)</f>
        <v/>
      </c>
      <c r="K68" s="4" t="inlineStr">
        <is>
          <t>ブロック定義の一括整理</t>
        </is>
      </c>
      <c r="L68" s="3" t="inlineStr">
        <is>
          <t>Owen Wengerd (ManuSoft)</t>
        </is>
      </c>
      <c r="M68" s="3" t="inlineStr">
        <is>
          <t>ManuSoft</t>
        </is>
      </c>
      <c r="N68" s="6" t="inlineStr">
        <is>
          <t>開く</t>
        </is>
      </c>
    </row>
    <row r="69">
      <c r="A69" s="2">
        <f>RANK(J69,$J$2:$J$697)</f>
        <v/>
      </c>
      <c r="B69" s="3" t="inlineStr">
        <is>
          <t>画層</t>
        </is>
      </c>
      <c r="C69" s="3" t="inlineStr">
        <is>
          <t>Layers2DWGs</t>
        </is>
      </c>
      <c r="D69" s="4" t="inlineStr">
        <is>
          <t>Layers to Drawings</t>
        </is>
      </c>
      <c r="E69" s="4" t="inlineStr">
        <is>
          <t>画層を個別図面に分割</t>
        </is>
      </c>
      <c r="F69" s="2" t="n">
        <v>17</v>
      </c>
      <c r="G69" s="2" t="n">
        <v>10</v>
      </c>
      <c r="H69" s="2" t="n">
        <v>15</v>
      </c>
      <c r="I69" s="2" t="n">
        <v>14</v>
      </c>
      <c r="J69" s="5">
        <f>SUM(F69:I69)</f>
        <v/>
      </c>
      <c r="K69" s="4" t="inlineStr">
        <is>
          <t>画層ごと図面分割の自動化</t>
        </is>
      </c>
      <c r="L69" s="3" t="inlineStr">
        <is>
          <t>Lee Mac</t>
        </is>
      </c>
      <c r="M69" s="3" t="inlineStr">
        <is>
          <t>Lee Mac Programming</t>
        </is>
      </c>
      <c r="N69" s="6" t="inlineStr">
        <is>
          <t>開く</t>
        </is>
      </c>
    </row>
    <row r="70">
      <c r="A70" s="2">
        <f>RANK(J70,$J$2:$J$697)</f>
        <v/>
      </c>
      <c r="B70" s="3" t="inlineStr">
        <is>
          <t>ブロック・属性</t>
        </is>
      </c>
      <c r="C70" s="3" t="inlineStr">
        <is>
          <t>L2A</t>
        </is>
      </c>
      <c r="D70" s="4" t="inlineStr">
        <is>
          <t>Length Field to Attribute</t>
        </is>
      </c>
      <c r="E70" s="4" t="inlineStr">
        <is>
          <t>長さフィールドを属性に挿入</t>
        </is>
      </c>
      <c r="F70" s="2" t="n">
        <v>15</v>
      </c>
      <c r="G70" s="2" t="n">
        <v>14</v>
      </c>
      <c r="H70" s="2" t="n">
        <v>15</v>
      </c>
      <c r="I70" s="2" t="n">
        <v>12</v>
      </c>
      <c r="J70" s="5">
        <f>SUM(F70:I70)</f>
        <v/>
      </c>
      <c r="K70" s="4" t="inlineStr">
        <is>
          <t>長さフィールド自動連携</t>
        </is>
      </c>
      <c r="L70" s="3" t="inlineStr">
        <is>
          <t>Lee Mac</t>
        </is>
      </c>
      <c r="M70" s="3" t="inlineStr">
        <is>
          <t>Lee Mac Programming</t>
        </is>
      </c>
      <c r="N70" s="6" t="inlineStr">
        <is>
          <t>開く</t>
        </is>
      </c>
    </row>
    <row r="71">
      <c r="A71" s="2">
        <f>RANK(J71,$J$2:$J$697)</f>
        <v/>
      </c>
      <c r="B71" s="3" t="inlineStr">
        <is>
          <t>引出線・注記</t>
        </is>
      </c>
      <c r="C71" s="3" t="inlineStr">
        <is>
          <t>NOTES</t>
        </is>
      </c>
      <c r="D71" s="4" t="inlineStr">
        <is>
          <t>Notes</t>
        </is>
      </c>
      <c r="E71" s="4" t="inlineStr">
        <is>
          <t>マスタファイルから注記挿入</t>
        </is>
      </c>
      <c r="F71" s="2" t="n">
        <v>14</v>
      </c>
      <c r="G71" s="2" t="n">
        <v>12</v>
      </c>
      <c r="H71" s="2" t="n">
        <v>14</v>
      </c>
      <c r="I71" s="2" t="n">
        <v>16</v>
      </c>
      <c r="J71" s="5">
        <f>SUM(F71:I71)</f>
        <v/>
      </c>
      <c r="K71" s="4" t="inlineStr">
        <is>
          <t>注記マスタ挿入で標準化</t>
        </is>
      </c>
      <c r="L71" s="3" t="inlineStr">
        <is>
          <t>Jeffery P. Sanders</t>
        </is>
      </c>
      <c r="M71" s="3" t="inlineStr">
        <is>
          <t>JefferyPSanders.com</t>
        </is>
      </c>
      <c r="N71" s="6" t="inlineStr">
        <is>
          <t>開く</t>
        </is>
      </c>
    </row>
    <row r="72">
      <c r="A72" s="2">
        <f>RANK(J72,$J$2:$J$697)</f>
        <v/>
      </c>
      <c r="B72" s="3" t="inlineStr">
        <is>
          <t>文字・テキスト</t>
        </is>
      </c>
      <c r="C72" s="3" t="inlineStr">
        <is>
          <t>-</t>
        </is>
      </c>
      <c r="D72" s="4" t="inlineStr">
        <is>
          <t>Numbering (numbering.lsp)</t>
        </is>
      </c>
      <c r="E72" s="4" t="inlineStr">
        <is>
          <t>連番・連続記号を記入</t>
        </is>
      </c>
      <c r="F72" s="2" t="n">
        <v>12</v>
      </c>
      <c r="G72" s="2" t="n">
        <v>8</v>
      </c>
      <c r="H72" s="2" t="n">
        <v>16</v>
      </c>
      <c r="I72" s="2" t="n">
        <v>20</v>
      </c>
      <c r="J72" s="5">
        <f>SUM(F72:I72)</f>
        <v/>
      </c>
      <c r="K72" s="4" t="inlineStr">
        <is>
          <t>連番記入、NumIncに劣る</t>
        </is>
      </c>
      <c r="L72" s="3" t="inlineStr"/>
      <c r="M72" s="3" t="inlineStr">
        <is>
          <t>draftsperson.net</t>
        </is>
      </c>
      <c r="N72" s="6" t="inlineStr">
        <is>
          <t>開く</t>
        </is>
      </c>
    </row>
    <row r="73">
      <c r="A73" s="2">
        <f>RANK(J73,$J$2:$J$697)</f>
        <v/>
      </c>
      <c r="B73" s="3" t="inlineStr">
        <is>
          <t>表示・UCS・ビュー</t>
        </is>
      </c>
      <c r="C73" s="3" t="inlineStr">
        <is>
          <t>-</t>
        </is>
      </c>
      <c r="D73" s="4" t="inlineStr">
        <is>
          <t>Periscope</t>
        </is>
      </c>
      <c r="E73" s="4" t="inlineStr">
        <is>
          <t>カーソル下の図形情報を表示(ARX)</t>
        </is>
      </c>
      <c r="F73" s="2" t="n">
        <v>17</v>
      </c>
      <c r="G73" s="2" t="n">
        <v>17</v>
      </c>
      <c r="H73" s="2" t="n">
        <v>9</v>
      </c>
      <c r="I73" s="2" t="n">
        <v>13</v>
      </c>
      <c r="J73" s="5">
        <f>SUM(F73:I73)</f>
        <v/>
      </c>
      <c r="K73" s="4" t="inlineStr">
        <is>
          <t>カーソル下の図形情報表示</t>
        </is>
      </c>
      <c r="L73" s="3" t="inlineStr">
        <is>
          <t>Owen Wengerd (ManuSoft)</t>
        </is>
      </c>
      <c r="M73" s="3" t="inlineStr">
        <is>
          <t>ManuSoft</t>
        </is>
      </c>
      <c r="N73" s="6" t="inlineStr">
        <is>
          <t>開く</t>
        </is>
      </c>
    </row>
    <row r="74">
      <c r="A74" s="2">
        <f>RANK(J74,$J$2:$J$697)</f>
        <v/>
      </c>
      <c r="B74" s="3" t="inlineStr">
        <is>
          <t>設備</t>
        </is>
      </c>
      <c r="C74" s="3" t="inlineStr">
        <is>
          <t>PIPELAY</t>
        </is>
      </c>
      <c r="D74" s="4" t="inlineStr">
        <is>
          <t>PipeLay</t>
        </is>
      </c>
      <c r="E74" s="4" t="inlineStr">
        <is>
          <t>配管分岐の切断展開図作成</t>
        </is>
      </c>
      <c r="F74" s="2" t="n">
        <v>21</v>
      </c>
      <c r="G74" s="2" t="n">
        <v>17</v>
      </c>
      <c r="H74" s="2" t="n">
        <v>12</v>
      </c>
      <c r="I74" s="2" t="n">
        <v>6</v>
      </c>
      <c r="J74" s="5">
        <f>SUM(F74:I74)</f>
        <v/>
      </c>
      <c r="K74" s="4" t="inlineStr">
        <is>
          <t>配管分岐の展開図生成</t>
        </is>
      </c>
      <c r="L74" s="3" t="inlineStr">
        <is>
          <t>Jeffery P. Sanders</t>
        </is>
      </c>
      <c r="M74" s="3" t="inlineStr">
        <is>
          <t>JefferyPSanders.com</t>
        </is>
      </c>
      <c r="N74" s="6" t="inlineStr">
        <is>
          <t>開く</t>
        </is>
      </c>
    </row>
    <row r="75">
      <c r="A75" s="2">
        <f>RANK(J75,$J$2:$J$697)</f>
        <v/>
      </c>
      <c r="B75" s="3" t="inlineStr">
        <is>
          <t>文字・テキスト</t>
        </is>
      </c>
      <c r="C75" s="3" t="inlineStr">
        <is>
          <t>TextCalc / TC</t>
        </is>
      </c>
      <c r="D75" s="4" t="inlineStr">
        <is>
          <t>Text Calculator</t>
        </is>
      </c>
      <c r="E75" s="4" t="inlineStr">
        <is>
          <t>文字数値で計算</t>
        </is>
      </c>
      <c r="F75" s="2" t="n">
        <v>16</v>
      </c>
      <c r="G75" s="2" t="n">
        <v>12</v>
      </c>
      <c r="H75" s="2" t="n">
        <v>12</v>
      </c>
      <c r="I75" s="2" t="n">
        <v>16</v>
      </c>
      <c r="J75" s="5">
        <f>SUM(F75:I75)</f>
        <v/>
      </c>
      <c r="K75" s="4" t="inlineStr">
        <is>
          <t>文字数値で計算、標準にない</t>
        </is>
      </c>
      <c r="L75" s="3" t="inlineStr">
        <is>
          <t>Lee Mac</t>
        </is>
      </c>
      <c r="M75" s="3" t="inlineStr">
        <is>
          <t>Lee Mac Programming</t>
        </is>
      </c>
      <c r="N75" s="6" t="inlineStr">
        <is>
          <t>開く</t>
        </is>
      </c>
    </row>
    <row r="76">
      <c r="A76" s="2">
        <f>RANK(J76,$J$2:$J$697)</f>
        <v/>
      </c>
      <c r="B76" s="3" t="inlineStr">
        <is>
          <t>線・ポリライン編集</t>
        </is>
      </c>
      <c r="C76" s="3" t="inlineStr">
        <is>
          <t>OA</t>
        </is>
      </c>
      <c r="D76" s="4" t="inlineStr">
        <is>
          <t>Align Objects to Curve</t>
        </is>
      </c>
      <c r="E76" s="4" t="inlineStr">
        <is>
          <t>図形を曲線に沿って整列配置</t>
        </is>
      </c>
      <c r="F76" s="2" t="n">
        <v>16</v>
      </c>
      <c r="G76" s="2" t="n">
        <v>15</v>
      </c>
      <c r="H76" s="2" t="n">
        <v>12</v>
      </c>
      <c r="I76" s="2" t="n">
        <v>12</v>
      </c>
      <c r="J76" s="5">
        <f>SUM(F76:I76)</f>
        <v/>
      </c>
      <c r="K76" s="4" t="inlineStr">
        <is>
          <t>既存図形を曲線に整列</t>
        </is>
      </c>
      <c r="L76" s="3" t="inlineStr">
        <is>
          <t>Lee Mac</t>
        </is>
      </c>
      <c r="M76" s="3" t="inlineStr">
        <is>
          <t>Lee Mac Programming</t>
        </is>
      </c>
      <c r="N76" s="6" t="inlineStr">
        <is>
          <t>開く</t>
        </is>
      </c>
    </row>
    <row r="77">
      <c r="A77" s="2">
        <f>RANK(J77,$J$2:$J$697)</f>
        <v/>
      </c>
      <c r="B77" s="3" t="inlineStr">
        <is>
          <t>ハッチ・面積・長さ集計</t>
        </is>
      </c>
      <c r="C77" s="3" t="inlineStr">
        <is>
          <t>AT / ATC / ATM</t>
        </is>
      </c>
      <c r="D77" s="4" t="inlineStr">
        <is>
          <t>AreaText.lsp</t>
        </is>
      </c>
      <c r="E77" s="4" t="inlineStr">
        <is>
          <t>ポリライン面積を文字記入</t>
        </is>
      </c>
      <c r="F77" s="2" t="n">
        <v>13</v>
      </c>
      <c r="G77" s="2" t="n">
        <v>9</v>
      </c>
      <c r="H77" s="2" t="n">
        <v>16</v>
      </c>
      <c r="I77" s="2" t="n">
        <v>17</v>
      </c>
      <c r="J77" s="5">
        <f>SUM(F77:I77)</f>
        <v/>
      </c>
      <c r="K77" s="4" t="inlineStr">
        <is>
          <t>面積を文字記入、フィールドで代替</t>
        </is>
      </c>
      <c r="L77" s="3" t="inlineStr">
        <is>
          <t>JTB World (Jimmy Bergmark)</t>
        </is>
      </c>
      <c r="M77" s="3" t="inlineStr">
        <is>
          <t>JTB World</t>
        </is>
      </c>
      <c r="N77" s="6" t="inlineStr">
        <is>
          <t>開く</t>
        </is>
      </c>
    </row>
    <row r="78">
      <c r="A78" s="2">
        <f>RANK(J78,$J$2:$J$697)</f>
        <v/>
      </c>
      <c r="B78" s="3" t="inlineStr">
        <is>
          <t>ブロック・属性</t>
        </is>
      </c>
      <c r="C78" s="3" t="inlineStr">
        <is>
          <t>BLKOUT</t>
        </is>
      </c>
      <c r="D78" s="4" t="inlineStr">
        <is>
          <t>BLKOUT</t>
        </is>
      </c>
      <c r="E78" s="4" t="inlineStr">
        <is>
          <t>ネストブロックを個別ファイル化</t>
        </is>
      </c>
      <c r="F78" s="2" t="n">
        <v>16</v>
      </c>
      <c r="G78" s="2" t="n">
        <v>12</v>
      </c>
      <c r="H78" s="2" t="n">
        <v>14</v>
      </c>
      <c r="I78" s="2" t="n">
        <v>13</v>
      </c>
      <c r="J78" s="5">
        <f>SUM(F78:I78)</f>
        <v/>
      </c>
      <c r="K78" s="4" t="inlineStr">
        <is>
          <t>ネストブロック一括書出し</t>
        </is>
      </c>
      <c r="L78" s="3" t="inlineStr">
        <is>
          <t>Jeffery P. Sanders</t>
        </is>
      </c>
      <c r="M78" s="3" t="inlineStr">
        <is>
          <t>JefferyPSanders.com</t>
        </is>
      </c>
      <c r="N78" s="6" t="inlineStr">
        <is>
          <t>開く</t>
        </is>
      </c>
    </row>
    <row r="79">
      <c r="A79" s="2">
        <f>RANK(J79,$J$2:$J$697)</f>
        <v/>
      </c>
      <c r="B79" s="3" t="inlineStr">
        <is>
          <t>外部参照・図面管理・一括処理</t>
        </is>
      </c>
      <c r="C79" s="3" t="inlineStr">
        <is>
          <t>btx / BlockToXref</t>
        </is>
      </c>
      <c r="D79" s="4" t="inlineStr">
        <is>
          <t>BlockToXref.lsp</t>
        </is>
      </c>
      <c r="E79" s="4" t="inlineStr">
        <is>
          <t>ブロックを外部参照に変換</t>
        </is>
      </c>
      <c r="F79" s="2" t="n">
        <v>17</v>
      </c>
      <c r="G79" s="2" t="n">
        <v>13</v>
      </c>
      <c r="H79" s="2" t="n">
        <v>11</v>
      </c>
      <c r="I79" s="2" t="n">
        <v>14</v>
      </c>
      <c r="J79" s="5">
        <f>SUM(F79:I79)</f>
        <v/>
      </c>
      <c r="K79" s="4" t="inlineStr">
        <is>
          <t>ブロックを外部参照に変換</t>
        </is>
      </c>
      <c r="L79" s="3" t="inlineStr">
        <is>
          <t>JTB World (Jimmy Bergmark)</t>
        </is>
      </c>
      <c r="M79" s="3" t="inlineStr">
        <is>
          <t>JTB World</t>
        </is>
      </c>
      <c r="N79" s="6" t="inlineStr">
        <is>
          <t>開く</t>
        </is>
      </c>
    </row>
    <row r="80">
      <c r="A80" s="2">
        <f>RANK(J80,$J$2:$J$697)</f>
        <v/>
      </c>
      <c r="B80" s="3" t="inlineStr">
        <is>
          <t>作図</t>
        </is>
      </c>
      <c r="C80" s="3" t="inlineStr">
        <is>
          <t>BBRN / BBRA / BBRR</t>
        </is>
      </c>
      <c r="D80" s="4" t="inlineStr">
        <is>
          <t>Bounding Box Reactor</t>
        </is>
      </c>
      <c r="E80" s="4" t="inlineStr">
        <is>
          <t>図形外接矩形を連動表示</t>
        </is>
      </c>
      <c r="F80" s="2" t="n">
        <v>20</v>
      </c>
      <c r="G80" s="2" t="n">
        <v>20</v>
      </c>
      <c r="H80" s="2" t="n">
        <v>6</v>
      </c>
      <c r="I80" s="2" t="n">
        <v>9</v>
      </c>
      <c r="J80" s="5">
        <f>SUM(F80:I80)</f>
        <v/>
      </c>
      <c r="K80" s="4" t="inlineStr">
        <is>
          <t>リアクタで外接矩形連動</t>
        </is>
      </c>
      <c r="L80" s="3" t="inlineStr">
        <is>
          <t>Lee Mac</t>
        </is>
      </c>
      <c r="M80" s="3" t="inlineStr">
        <is>
          <t>Lee Mac Programming</t>
        </is>
      </c>
      <c r="N80" s="6" t="inlineStr">
        <is>
          <t>開く</t>
        </is>
      </c>
    </row>
    <row r="81">
      <c r="A81" s="2">
        <f>RANK(J81,$J$2:$J$697)</f>
        <v/>
      </c>
      <c r="B81" s="3" t="inlineStr">
        <is>
          <t>ブロック・属性</t>
        </is>
      </c>
      <c r="C81" s="3" t="inlineStr">
        <is>
          <t>CBP / CBPR</t>
        </is>
      </c>
      <c r="D81" s="4" t="inlineStr">
        <is>
          <t>Change Block Base Point</t>
        </is>
      </c>
      <c r="E81" s="4" t="inlineStr">
        <is>
          <t>ブロック基点を変更</t>
        </is>
      </c>
      <c r="F81" s="2" t="n">
        <v>14</v>
      </c>
      <c r="G81" s="2" t="n">
        <v>11</v>
      </c>
      <c r="H81" s="2" t="n">
        <v>13</v>
      </c>
      <c r="I81" s="2" t="n">
        <v>17</v>
      </c>
      <c r="J81" s="5">
        <f>SUM(F81:I81)</f>
        <v/>
      </c>
      <c r="K81" s="4" t="inlineStr">
        <is>
          <t>BEDIT不要で基点変更</t>
        </is>
      </c>
      <c r="L81" s="3" t="inlineStr">
        <is>
          <t>Lee Mac</t>
        </is>
      </c>
      <c r="M81" s="3" t="inlineStr">
        <is>
          <t>Lee Mac Programming</t>
        </is>
      </c>
      <c r="N81" s="6" t="inlineStr">
        <is>
          <t>開く</t>
        </is>
      </c>
    </row>
    <row r="82">
      <c r="A82" s="2">
        <f>RANK(J82,$J$2:$J$697)</f>
        <v/>
      </c>
      <c r="B82" s="3" t="inlineStr">
        <is>
          <t>建築</t>
        </is>
      </c>
      <c r="C82" s="3" t="inlineStr">
        <is>
          <t>-</t>
        </is>
      </c>
      <c r="D82" s="4" t="inlineStr">
        <is>
          <t>Door Swing with Wall Trim (doorac.zip)</t>
        </is>
      </c>
      <c r="E82" s="4" t="inlineStr">
        <is>
          <t>ドア開きを作図し壁をトリム</t>
        </is>
      </c>
      <c r="F82" s="2" t="n">
        <v>16</v>
      </c>
      <c r="G82" s="2" t="n">
        <v>13</v>
      </c>
      <c r="H82" s="2" t="n">
        <v>15</v>
      </c>
      <c r="I82" s="2" t="n">
        <v>11</v>
      </c>
      <c r="J82" s="5">
        <f>SUM(F82:I82)</f>
        <v/>
      </c>
      <c r="K82" s="4" t="inlineStr">
        <is>
          <t>ドア配置と壁トリム同時</t>
        </is>
      </c>
      <c r="L82" s="3" t="inlineStr"/>
      <c r="M82" s="3" t="inlineStr">
        <is>
          <t>draftsperson.net</t>
        </is>
      </c>
      <c r="N82" s="6" t="inlineStr">
        <is>
          <t>開く</t>
        </is>
      </c>
    </row>
    <row r="83">
      <c r="A83" s="2">
        <f>RANK(J83,$J$2:$J$697)</f>
        <v/>
      </c>
      <c r="B83" s="3" t="inlineStr">
        <is>
          <t>建築</t>
        </is>
      </c>
      <c r="C83" s="3" t="inlineStr">
        <is>
          <t>em</t>
        </is>
      </c>
      <c r="D83" s="4" t="inlineStr">
        <is>
          <t>Elevation Marker</t>
        </is>
      </c>
      <c r="E83" s="4" t="inlineStr">
        <is>
          <t>レベル（標高）マーカーを配置</t>
        </is>
      </c>
      <c r="F83" s="2" t="n">
        <v>14</v>
      </c>
      <c r="G83" s="2" t="n">
        <v>15</v>
      </c>
      <c r="H83" s="2" t="n">
        <v>14</v>
      </c>
      <c r="I83" s="2" t="n">
        <v>12</v>
      </c>
      <c r="J83" s="5">
        <f>SUM(F83:I83)</f>
        <v/>
      </c>
      <c r="K83" s="4" t="inlineStr">
        <is>
          <t>座標から標高を自動表示</t>
        </is>
      </c>
      <c r="L83" s="3" t="inlineStr">
        <is>
          <t>Lee Mac</t>
        </is>
      </c>
      <c r="M83" s="3" t="inlineStr">
        <is>
          <t>Lee Mac Programming</t>
        </is>
      </c>
      <c r="N83" s="6" t="inlineStr">
        <is>
          <t>開く</t>
        </is>
      </c>
    </row>
    <row r="84">
      <c r="A84" s="2">
        <f>RANK(J84,$J$2:$J$697)</f>
        <v/>
      </c>
      <c r="B84" s="3" t="inlineStr">
        <is>
          <t>表・Excel連携</t>
        </is>
      </c>
      <c r="C84" s="3" t="inlineStr">
        <is>
          <t>ETable</t>
        </is>
      </c>
      <c r="D84" s="4" t="inlineStr">
        <is>
          <t>ETable</t>
        </is>
      </c>
      <c r="E84" s="4" t="inlineStr">
        <is>
          <t>図形情報を表に出力しラベル付け</t>
        </is>
      </c>
      <c r="F84" s="2" t="n">
        <v>15</v>
      </c>
      <c r="G84" s="2" t="n">
        <v>13</v>
      </c>
      <c r="H84" s="2" t="n">
        <v>13</v>
      </c>
      <c r="I84" s="2" t="n">
        <v>14</v>
      </c>
      <c r="J84" s="5">
        <f>SUM(F84:I84)</f>
        <v/>
      </c>
      <c r="K84" s="4" t="inlineStr">
        <is>
          <t>表出力とラベル付けを連動</t>
        </is>
      </c>
      <c r="L84" s="3" t="inlineStr">
        <is>
          <t>Jeffery P. Sanders</t>
        </is>
      </c>
      <c r="M84" s="3" t="inlineStr">
        <is>
          <t>JefferyPSanders.com</t>
        </is>
      </c>
      <c r="N84" s="6" t="inlineStr">
        <is>
          <t>開く</t>
        </is>
      </c>
    </row>
    <row r="85">
      <c r="A85" s="2">
        <f>RANK(J85,$J$2:$J$697)</f>
        <v/>
      </c>
      <c r="B85" s="3" t="inlineStr">
        <is>
          <t>ハッチ・面積・長さ集計</t>
        </is>
      </c>
      <c r="C85" s="3" t="inlineStr">
        <is>
          <t>LF / AF</t>
        </is>
      </c>
      <c r="D85" s="4" t="inlineStr">
        <is>
          <t>Length &amp; Area Field</t>
        </is>
      </c>
      <c r="E85" s="4" t="inlineStr">
        <is>
          <t>長さ・面積のフィールド作成</t>
        </is>
      </c>
      <c r="F85" s="2" t="n">
        <v>11</v>
      </c>
      <c r="G85" s="2" t="n">
        <v>12</v>
      </c>
      <c r="H85" s="2" t="n">
        <v>15</v>
      </c>
      <c r="I85" s="2" t="n">
        <v>17</v>
      </c>
      <c r="J85" s="5">
        <f>SUM(F85:I85)</f>
        <v/>
      </c>
      <c r="K85" s="4" t="inlineStr">
        <is>
          <t>標準フィールドを簡便に作成</t>
        </is>
      </c>
      <c r="L85" s="3" t="inlineStr">
        <is>
          <t>Lee Mac</t>
        </is>
      </c>
      <c r="M85" s="3" t="inlineStr">
        <is>
          <t>Lee Mac Programming</t>
        </is>
      </c>
      <c r="N85" s="6" t="inlineStr">
        <is>
          <t>開く</t>
        </is>
      </c>
    </row>
    <row r="86">
      <c r="A86" s="2">
        <f>RANK(J86,$J$2:$J$697)</f>
        <v/>
      </c>
      <c r="B86" s="3" t="inlineStr">
        <is>
          <t>ブロック・属性</t>
        </is>
      </c>
      <c r="C86" s="3" t="inlineStr">
        <is>
          <t>BlockCount</t>
        </is>
      </c>
      <c r="D86" s="4" t="inlineStr">
        <is>
          <t>Nested Block Counter</t>
        </is>
      </c>
      <c r="E86" s="4" t="inlineStr">
        <is>
          <t>ネストブロックも含め集計</t>
        </is>
      </c>
      <c r="F86" s="2" t="n">
        <v>13</v>
      </c>
      <c r="G86" s="2" t="n">
        <v>11</v>
      </c>
      <c r="H86" s="2" t="n">
        <v>15</v>
      </c>
      <c r="I86" s="2" t="n">
        <v>16</v>
      </c>
      <c r="J86" s="5">
        <f>SUM(F86:I86)</f>
        <v/>
      </c>
      <c r="K86" s="4" t="inlineStr">
        <is>
          <t>ネスト含む集計は標準不可</t>
        </is>
      </c>
      <c r="L86" s="3" t="inlineStr">
        <is>
          <t>Lee Mac</t>
        </is>
      </c>
      <c r="M86" s="3" t="inlineStr">
        <is>
          <t>Lee Mac Programming</t>
        </is>
      </c>
      <c r="N86" s="6" t="inlineStr">
        <is>
          <t>開く</t>
        </is>
      </c>
    </row>
    <row r="87">
      <c r="A87" s="2">
        <f>RANK(J87,$J$2:$J$697)</f>
        <v/>
      </c>
      <c r="B87" s="3" t="inlineStr">
        <is>
          <t>ブロック・属性</t>
        </is>
      </c>
      <c r="C87" s="3" t="inlineStr">
        <is>
          <t>NODESERT</t>
        </is>
      </c>
      <c r="D87" s="4" t="inlineStr">
        <is>
          <t>NodeSert</t>
        </is>
      </c>
      <c r="E87" s="4" t="inlineStr">
        <is>
          <t>全ての点にブロック挿入</t>
        </is>
      </c>
      <c r="F87" s="2" t="n">
        <v>16</v>
      </c>
      <c r="G87" s="2" t="n">
        <v>12</v>
      </c>
      <c r="H87" s="2" t="n">
        <v>15</v>
      </c>
      <c r="I87" s="2" t="n">
        <v>12</v>
      </c>
      <c r="J87" s="5">
        <f>SUM(F87:I87)</f>
        <v/>
      </c>
      <c r="K87" s="4" t="inlineStr">
        <is>
          <t>点へ一括ブロック配置</t>
        </is>
      </c>
      <c r="L87" s="3" t="inlineStr">
        <is>
          <t>Jeffery P. Sanders</t>
        </is>
      </c>
      <c r="M87" s="3" t="inlineStr">
        <is>
          <t>JefferyPSanders.com</t>
        </is>
      </c>
      <c r="N87" s="6" t="inlineStr">
        <is>
          <t>開く</t>
        </is>
      </c>
    </row>
    <row r="88">
      <c r="A88" s="2">
        <f>RANK(J88,$J$2:$J$697)</f>
        <v/>
      </c>
      <c r="B88" s="3" t="inlineStr">
        <is>
          <t>文字・テキスト</t>
        </is>
      </c>
      <c r="C88" s="3" t="inlineStr">
        <is>
          <t>NUMBERX</t>
        </is>
      </c>
      <c r="D88" s="4" t="inlineStr">
        <is>
          <t>NumberX</t>
        </is>
      </c>
      <c r="E88" s="4" t="inlineStr">
        <is>
          <t>縦並び文字を上から連番化</t>
        </is>
      </c>
      <c r="F88" s="2" t="n">
        <v>14</v>
      </c>
      <c r="G88" s="2" t="n">
        <v>10</v>
      </c>
      <c r="H88" s="2" t="n">
        <v>13</v>
      </c>
      <c r="I88" s="2" t="n">
        <v>18</v>
      </c>
      <c r="J88" s="5">
        <f>SUM(F88:I88)</f>
        <v/>
      </c>
      <c r="K88" s="4" t="inlineStr">
        <is>
          <t>並び順連番化は便利</t>
        </is>
      </c>
      <c r="L88" s="3" t="inlineStr">
        <is>
          <t>Jeffery P. Sanders</t>
        </is>
      </c>
      <c r="M88" s="3" t="inlineStr">
        <is>
          <t>JefferyPSanders.com</t>
        </is>
      </c>
      <c r="N88" s="6" t="inlineStr">
        <is>
          <t>開く</t>
        </is>
      </c>
    </row>
    <row r="89">
      <c r="A89" s="2">
        <f>RANK(J89,$J$2:$J$697)</f>
        <v/>
      </c>
      <c r="B89" s="3" t="inlineStr">
        <is>
          <t>文字・テキスト</t>
        </is>
      </c>
      <c r="C89" s="3" t="inlineStr">
        <is>
          <t>-</t>
        </is>
      </c>
      <c r="D89" s="4" t="inlineStr">
        <is>
          <t>Quick Field</t>
        </is>
      </c>
      <c r="E89" s="4" t="inlineStr">
        <is>
          <t>フィールド作成コマンドを量産</t>
        </is>
      </c>
      <c r="F89" s="2" t="n">
        <v>17</v>
      </c>
      <c r="G89" s="2" t="n">
        <v>16</v>
      </c>
      <c r="H89" s="2" t="n">
        <v>10</v>
      </c>
      <c r="I89" s="2" t="n">
        <v>12</v>
      </c>
      <c r="J89" s="5">
        <f>SUM(F89:I89)</f>
        <v/>
      </c>
      <c r="K89" s="4" t="inlineStr">
        <is>
          <t>フィールドコマンド量産の発想</t>
        </is>
      </c>
      <c r="L89" s="3" t="inlineStr">
        <is>
          <t>Lee Mac</t>
        </is>
      </c>
      <c r="M89" s="3" t="inlineStr">
        <is>
          <t>Lee Mac Programming</t>
        </is>
      </c>
      <c r="N89" s="6" t="inlineStr">
        <is>
          <t>開く</t>
        </is>
      </c>
    </row>
    <row r="90">
      <c r="A90" s="2">
        <f>RANK(J90,$J$2:$J$697)</f>
        <v/>
      </c>
      <c r="B90" s="3" t="inlineStr">
        <is>
          <t>座標・測量・土木</t>
        </is>
      </c>
      <c r="C90" s="3" t="inlineStr">
        <is>
          <t>QSECTION</t>
        </is>
      </c>
      <c r="D90" s="4" t="inlineStr">
        <is>
          <t>QuickSection.lsp</t>
        </is>
      </c>
      <c r="E90" s="4" t="inlineStr">
        <is>
          <t>標高点から断面線を作成</t>
        </is>
      </c>
      <c r="F90" s="2" t="n">
        <v>17</v>
      </c>
      <c r="G90" s="2" t="n">
        <v>13</v>
      </c>
      <c r="H90" s="2" t="n">
        <v>15</v>
      </c>
      <c r="I90" s="2" t="n">
        <v>10</v>
      </c>
      <c r="J90" s="5">
        <f>SUM(F90:I90)</f>
        <v/>
      </c>
      <c r="K90" s="4" t="inlineStr">
        <is>
          <t>標高点から断面線作成</t>
        </is>
      </c>
      <c r="L90" s="3" t="inlineStr">
        <is>
          <t>CADAuthority</t>
        </is>
      </c>
      <c r="M90" s="3" t="inlineStr">
        <is>
          <t>CAD Authority</t>
        </is>
      </c>
      <c r="N90" s="6" t="inlineStr">
        <is>
          <t>開く</t>
        </is>
      </c>
    </row>
    <row r="91">
      <c r="A91" s="2">
        <f>RANK(J91,$J$2:$J$697)</f>
        <v/>
      </c>
      <c r="B91" s="3" t="inlineStr">
        <is>
          <t>外部参照・図面管理・一括処理</t>
        </is>
      </c>
      <c r="C91" s="3" t="inlineStr">
        <is>
          <t>Scrs</t>
        </is>
      </c>
      <c r="D91" s="4" t="inlineStr">
        <is>
          <t>Scrs</t>
        </is>
      </c>
      <c r="E91" s="4" t="inlineStr">
        <is>
          <t>スクリプトを作成し一括実行</t>
        </is>
      </c>
      <c r="F91" s="2" t="n">
        <v>13</v>
      </c>
      <c r="G91" s="2" t="n">
        <v>9</v>
      </c>
      <c r="H91" s="2" t="n">
        <v>16</v>
      </c>
      <c r="I91" s="2" t="n">
        <v>17</v>
      </c>
      <c r="J91" s="5">
        <f>SUM(F91:I91)</f>
        <v/>
      </c>
      <c r="K91" s="4" t="inlineStr">
        <is>
          <t>スクリプト作成一括実行</t>
        </is>
      </c>
      <c r="L91" s="3" t="inlineStr">
        <is>
          <t>Terry Miller</t>
        </is>
      </c>
      <c r="M91" s="3" t="inlineStr">
        <is>
          <t>AutoLISP Exchange</t>
        </is>
      </c>
      <c r="N91" s="6" t="inlineStr">
        <is>
          <t>開く</t>
        </is>
      </c>
    </row>
    <row r="92">
      <c r="A92" s="2">
        <f>RANK(J92,$J$2:$J$697)</f>
        <v/>
      </c>
      <c r="B92" s="3" t="inlineStr">
        <is>
          <t>選択・絞り込み</t>
        </is>
      </c>
      <c r="C92" s="3" t="inlineStr">
        <is>
          <t>vpc / vpw</t>
        </is>
      </c>
      <c r="D92" s="4" t="inlineStr">
        <is>
          <t>vpsel.lsp</t>
        </is>
      </c>
      <c r="E92" s="4" t="inlineStr">
        <is>
          <t>ビューポート内図形を選択</t>
        </is>
      </c>
      <c r="F92" s="2" t="n">
        <v>16</v>
      </c>
      <c r="G92" s="2" t="n">
        <v>13</v>
      </c>
      <c r="H92" s="2" t="n">
        <v>10</v>
      </c>
      <c r="I92" s="2" t="n">
        <v>16</v>
      </c>
      <c r="J92" s="5">
        <f>SUM(F92:I92)</f>
        <v/>
      </c>
      <c r="K92" s="4" t="inlineStr">
        <is>
          <t>VP内図形選択は標準にない</t>
        </is>
      </c>
      <c r="L92" s="3" t="inlineStr">
        <is>
          <t>JTB World (Jimmy Bergmark)</t>
        </is>
      </c>
      <c r="M92" s="3" t="inlineStr">
        <is>
          <t>JTB World</t>
        </is>
      </c>
      <c r="N92" s="6" t="inlineStr">
        <is>
          <t>開く</t>
        </is>
      </c>
    </row>
    <row r="93">
      <c r="A93" s="2">
        <f>RANK(J93,$J$2:$J$697)</f>
        <v/>
      </c>
      <c r="B93" s="3" t="inlineStr">
        <is>
          <t>ハッチ・面積・長さ集計</t>
        </is>
      </c>
      <c r="C93" s="3" t="inlineStr">
        <is>
          <t>ADDLEN</t>
        </is>
      </c>
      <c r="D93" s="4" t="inlineStr">
        <is>
          <t>ADDLEN</t>
        </is>
      </c>
      <c r="E93" s="4" t="inlineStr">
        <is>
          <t>選択図形の合計長さを算出</t>
        </is>
      </c>
      <c r="F93" s="2" t="n">
        <v>15</v>
      </c>
      <c r="G93" s="2" t="n">
        <v>6</v>
      </c>
      <c r="H93" s="2" t="n">
        <v>15</v>
      </c>
      <c r="I93" s="2" t="n">
        <v>18</v>
      </c>
      <c r="J93" s="5">
        <f>SUM(F93:I93)</f>
        <v/>
      </c>
      <c r="K93" s="4" t="inlineStr">
        <is>
          <t>合計長さを即算出</t>
        </is>
      </c>
      <c r="L93" s="3" t="inlineStr">
        <is>
          <t>Jeffery P. Sanders</t>
        </is>
      </c>
      <c r="M93" s="3" t="inlineStr">
        <is>
          <t>JefferyPSanders.com</t>
        </is>
      </c>
      <c r="N93" s="6" t="inlineStr">
        <is>
          <t>開く</t>
        </is>
      </c>
    </row>
    <row r="94">
      <c r="A94" s="2">
        <f>RANK(J94,$J$2:$J$697)</f>
        <v/>
      </c>
      <c r="B94" s="3" t="inlineStr">
        <is>
          <t>線・ポリライン編集</t>
        </is>
      </c>
      <c r="C94" s="3" t="inlineStr">
        <is>
          <t>CMeasure</t>
        </is>
      </c>
      <c r="D94" s="4" t="inlineStr">
        <is>
          <t>Centered Measure</t>
        </is>
      </c>
      <c r="E94" s="4" t="inlineStr">
        <is>
          <t>曲線を中央揃えで等間隔配置</t>
        </is>
      </c>
      <c r="F94" s="2" t="n">
        <v>17</v>
      </c>
      <c r="G94" s="2" t="n">
        <v>14</v>
      </c>
      <c r="H94" s="2" t="n">
        <v>11</v>
      </c>
      <c r="I94" s="2" t="n">
        <v>12</v>
      </c>
      <c r="J94" s="5">
        <f>SUM(F94:I94)</f>
        <v/>
      </c>
      <c r="K94" s="4" t="inlineStr">
        <is>
          <t>中央揃えの等間隔配置</t>
        </is>
      </c>
      <c r="L94" s="3" t="inlineStr">
        <is>
          <t>Lee Mac</t>
        </is>
      </c>
      <c r="M94" s="3" t="inlineStr">
        <is>
          <t>Lee Mac Programming</t>
        </is>
      </c>
      <c r="N94" s="6" t="inlineStr">
        <is>
          <t>開く</t>
        </is>
      </c>
    </row>
    <row r="95">
      <c r="A95" s="2">
        <f>RANK(J95,$J$2:$J$697)</f>
        <v/>
      </c>
      <c r="B95" s="3" t="inlineStr">
        <is>
          <t>座標・測量・土木</t>
        </is>
      </c>
      <c r="C95" s="3" t="inlineStr">
        <is>
          <t>COLOURBYZ</t>
        </is>
      </c>
      <c r="D95" s="4" t="inlineStr">
        <is>
          <t>COLOURBY.LSP</t>
        </is>
      </c>
      <c r="E95" s="4" t="inlineStr">
        <is>
          <t>Z座標(標高)で色分け</t>
        </is>
      </c>
      <c r="F95" s="2" t="n">
        <v>18</v>
      </c>
      <c r="G95" s="2" t="n">
        <v>15</v>
      </c>
      <c r="H95" s="2" t="n">
        <v>11</v>
      </c>
      <c r="I95" s="2" t="n">
        <v>10</v>
      </c>
      <c r="J95" s="5">
        <f>SUM(F95:I95)</f>
        <v/>
      </c>
      <c r="K95" s="4" t="inlineStr">
        <is>
          <t>標高で色分け可視化</t>
        </is>
      </c>
      <c r="L95" s="3" t="inlineStr">
        <is>
          <t>Giles Darling</t>
        </is>
      </c>
      <c r="M95" s="3" t="inlineStr">
        <is>
          <t>gilesdarling.me.uk</t>
        </is>
      </c>
      <c r="N95" s="6" t="inlineStr">
        <is>
          <t>開く</t>
        </is>
      </c>
    </row>
    <row r="96">
      <c r="A96" s="2">
        <f>RANK(J96,$J$2:$J$697)</f>
        <v/>
      </c>
      <c r="B96" s="3" t="inlineStr">
        <is>
          <t>文字・テキスト</t>
        </is>
      </c>
      <c r="C96" s="3" t="inlineStr">
        <is>
          <t>copyfield</t>
        </is>
      </c>
      <c r="D96" s="4" t="inlineStr">
        <is>
          <t>Copy Field</t>
        </is>
      </c>
      <c r="E96" s="4" t="inlineStr">
        <is>
          <t>フィールドを他の文字へコピー</t>
        </is>
      </c>
      <c r="F96" s="2" t="n">
        <v>16</v>
      </c>
      <c r="G96" s="2" t="n">
        <v>13</v>
      </c>
      <c r="H96" s="2" t="n">
        <v>11</v>
      </c>
      <c r="I96" s="2" t="n">
        <v>14</v>
      </c>
      <c r="J96" s="5">
        <f>SUM(F96:I96)</f>
        <v/>
      </c>
      <c r="K96" s="4" t="inlineStr">
        <is>
          <t>フィールドコピーは標準困難</t>
        </is>
      </c>
      <c r="L96" s="3" t="inlineStr">
        <is>
          <t>Lee Mac</t>
        </is>
      </c>
      <c r="M96" s="3" t="inlineStr">
        <is>
          <t>Lee Mac Programming</t>
        </is>
      </c>
      <c r="N96" s="6" t="inlineStr">
        <is>
          <t>開く</t>
        </is>
      </c>
    </row>
    <row r="97">
      <c r="A97" s="2">
        <f>RANK(J97,$J$2:$J$697)</f>
        <v/>
      </c>
      <c r="B97" s="3" t="inlineStr">
        <is>
          <t>文字・テキスト</t>
        </is>
      </c>
      <c r="C97" s="3" t="inlineStr">
        <is>
          <t>TxAlign</t>
        </is>
      </c>
      <c r="D97" s="4" t="inlineStr">
        <is>
          <t>Dynamic Text Alignment</t>
        </is>
      </c>
      <c r="E97" s="4" t="inlineStr">
        <is>
          <t>文字の位置・角度を動的調整</t>
        </is>
      </c>
      <c r="F97" s="2" t="n">
        <v>12</v>
      </c>
      <c r="G97" s="2" t="n">
        <v>16</v>
      </c>
      <c r="H97" s="2" t="n">
        <v>10</v>
      </c>
      <c r="I97" s="2" t="n">
        <v>16</v>
      </c>
      <c r="J97" s="5">
        <f>SUM(F97:I97)</f>
        <v/>
      </c>
      <c r="K97" s="4" t="inlineStr">
        <is>
          <t>動的プレビューで位置調整</t>
        </is>
      </c>
      <c r="L97" s="3" t="inlineStr">
        <is>
          <t>Lee Mac</t>
        </is>
      </c>
      <c r="M97" s="3" t="inlineStr">
        <is>
          <t>Lee Mac Programming</t>
        </is>
      </c>
      <c r="N97" s="6" t="inlineStr">
        <is>
          <t>開く</t>
        </is>
      </c>
    </row>
    <row r="98">
      <c r="A98" s="2">
        <f>RANK(J98,$J$2:$J$697)</f>
        <v/>
      </c>
      <c r="B98" s="3" t="inlineStr">
        <is>
          <t>ブロック・属性</t>
        </is>
      </c>
      <c r="C98" s="3" t="inlineStr">
        <is>
          <t>ENB</t>
        </is>
      </c>
      <c r="D98" s="4" t="inlineStr">
        <is>
          <t>Extract Nested Block</t>
        </is>
      </c>
      <c r="E98" s="4" t="inlineStr">
        <is>
          <t>ネストブロックを抽出</t>
        </is>
      </c>
      <c r="F98" s="2" t="n">
        <v>17</v>
      </c>
      <c r="G98" s="2" t="n">
        <v>13</v>
      </c>
      <c r="H98" s="2" t="n">
        <v>11</v>
      </c>
      <c r="I98" s="2" t="n">
        <v>13</v>
      </c>
      <c r="J98" s="5">
        <f>SUM(F98:I98)</f>
        <v/>
      </c>
      <c r="K98" s="4" t="inlineStr">
        <is>
          <t>ネスト内ブロックを抽出</t>
        </is>
      </c>
      <c r="L98" s="3" t="inlineStr">
        <is>
          <t>Lee Mac</t>
        </is>
      </c>
      <c r="M98" s="3" t="inlineStr">
        <is>
          <t>Lee Mac Programming</t>
        </is>
      </c>
      <c r="N98" s="6" t="inlineStr">
        <is>
          <t>開く</t>
        </is>
      </c>
    </row>
    <row r="99">
      <c r="A99" s="2">
        <f>RANK(J99,$J$2:$J$697)</f>
        <v/>
      </c>
      <c r="B99" s="3" t="inlineStr">
        <is>
          <t>ブロック・属性</t>
        </is>
      </c>
      <c r="C99" s="3" t="inlineStr">
        <is>
          <t>-</t>
        </is>
      </c>
      <c r="D99" s="4" t="inlineStr">
        <is>
          <t>Fix Block Layers (fixblock.zip)</t>
        </is>
      </c>
      <c r="E99" s="4" t="inlineStr">
        <is>
          <t>ブロック内要素を0画層・BYBLOCKに</t>
        </is>
      </c>
      <c r="F99" s="2" t="n">
        <v>14</v>
      </c>
      <c r="G99" s="2" t="n">
        <v>8</v>
      </c>
      <c r="H99" s="2" t="n">
        <v>14</v>
      </c>
      <c r="I99" s="2" t="n">
        <v>18</v>
      </c>
      <c r="J99" s="5">
        <f>SUM(F99:I99)</f>
        <v/>
      </c>
      <c r="K99" s="4" t="inlineStr">
        <is>
          <t>ブロック定義の一括整理</t>
        </is>
      </c>
      <c r="L99" s="3" t="inlineStr"/>
      <c r="M99" s="3" t="inlineStr">
        <is>
          <t>draftsperson.net</t>
        </is>
      </c>
      <c r="N99" s="6" t="inlineStr">
        <is>
          <t>開く</t>
        </is>
      </c>
    </row>
    <row r="100">
      <c r="A100" s="2">
        <f>RANK(J100,$J$2:$J$697)</f>
        <v/>
      </c>
      <c r="B100" s="3" t="inlineStr">
        <is>
          <t>ブロック・属性</t>
        </is>
      </c>
      <c r="C100" s="3" t="inlineStr">
        <is>
          <t>INSPT</t>
        </is>
      </c>
      <c r="D100" s="4" t="inlineStr">
        <is>
          <t>InsPtMove.lsp</t>
        </is>
      </c>
      <c r="E100" s="4" t="inlineStr">
        <is>
          <t>ブロック挿入基点を変更</t>
        </is>
      </c>
      <c r="F100" s="2" t="n">
        <v>14</v>
      </c>
      <c r="G100" s="2" t="n">
        <v>11</v>
      </c>
      <c r="H100" s="2" t="n">
        <v>12</v>
      </c>
      <c r="I100" s="2" t="n">
        <v>17</v>
      </c>
      <c r="J100" s="5">
        <f>SUM(F100:I100)</f>
        <v/>
      </c>
      <c r="K100" s="4" t="inlineStr">
        <is>
          <t>BEDIT不要で基点変更</t>
        </is>
      </c>
      <c r="L100" s="3" t="inlineStr">
        <is>
          <t>CADAuthority</t>
        </is>
      </c>
      <c r="M100" s="3" t="inlineStr">
        <is>
          <t>CAD Authority</t>
        </is>
      </c>
      <c r="N100" s="6" t="inlineStr">
        <is>
          <t>開く</t>
        </is>
      </c>
    </row>
    <row r="101">
      <c r="A101" s="2">
        <f>RANK(J101,$J$2:$J$697)</f>
        <v/>
      </c>
      <c r="B101" s="3" t="inlineStr">
        <is>
          <t>文字・テキスト</t>
        </is>
      </c>
      <c r="C101" s="3" t="inlineStr">
        <is>
          <t>Label</t>
        </is>
      </c>
      <c r="D101" s="4" t="inlineStr">
        <is>
          <t>Label</t>
        </is>
      </c>
      <c r="E101" s="4" t="inlineStr">
        <is>
          <t>曲線に沿ったラベル配置</t>
        </is>
      </c>
      <c r="F101" s="2" t="n">
        <v>14</v>
      </c>
      <c r="G101" s="2" t="n">
        <v>14</v>
      </c>
      <c r="H101" s="2" t="n">
        <v>12</v>
      </c>
      <c r="I101" s="2" t="n">
        <v>14</v>
      </c>
      <c r="J101" s="5">
        <f>SUM(F101:I101)</f>
        <v/>
      </c>
      <c r="K101" s="4" t="inlineStr">
        <is>
          <t>曲線沿いラベル、測量等向き</t>
        </is>
      </c>
      <c r="L101" s="3" t="inlineStr">
        <is>
          <t>Lee Mac</t>
        </is>
      </c>
      <c r="M101" s="3" t="inlineStr">
        <is>
          <t>Lee Mac Programming</t>
        </is>
      </c>
      <c r="N101" s="6" t="inlineStr">
        <is>
          <t>開く</t>
        </is>
      </c>
    </row>
    <row r="102">
      <c r="A102" s="2">
        <f>RANK(J102,$J$2:$J$697)</f>
        <v/>
      </c>
      <c r="B102" s="3" t="inlineStr">
        <is>
          <t>座標・測量・土木</t>
        </is>
      </c>
      <c r="C102" s="3" t="inlineStr">
        <is>
          <t>LBLSEG</t>
        </is>
      </c>
      <c r="D102" s="4" t="inlineStr">
        <is>
          <t>LabelPolySegments.lsp</t>
        </is>
      </c>
      <c r="E102" s="4" t="inlineStr">
        <is>
          <t>ポリライン各辺の長さ・方位記入</t>
        </is>
      </c>
      <c r="F102" s="2" t="n">
        <v>16</v>
      </c>
      <c r="G102" s="2" t="n">
        <v>11</v>
      </c>
      <c r="H102" s="2" t="n">
        <v>16</v>
      </c>
      <c r="I102" s="2" t="n">
        <v>11</v>
      </c>
      <c r="J102" s="5">
        <f>SUM(F102:I102)</f>
        <v/>
      </c>
      <c r="K102" s="4" t="inlineStr">
        <is>
          <t>各辺の長さ・方位を一括記入</t>
        </is>
      </c>
      <c r="L102" s="3" t="inlineStr">
        <is>
          <t>CADAuthority</t>
        </is>
      </c>
      <c r="M102" s="3" t="inlineStr">
        <is>
          <t>CAD Authority</t>
        </is>
      </c>
      <c r="N102" s="6" t="inlineStr">
        <is>
          <t>開く</t>
        </is>
      </c>
    </row>
    <row r="103">
      <c r="A103" s="2">
        <f>RANK(J103,$J$2:$J$697)</f>
        <v/>
      </c>
      <c r="B103" s="3" t="inlineStr">
        <is>
          <t>印刷・レイアウト・図枠</t>
        </is>
      </c>
      <c r="C103" s="3" t="inlineStr">
        <is>
          <t>LayoutsToDwgs</t>
        </is>
      </c>
      <c r="D103" s="4" t="inlineStr">
        <is>
          <t>LayoutsToDwgs.lsp</t>
        </is>
      </c>
      <c r="E103" s="4" t="inlineStr">
        <is>
          <t>レイアウトを個別図面に書出し</t>
        </is>
      </c>
      <c r="F103" s="2" t="n">
        <v>13</v>
      </c>
      <c r="G103" s="2" t="n">
        <v>9</v>
      </c>
      <c r="H103" s="2" t="n">
        <v>15</v>
      </c>
      <c r="I103" s="2" t="n">
        <v>17</v>
      </c>
      <c r="J103" s="5">
        <f>SUM(F103:I103)</f>
        <v/>
      </c>
      <c r="K103" s="4" t="inlineStr">
        <is>
          <t>標準EXPORTLAYOUTで一部可</t>
        </is>
      </c>
      <c r="L103" s="3" t="inlineStr">
        <is>
          <t>JTB World (Jimmy Bergmark)</t>
        </is>
      </c>
      <c r="M103" s="3" t="inlineStr">
        <is>
          <t>JTB World</t>
        </is>
      </c>
      <c r="N103" s="6" t="inlineStr">
        <is>
          <t>開く</t>
        </is>
      </c>
    </row>
    <row r="104">
      <c r="A104" s="2">
        <f>RANK(J104,$J$2:$J$697)</f>
        <v/>
      </c>
      <c r="B104" s="3" t="inlineStr">
        <is>
          <t>LISP開発用の部品</t>
        </is>
      </c>
      <c r="C104" s="3" t="inlineStr">
        <is>
          <t>-</t>
        </is>
      </c>
      <c r="D104" s="4" t="inlineStr">
        <is>
          <t>ObjectDBX Wrapper</t>
        </is>
      </c>
      <c r="E104" s="4" t="inlineStr">
        <is>
          <t>ObjectDBX一括処理関数</t>
        </is>
      </c>
      <c r="F104" s="2" t="n">
        <v>20</v>
      </c>
      <c r="G104" s="2" t="n">
        <v>18</v>
      </c>
      <c r="H104" s="2" t="n">
        <v>7</v>
      </c>
      <c r="I104" s="2" t="n">
        <v>9</v>
      </c>
      <c r="J104" s="5">
        <f>SUM(F104:I104)</f>
        <v/>
      </c>
      <c r="K104" s="4" t="inlineStr">
        <is>
          <t>図面を開かず一括処理</t>
        </is>
      </c>
      <c r="L104" s="3" t="inlineStr">
        <is>
          <t>Lee Mac</t>
        </is>
      </c>
      <c r="M104" s="3" t="inlineStr">
        <is>
          <t>Lee Mac Programming</t>
        </is>
      </c>
      <c r="N104" s="6" t="inlineStr">
        <is>
          <t>開く</t>
        </is>
      </c>
    </row>
    <row r="105">
      <c r="A105" s="2">
        <f>RANK(J105,$J$2:$J$697)</f>
        <v/>
      </c>
      <c r="B105" s="3" t="inlineStr">
        <is>
          <t>線・ポリライン編集</t>
        </is>
      </c>
      <c r="C105" s="3" t="inlineStr">
        <is>
          <t>offsec</t>
        </is>
      </c>
      <c r="D105" s="4" t="inlineStr">
        <is>
          <t>Offset Polyline Section</t>
        </is>
      </c>
      <c r="E105" s="4" t="inlineStr">
        <is>
          <t>ポリラインの一部区間をオフセット</t>
        </is>
      </c>
      <c r="F105" s="2" t="n">
        <v>18</v>
      </c>
      <c r="G105" s="2" t="n">
        <v>15</v>
      </c>
      <c r="H105" s="2" t="n">
        <v>10</v>
      </c>
      <c r="I105" s="2" t="n">
        <v>11</v>
      </c>
      <c r="J105" s="5">
        <f>SUM(F105:I105)</f>
        <v/>
      </c>
      <c r="K105" s="4" t="inlineStr">
        <is>
          <t>区間指定オフセット</t>
        </is>
      </c>
      <c r="L105" s="3" t="inlineStr">
        <is>
          <t>Lee Mac</t>
        </is>
      </c>
      <c r="M105" s="3" t="inlineStr">
        <is>
          <t>Lee Mac Programming</t>
        </is>
      </c>
      <c r="N105" s="6" t="inlineStr">
        <is>
          <t>開く</t>
        </is>
      </c>
    </row>
    <row r="106">
      <c r="A106" s="2">
        <f>RANK(J106,$J$2:$J$697)</f>
        <v/>
      </c>
      <c r="B106" s="3" t="inlineStr">
        <is>
          <t>座標・測量・土木</t>
        </is>
      </c>
      <c r="C106" s="3" t="inlineStr">
        <is>
          <t>-</t>
        </is>
      </c>
      <c r="D106" s="4" t="inlineStr">
        <is>
          <t>Slope Bank Symbol (BANK.LSP)</t>
        </is>
      </c>
      <c r="E106" s="4" t="inlineStr">
        <is>
          <t>法面記号を作図</t>
        </is>
      </c>
      <c r="F106" s="2" t="n">
        <v>17</v>
      </c>
      <c r="G106" s="2" t="n">
        <v>13</v>
      </c>
      <c r="H106" s="2" t="n">
        <v>14</v>
      </c>
      <c r="I106" s="2" t="n">
        <v>10</v>
      </c>
      <c r="J106" s="5">
        <f>SUM(F106:I106)</f>
        <v/>
      </c>
      <c r="K106" s="4" t="inlineStr">
        <is>
          <t>法面記号を自動作図</t>
        </is>
      </c>
      <c r="L106" s="3" t="inlineStr"/>
      <c r="M106" s="3" t="inlineStr">
        <is>
          <t>draftsperson.net</t>
        </is>
      </c>
      <c r="N106" s="6" t="inlineStr">
        <is>
          <t>開く</t>
        </is>
      </c>
    </row>
    <row r="107">
      <c r="A107" s="2">
        <f>RANK(J107,$J$2:$J$697)</f>
        <v/>
      </c>
      <c r="B107" s="3" t="inlineStr">
        <is>
          <t>座標・測量・土木</t>
        </is>
      </c>
      <c r="C107" s="3" t="inlineStr">
        <is>
          <t>TPOPCONTLABEL</t>
        </is>
      </c>
      <c r="D107" s="4" t="inlineStr">
        <is>
          <t>TOPOPROCESS.LSP</t>
        </is>
      </c>
      <c r="E107" s="4" t="inlineStr">
        <is>
          <t>等高線に標高ラベル記入</t>
        </is>
      </c>
      <c r="F107" s="2" t="n">
        <v>19</v>
      </c>
      <c r="G107" s="2" t="n">
        <v>12</v>
      </c>
      <c r="H107" s="2" t="n">
        <v>14</v>
      </c>
      <c r="I107" s="2" t="n">
        <v>9</v>
      </c>
      <c r="J107" s="5">
        <f>SUM(F107:I107)</f>
        <v/>
      </c>
      <c r="K107" s="4" t="inlineStr">
        <is>
          <t>等高線ラベル記入</t>
        </is>
      </c>
      <c r="L107" s="3" t="inlineStr">
        <is>
          <t>Giles Darling</t>
        </is>
      </c>
      <c r="M107" s="3" t="inlineStr">
        <is>
          <t>gilesdarling.me.uk</t>
        </is>
      </c>
      <c r="N107" s="6" t="inlineStr">
        <is>
          <t>開く</t>
        </is>
      </c>
    </row>
    <row r="108">
      <c r="A108" s="2">
        <f>RANK(J108,$J$2:$J$697)</f>
        <v/>
      </c>
      <c r="B108" s="3" t="inlineStr">
        <is>
          <t>印刷・レイアウト・図枠</t>
        </is>
      </c>
      <c r="C108" s="3" t="inlineStr">
        <is>
          <t>VPO / VPOL / VPOA</t>
        </is>
      </c>
      <c r="D108" s="4" t="inlineStr">
        <is>
          <t>Viewport Outline</t>
        </is>
      </c>
      <c r="E108" s="4" t="inlineStr">
        <is>
          <t>ビューポート外形をモデルに作図</t>
        </is>
      </c>
      <c r="F108" s="2" t="n">
        <v>14</v>
      </c>
      <c r="G108" s="2" t="n">
        <v>14</v>
      </c>
      <c r="H108" s="2" t="n">
        <v>11</v>
      </c>
      <c r="I108" s="2" t="n">
        <v>15</v>
      </c>
      <c r="J108" s="5">
        <f>SUM(F108:I108)</f>
        <v/>
      </c>
      <c r="K108" s="4" t="inlineStr">
        <is>
          <t>VP外形をモデルに作図</t>
        </is>
      </c>
      <c r="L108" s="3" t="inlineStr">
        <is>
          <t>Lee Mac</t>
        </is>
      </c>
      <c r="M108" s="3" t="inlineStr">
        <is>
          <t>Lee Mac Programming</t>
        </is>
      </c>
      <c r="N108" s="6" t="inlineStr">
        <is>
          <t>開く</t>
        </is>
      </c>
    </row>
    <row r="109">
      <c r="A109" s="2">
        <f>RANK(J109,$J$2:$J$697)</f>
        <v/>
      </c>
      <c r="B109" s="3" t="inlineStr">
        <is>
          <t>画層</t>
        </is>
      </c>
      <c r="C109" s="3" t="inlineStr">
        <is>
          <t>SaveVPlayers / LoadVPlayers / CopyVPlayers</t>
        </is>
      </c>
      <c r="D109" s="4" t="inlineStr">
        <is>
          <t>VPlayers.lsp</t>
        </is>
      </c>
      <c r="E109" s="4" t="inlineStr">
        <is>
          <t>VP凍結画層を保存・復元</t>
        </is>
      </c>
      <c r="F109" s="2" t="n">
        <v>16</v>
      </c>
      <c r="G109" s="2" t="n">
        <v>12</v>
      </c>
      <c r="H109" s="2" t="n">
        <v>12</v>
      </c>
      <c r="I109" s="2" t="n">
        <v>14</v>
      </c>
      <c r="J109" s="5">
        <f>SUM(F109:I109)</f>
        <v/>
      </c>
      <c r="K109" s="4" t="inlineStr">
        <is>
          <t>VP凍結画層の保存・復元</t>
        </is>
      </c>
      <c r="L109" s="3" t="inlineStr">
        <is>
          <t>JTB World (Jimmy Bergmark)</t>
        </is>
      </c>
      <c r="M109" s="3" t="inlineStr">
        <is>
          <t>JTB World</t>
        </is>
      </c>
      <c r="N109" s="6" t="inlineStr">
        <is>
          <t>開く</t>
        </is>
      </c>
    </row>
    <row r="110">
      <c r="A110" s="2">
        <f>RANK(J110,$J$2:$J$697)</f>
        <v/>
      </c>
      <c r="B110" s="3" t="inlineStr">
        <is>
          <t>ブロック・属性</t>
        </is>
      </c>
      <c r="C110" s="3" t="inlineStr">
        <is>
          <t>-</t>
        </is>
      </c>
      <c r="D110" s="4" t="inlineStr">
        <is>
          <t>WBLOCK All Blocks (wblkall.zip)</t>
        </is>
      </c>
      <c r="E110" s="4" t="inlineStr">
        <is>
          <t>全ブロックをWBLOCK書き出し</t>
        </is>
      </c>
      <c r="F110" s="2" t="n">
        <v>16</v>
      </c>
      <c r="G110" s="2" t="n">
        <v>10</v>
      </c>
      <c r="H110" s="2" t="n">
        <v>15</v>
      </c>
      <c r="I110" s="2" t="n">
        <v>13</v>
      </c>
      <c r="J110" s="5">
        <f>SUM(F110:I110)</f>
        <v/>
      </c>
      <c r="K110" s="4" t="inlineStr">
        <is>
          <t>全ブロック一括WBLOCK</t>
        </is>
      </c>
      <c r="L110" s="3" t="inlineStr"/>
      <c r="M110" s="3" t="inlineStr">
        <is>
          <t>draftsperson.net</t>
        </is>
      </c>
      <c r="N110" s="6" t="inlineStr">
        <is>
          <t>開く</t>
        </is>
      </c>
    </row>
    <row r="111">
      <c r="A111" s="2">
        <f>RANK(J111,$J$2:$J$697)</f>
        <v/>
      </c>
      <c r="B111" s="3" t="inlineStr">
        <is>
          <t>ブロック・属性</t>
        </is>
      </c>
      <c r="C111" s="3" t="inlineStr">
        <is>
          <t>addtoblock</t>
        </is>
      </c>
      <c r="D111" s="4" t="inlineStr">
        <is>
          <t>Add Objects to Block</t>
        </is>
      </c>
      <c r="E111" s="4" t="inlineStr">
        <is>
          <t>既存ブロック定義に図形を追加</t>
        </is>
      </c>
      <c r="F111" s="2" t="n">
        <v>11</v>
      </c>
      <c r="G111" s="2" t="n">
        <v>12</v>
      </c>
      <c r="H111" s="2" t="n">
        <v>13</v>
      </c>
      <c r="I111" s="2" t="n">
        <v>17</v>
      </c>
      <c r="J111" s="5">
        <f>SUM(F111:I111)</f>
        <v/>
      </c>
      <c r="K111" s="4" t="inlineStr">
        <is>
          <t>REFEDITで代替可</t>
        </is>
      </c>
      <c r="L111" s="3" t="inlineStr">
        <is>
          <t>Lee Mac</t>
        </is>
      </c>
      <c r="M111" s="3" t="inlineStr">
        <is>
          <t>Lee Mac Programming</t>
        </is>
      </c>
      <c r="N111" s="6" t="inlineStr">
        <is>
          <t>開く</t>
        </is>
      </c>
    </row>
    <row r="112">
      <c r="A112" s="2">
        <f>RANK(J112,$J$2:$J$697)</f>
        <v/>
      </c>
      <c r="B112" s="3" t="inlineStr">
        <is>
          <t>表・Excel連携</t>
        </is>
      </c>
      <c r="C112" s="3" t="inlineStr">
        <is>
          <t>CAD2FILE</t>
        </is>
      </c>
      <c r="D112" s="4" t="inlineStr">
        <is>
          <t>CAD2FILE</t>
        </is>
      </c>
      <c r="E112" s="4" t="inlineStr">
        <is>
          <t>図形データをExcel・CSV出力</t>
        </is>
      </c>
      <c r="F112" s="2" t="n">
        <v>14</v>
      </c>
      <c r="G112" s="2" t="n">
        <v>10</v>
      </c>
      <c r="H112" s="2" t="n">
        <v>14</v>
      </c>
      <c r="I112" s="2" t="n">
        <v>15</v>
      </c>
      <c r="J112" s="5">
        <f>SUM(F112:I112)</f>
        <v/>
      </c>
      <c r="K112" s="4" t="inlineStr">
        <is>
          <t>図形データを表計算へ出力</t>
        </is>
      </c>
      <c r="L112" s="3" t="inlineStr">
        <is>
          <t>Jeffery P. Sanders</t>
        </is>
      </c>
      <c r="M112" s="3" t="inlineStr">
        <is>
          <t>JefferyPSanders.com</t>
        </is>
      </c>
      <c r="N112" s="6" t="inlineStr">
        <is>
          <t>開く</t>
        </is>
      </c>
    </row>
    <row r="113">
      <c r="A113" s="2">
        <f>RANK(J113,$J$2:$J$697)</f>
        <v/>
      </c>
      <c r="B113" s="3" t="inlineStr">
        <is>
          <t>文字・テキスト</t>
        </is>
      </c>
      <c r="C113" s="3" t="inlineStr">
        <is>
          <t>ctx / stx</t>
        </is>
      </c>
      <c r="D113" s="4" t="inlineStr">
        <is>
          <t>Copy or Swap Text</t>
        </is>
      </c>
      <c r="E113" s="4" t="inlineStr">
        <is>
          <t>文字内容のコピー・入替え</t>
        </is>
      </c>
      <c r="F113" s="2" t="n">
        <v>12</v>
      </c>
      <c r="G113" s="2" t="n">
        <v>9</v>
      </c>
      <c r="H113" s="2" t="n">
        <v>12</v>
      </c>
      <c r="I113" s="2" t="n">
        <v>20</v>
      </c>
      <c r="J113" s="5">
        <f>SUM(F113:I113)</f>
        <v/>
      </c>
      <c r="K113" s="4" t="inlineStr">
        <is>
          <t>内容コピー入替え、標準にない</t>
        </is>
      </c>
      <c r="L113" s="3" t="inlineStr">
        <is>
          <t>Lee Mac</t>
        </is>
      </c>
      <c r="M113" s="3" t="inlineStr">
        <is>
          <t>Lee Mac Programming</t>
        </is>
      </c>
      <c r="N113" s="6" t="inlineStr">
        <is>
          <t>開く</t>
        </is>
      </c>
    </row>
    <row r="114">
      <c r="A114" s="2">
        <f>RANK(J114,$J$2:$J$697)</f>
        <v/>
      </c>
      <c r="B114" s="3" t="inlineStr">
        <is>
          <t>ブロック・属性</t>
        </is>
      </c>
      <c r="C114" s="3" t="inlineStr">
        <is>
          <t>cav</t>
        </is>
      </c>
      <c r="D114" s="4" t="inlineStr">
        <is>
          <t>Count Attribute Values</t>
        </is>
      </c>
      <c r="E114" s="4" t="inlineStr">
        <is>
          <t>属性値の出現数を集計</t>
        </is>
      </c>
      <c r="F114" s="2" t="n">
        <v>12</v>
      </c>
      <c r="G114" s="2" t="n">
        <v>12</v>
      </c>
      <c r="H114" s="2" t="n">
        <v>15</v>
      </c>
      <c r="I114" s="2" t="n">
        <v>14</v>
      </c>
      <c r="J114" s="5">
        <f>SUM(F114:I114)</f>
        <v/>
      </c>
      <c r="K114" s="4" t="inlineStr">
        <is>
          <t>属性値別の集計</t>
        </is>
      </c>
      <c r="L114" s="3" t="inlineStr">
        <is>
          <t>Lee Mac</t>
        </is>
      </c>
      <c r="M114" s="3" t="inlineStr">
        <is>
          <t>Lee Mac Programming</t>
        </is>
      </c>
      <c r="N114" s="6" t="inlineStr">
        <is>
          <t>開く</t>
        </is>
      </c>
    </row>
    <row r="115">
      <c r="A115" s="2">
        <f>RANK(J115,$J$2:$J$697)</f>
        <v/>
      </c>
      <c r="B115" s="3" t="inlineStr">
        <is>
          <t>文字・テキスト</t>
        </is>
      </c>
      <c r="C115" s="3" t="inlineStr">
        <is>
          <t>fieldobjects</t>
        </is>
      </c>
      <c r="D115" s="4" t="inlineStr">
        <is>
          <t>Field Objects</t>
        </is>
      </c>
      <c r="E115" s="4" t="inlineStr">
        <is>
          <t>フィールド参照先の図形を表示</t>
        </is>
      </c>
      <c r="F115" s="2" t="n">
        <v>20</v>
      </c>
      <c r="G115" s="2" t="n">
        <v>16</v>
      </c>
      <c r="H115" s="2" t="n">
        <v>7</v>
      </c>
      <c r="I115" s="2" t="n">
        <v>10</v>
      </c>
      <c r="J115" s="5">
        <f>SUM(F115:I115)</f>
        <v/>
      </c>
      <c r="K115" s="4" t="inlineStr">
        <is>
          <t>フィールド参照先表示は独自</t>
        </is>
      </c>
      <c r="L115" s="3" t="inlineStr">
        <is>
          <t>Lee Mac</t>
        </is>
      </c>
      <c r="M115" s="3" t="inlineStr">
        <is>
          <t>Lee Mac Programming</t>
        </is>
      </c>
      <c r="N115" s="6" t="inlineStr">
        <is>
          <t>開く</t>
        </is>
      </c>
    </row>
    <row r="116">
      <c r="A116" s="2">
        <f>RANK(J116,$J$2:$J$697)</f>
        <v/>
      </c>
      <c r="B116" s="3" t="inlineStr">
        <is>
          <t>印刷・レイアウト・図枠</t>
        </is>
      </c>
      <c r="C116" s="3" t="inlineStr">
        <is>
          <t>LAYREN</t>
        </is>
      </c>
      <c r="D116" s="4" t="inlineStr">
        <is>
          <t>LayoutRename.lsp</t>
        </is>
      </c>
      <c r="E116" s="4" t="inlineStr">
        <is>
          <t>レイアウト名を一括変更</t>
        </is>
      </c>
      <c r="F116" s="2" t="n">
        <v>14</v>
      </c>
      <c r="G116" s="2" t="n">
        <v>9</v>
      </c>
      <c r="H116" s="2" t="n">
        <v>13</v>
      </c>
      <c r="I116" s="2" t="n">
        <v>17</v>
      </c>
      <c r="J116" s="5">
        <f>SUM(F116:I116)</f>
        <v/>
      </c>
      <c r="K116" s="4" t="inlineStr">
        <is>
          <t>レイアウト名の一括変更</t>
        </is>
      </c>
      <c r="L116" s="3" t="inlineStr">
        <is>
          <t>CADAuthority</t>
        </is>
      </c>
      <c r="M116" s="3" t="inlineStr">
        <is>
          <t>CAD Authority</t>
        </is>
      </c>
      <c r="N116" s="6" t="inlineStr">
        <is>
          <t>開く</t>
        </is>
      </c>
    </row>
    <row r="117">
      <c r="A117" s="2">
        <f>RANK(J117,$J$2:$J$697)</f>
        <v/>
      </c>
      <c r="B117" s="3" t="inlineStr">
        <is>
          <t>ハッチ・面積・長さ集計</t>
        </is>
      </c>
      <c r="C117" s="3" t="inlineStr">
        <is>
          <t>LTXT</t>
        </is>
      </c>
      <c r="D117" s="4" t="inlineStr">
        <is>
          <t>LengthText.lsp</t>
        </is>
      </c>
      <c r="E117" s="4" t="inlineStr">
        <is>
          <t>図形の長さを文字記入</t>
        </is>
      </c>
      <c r="F117" s="2" t="n">
        <v>13</v>
      </c>
      <c r="G117" s="2" t="n">
        <v>9</v>
      </c>
      <c r="H117" s="2" t="n">
        <v>15</v>
      </c>
      <c r="I117" s="2" t="n">
        <v>16</v>
      </c>
      <c r="J117" s="5">
        <f>SUM(F117:I117)</f>
        <v/>
      </c>
      <c r="K117" s="4" t="inlineStr">
        <is>
          <t>長さを文字記入、フィールド代替</t>
        </is>
      </c>
      <c r="L117" s="3" t="inlineStr">
        <is>
          <t>JTB World (Jimmy Bergmark)</t>
        </is>
      </c>
      <c r="M117" s="3" t="inlineStr">
        <is>
          <t>JTB World</t>
        </is>
      </c>
      <c r="N117" s="6" t="inlineStr">
        <is>
          <t>開く</t>
        </is>
      </c>
    </row>
    <row r="118">
      <c r="A118" s="2">
        <f>RANK(J118,$J$2:$J$697)</f>
        <v/>
      </c>
      <c r="B118" s="3" t="inlineStr">
        <is>
          <t>座標・測量・土木</t>
        </is>
      </c>
      <c r="C118" s="3" t="inlineStr">
        <is>
          <t>PtManager / PtM</t>
        </is>
      </c>
      <c r="D118" s="4" t="inlineStr">
        <is>
          <t>Point Manager</t>
        </is>
      </c>
      <c r="E118" s="4" t="inlineStr">
        <is>
          <t>点座標の読込み・書出し</t>
        </is>
      </c>
      <c r="F118" s="2" t="n">
        <v>15</v>
      </c>
      <c r="G118" s="2" t="n">
        <v>10</v>
      </c>
      <c r="H118" s="2" t="n">
        <v>16</v>
      </c>
      <c r="I118" s="2" t="n">
        <v>12</v>
      </c>
      <c r="J118" s="5">
        <f>SUM(F118:I118)</f>
        <v/>
      </c>
      <c r="K118" s="4" t="inlineStr">
        <is>
          <t>点座標の読込み書出し</t>
        </is>
      </c>
      <c r="L118" s="3" t="inlineStr">
        <is>
          <t>Lee Mac</t>
        </is>
      </c>
      <c r="M118" s="3" t="inlineStr">
        <is>
          <t>Lee Mac Programming</t>
        </is>
      </c>
      <c r="N118" s="6" t="inlineStr">
        <is>
          <t>開く</t>
        </is>
      </c>
    </row>
    <row r="119">
      <c r="A119" s="2">
        <f>RANK(J119,$J$2:$J$697)</f>
        <v/>
      </c>
      <c r="B119" s="3" t="inlineStr">
        <is>
          <t>寸法</t>
        </is>
      </c>
      <c r="C119" s="3" t="inlineStr">
        <is>
          <t>-</t>
        </is>
      </c>
      <c r="D119" s="4" t="inlineStr">
        <is>
          <t>Polyline Cumulative Distances (pdistr13.lsp)</t>
        </is>
      </c>
      <c r="E119" s="4" t="inlineStr">
        <is>
          <t>ポリライン頂点に累積距離表示</t>
        </is>
      </c>
      <c r="F119" s="2" t="n">
        <v>17</v>
      </c>
      <c r="G119" s="2" t="n">
        <v>12</v>
      </c>
      <c r="H119" s="2" t="n">
        <v>14</v>
      </c>
      <c r="I119" s="2" t="n">
        <v>10</v>
      </c>
      <c r="J119" s="5">
        <f>SUM(F119:I119)</f>
        <v/>
      </c>
      <c r="K119" s="4" t="inlineStr">
        <is>
          <t>累積距離表示、測量向け</t>
        </is>
      </c>
      <c r="L119" s="3" t="inlineStr"/>
      <c r="M119" s="3" t="inlineStr">
        <is>
          <t>draftsperson.net</t>
        </is>
      </c>
      <c r="N119" s="6" t="inlineStr">
        <is>
          <t>開く</t>
        </is>
      </c>
    </row>
    <row r="120">
      <c r="A120" s="2">
        <f>RANK(J120,$J$2:$J$697)</f>
        <v/>
      </c>
      <c r="B120" s="3" t="inlineStr">
        <is>
          <t>文字・テキスト</t>
        </is>
      </c>
      <c r="C120" s="3" t="inlineStr">
        <is>
          <t>PRETX</t>
        </is>
      </c>
      <c r="D120" s="4" t="inlineStr">
        <is>
          <t>PreTx</t>
        </is>
      </c>
      <c r="E120" s="4" t="inlineStr">
        <is>
          <t>文字に接頭辞を付加</t>
        </is>
      </c>
      <c r="F120" s="2" t="n">
        <v>13</v>
      </c>
      <c r="G120" s="2" t="n">
        <v>7</v>
      </c>
      <c r="H120" s="2" t="n">
        <v>13</v>
      </c>
      <c r="I120" s="2" t="n">
        <v>20</v>
      </c>
      <c r="J120" s="5">
        <f>SUM(F120:I120)</f>
        <v/>
      </c>
      <c r="K120" s="4" t="inlineStr">
        <is>
          <t>接頭辞一括付加は標準困難</t>
        </is>
      </c>
      <c r="L120" s="3" t="inlineStr">
        <is>
          <t>Jeffery P. Sanders</t>
        </is>
      </c>
      <c r="M120" s="3" t="inlineStr">
        <is>
          <t>JefferyPSanders.com</t>
        </is>
      </c>
      <c r="N120" s="6" t="inlineStr">
        <is>
          <t>開く</t>
        </is>
      </c>
    </row>
    <row r="121">
      <c r="A121" s="2">
        <f>RANK(J121,$J$2:$J$697)</f>
        <v/>
      </c>
      <c r="B121" s="3" t="inlineStr">
        <is>
          <t>文字・テキスト</t>
        </is>
      </c>
      <c r="C121" s="3" t="inlineStr">
        <is>
          <t>TM</t>
        </is>
      </c>
      <c r="D121" s="4" t="inlineStr">
        <is>
          <t>TM</t>
        </is>
      </c>
      <c r="E121" s="4" t="inlineStr">
        <is>
          <t>文字・属性・寸法値をコピー一致</t>
        </is>
      </c>
      <c r="F121" s="2" t="n">
        <v>10</v>
      </c>
      <c r="G121" s="2" t="n">
        <v>9</v>
      </c>
      <c r="H121" s="2" t="n">
        <v>12</v>
      </c>
      <c r="I121" s="2" t="n">
        <v>22</v>
      </c>
      <c r="J121" s="5">
        <f>SUM(F121:I121)</f>
        <v/>
      </c>
      <c r="K121" s="4" t="inlineStr">
        <is>
          <t>標準MATCHPROPは内容不可、便利</t>
        </is>
      </c>
      <c r="L121" s="3" t="inlineStr">
        <is>
          <t>Terry Miller</t>
        </is>
      </c>
      <c r="M121" s="3" t="inlineStr">
        <is>
          <t>AutoLISP Exchange</t>
        </is>
      </c>
      <c r="N121" s="6" t="inlineStr">
        <is>
          <t>開く</t>
        </is>
      </c>
    </row>
    <row r="122">
      <c r="A122" s="2">
        <f>RANK(J122,$J$2:$J$697)</f>
        <v/>
      </c>
      <c r="B122" s="3" t="inlineStr">
        <is>
          <t>座標・測量・土木</t>
        </is>
      </c>
      <c r="C122" s="3" t="inlineStr">
        <is>
          <t>TPOPSOLID</t>
        </is>
      </c>
      <c r="D122" s="4" t="inlineStr">
        <is>
          <t>TOPOPROCESS.LSP</t>
        </is>
      </c>
      <c r="E122" s="4" t="inlineStr">
        <is>
          <t>三角網から段彩SOLID作成</t>
        </is>
      </c>
      <c r="F122" s="2" t="n">
        <v>20</v>
      </c>
      <c r="G122" s="2" t="n">
        <v>16</v>
      </c>
      <c r="H122" s="2" t="n">
        <v>10</v>
      </c>
      <c r="I122" s="2" t="n">
        <v>7</v>
      </c>
      <c r="J122" s="5">
        <f>SUM(F122:I122)</f>
        <v/>
      </c>
      <c r="K122" s="4" t="inlineStr">
        <is>
          <t>段彩SOLID作成</t>
        </is>
      </c>
      <c r="L122" s="3" t="inlineStr">
        <is>
          <t>Giles Darling</t>
        </is>
      </c>
      <c r="M122" s="3" t="inlineStr">
        <is>
          <t>gilesdarling.me.uk</t>
        </is>
      </c>
      <c r="N122" s="6" t="inlineStr">
        <is>
          <t>開く</t>
        </is>
      </c>
    </row>
    <row r="123">
      <c r="A123" s="2">
        <f>RANK(J123,$J$2:$J$697)</f>
        <v/>
      </c>
      <c r="B123" s="3" t="inlineStr">
        <is>
          <t>座標・測量・土木</t>
        </is>
      </c>
      <c r="C123" s="3" t="inlineStr">
        <is>
          <t>CHOFFSETS</t>
        </is>
      </c>
      <c r="D123" s="4" t="inlineStr">
        <is>
          <t>CHAINAGE.LSP</t>
        </is>
      </c>
      <c r="E123" s="4" t="inlineStr">
        <is>
          <t>複数点の測点・オフセット取得</t>
        </is>
      </c>
      <c r="F123" s="2" t="n">
        <v>18</v>
      </c>
      <c r="G123" s="2" t="n">
        <v>11</v>
      </c>
      <c r="H123" s="2" t="n">
        <v>14</v>
      </c>
      <c r="I123" s="2" t="n">
        <v>9</v>
      </c>
      <c r="J123" s="5">
        <f>SUM(F123:I123)</f>
        <v/>
      </c>
      <c r="K123" s="4" t="inlineStr">
        <is>
          <t>複数点の測点・オフセット</t>
        </is>
      </c>
      <c r="L123" s="3" t="inlineStr">
        <is>
          <t>Giles Darling</t>
        </is>
      </c>
      <c r="M123" s="3" t="inlineStr">
        <is>
          <t>gilesdarling.me.uk</t>
        </is>
      </c>
      <c r="N123" s="6" t="inlineStr">
        <is>
          <t>開く</t>
        </is>
      </c>
    </row>
    <row r="124">
      <c r="A124" s="2">
        <f>RANK(J124,$J$2:$J$697)</f>
        <v/>
      </c>
      <c r="B124" s="3" t="inlineStr">
        <is>
          <t>画層</t>
        </is>
      </c>
      <c r="C124" s="3" t="inlineStr">
        <is>
          <t>CLAY</t>
        </is>
      </c>
      <c r="D124" s="4" t="inlineStr">
        <is>
          <t>CLAY</t>
        </is>
      </c>
      <c r="E124" s="4" t="inlineStr">
        <is>
          <t>マスタリストから画層作成</t>
        </is>
      </c>
      <c r="F124" s="2" t="n">
        <v>12</v>
      </c>
      <c r="G124" s="2" t="n">
        <v>8</v>
      </c>
      <c r="H124" s="2" t="n">
        <v>14</v>
      </c>
      <c r="I124" s="2" t="n">
        <v>18</v>
      </c>
      <c r="J124" s="5">
        <f>SUM(F124:I124)</f>
        <v/>
      </c>
      <c r="K124" s="4" t="inlineStr">
        <is>
          <t>マスタから画層作成、標準化</t>
        </is>
      </c>
      <c r="L124" s="3" t="inlineStr">
        <is>
          <t>Jeffery P. Sanders</t>
        </is>
      </c>
      <c r="M124" s="3" t="inlineStr">
        <is>
          <t>JefferyPSanders.com</t>
        </is>
      </c>
      <c r="N124" s="6" t="inlineStr">
        <is>
          <t>開く</t>
        </is>
      </c>
    </row>
    <row r="125">
      <c r="A125" s="2">
        <f>RANK(J125,$J$2:$J$697)</f>
        <v/>
      </c>
      <c r="B125" s="3" t="inlineStr">
        <is>
          <t>表示・UCS・ビュー</t>
        </is>
      </c>
      <c r="C125" s="3" t="inlineStr">
        <is>
          <t>cr</t>
        </is>
      </c>
      <c r="D125" s="4" t="inlineStr">
        <is>
          <t>Cursor Rotate</t>
        </is>
      </c>
      <c r="E125" s="4" t="inlineStr">
        <is>
          <t>カーソル角度を図形に合わせる</t>
        </is>
      </c>
      <c r="F125" s="2" t="n">
        <v>14</v>
      </c>
      <c r="G125" s="2" t="n">
        <v>14</v>
      </c>
      <c r="H125" s="2" t="n">
        <v>9</v>
      </c>
      <c r="I125" s="2" t="n">
        <v>15</v>
      </c>
      <c r="J125" s="5">
        <f>SUM(F125:I125)</f>
        <v/>
      </c>
      <c r="K125" s="4" t="inlineStr">
        <is>
          <t>カーソル角度を図形に合わせ</t>
        </is>
      </c>
      <c r="L125" s="3" t="inlineStr">
        <is>
          <t>Lee Mac</t>
        </is>
      </c>
      <c r="M125" s="3" t="inlineStr">
        <is>
          <t>Lee Mac Programming</t>
        </is>
      </c>
      <c r="N125" s="6" t="inlineStr">
        <is>
          <t>開く</t>
        </is>
      </c>
    </row>
    <row r="126">
      <c r="A126" s="2">
        <f>RANK(J126,$J$2:$J$697)</f>
        <v/>
      </c>
      <c r="B126" s="3" t="inlineStr">
        <is>
          <t>寸法</t>
        </is>
      </c>
      <c r="C126" s="3" t="inlineStr">
        <is>
          <t>DimStyles / DS</t>
        </is>
      </c>
      <c r="D126" s="4" t="inlineStr">
        <is>
          <t>DimStyles</t>
        </is>
      </c>
      <c r="E126" s="4" t="inlineStr">
        <is>
          <t>尺度別寸法スタイル作成</t>
        </is>
      </c>
      <c r="F126" s="2" t="n">
        <v>12</v>
      </c>
      <c r="G126" s="2" t="n">
        <v>10</v>
      </c>
      <c r="H126" s="2" t="n">
        <v>12</v>
      </c>
      <c r="I126" s="2" t="n">
        <v>18</v>
      </c>
      <c r="J126" s="5">
        <f>SUM(F126:I126)</f>
        <v/>
      </c>
      <c r="K126" s="4" t="inlineStr">
        <is>
          <t>尺度別スタイル作成、注釈で一部</t>
        </is>
      </c>
      <c r="L126" s="3" t="inlineStr">
        <is>
          <t>Terry Miller</t>
        </is>
      </c>
      <c r="M126" s="3" t="inlineStr">
        <is>
          <t>AutoLISP Exchange</t>
        </is>
      </c>
      <c r="N126" s="6" t="inlineStr">
        <is>
          <t>開く</t>
        </is>
      </c>
    </row>
    <row r="127">
      <c r="A127" s="2">
        <f>RANK(J127,$J$2:$J$697)</f>
        <v/>
      </c>
      <c r="B127" s="3" t="inlineStr">
        <is>
          <t>ブロック・属性</t>
        </is>
      </c>
      <c r="C127" s="3" t="inlineStr">
        <is>
          <t>attw</t>
        </is>
      </c>
      <c r="D127" s="4" t="inlineStr">
        <is>
          <t>Dynamic Attribute Width</t>
        </is>
      </c>
      <c r="E127" s="4" t="inlineStr">
        <is>
          <t>属性の幅を動的に調整</t>
        </is>
      </c>
      <c r="F127" s="2" t="n">
        <v>16</v>
      </c>
      <c r="G127" s="2" t="n">
        <v>16</v>
      </c>
      <c r="H127" s="2" t="n">
        <v>9</v>
      </c>
      <c r="I127" s="2" t="n">
        <v>11</v>
      </c>
      <c r="J127" s="5">
        <f>SUM(F127:I127)</f>
        <v/>
      </c>
      <c r="K127" s="4" t="inlineStr">
        <is>
          <t>属性幅の動的調整</t>
        </is>
      </c>
      <c r="L127" s="3" t="inlineStr">
        <is>
          <t>Lee Mac</t>
        </is>
      </c>
      <c r="M127" s="3" t="inlineStr">
        <is>
          <t>Lee Mac Programming</t>
        </is>
      </c>
      <c r="N127" s="6" t="inlineStr">
        <is>
          <t>開く</t>
        </is>
      </c>
    </row>
    <row r="128">
      <c r="A128" s="2">
        <f>RANK(J128,$J$2:$J$697)</f>
        <v/>
      </c>
      <c r="B128" s="3" t="inlineStr">
        <is>
          <t>その他</t>
        </is>
      </c>
      <c r="C128" s="3" t="inlineStr">
        <is>
          <t>DInfo</t>
        </is>
      </c>
      <c r="D128" s="4" t="inlineStr">
        <is>
          <t>Dynamic Information Tool</t>
        </is>
      </c>
      <c r="E128" s="4" t="inlineStr">
        <is>
          <t>カーソル下図形情報を表示</t>
        </is>
      </c>
      <c r="F128" s="2" t="n">
        <v>13</v>
      </c>
      <c r="G128" s="2" t="n">
        <v>16</v>
      </c>
      <c r="H128" s="2" t="n">
        <v>9</v>
      </c>
      <c r="I128" s="2" t="n">
        <v>14</v>
      </c>
      <c r="J128" s="5">
        <f>SUM(F128:I128)</f>
        <v/>
      </c>
      <c r="K128" s="4" t="inlineStr">
        <is>
          <t>カーソル下情報を即表示</t>
        </is>
      </c>
      <c r="L128" s="3" t="inlineStr">
        <is>
          <t>Lee Mac</t>
        </is>
      </c>
      <c r="M128" s="3" t="inlineStr">
        <is>
          <t>Lee Mac Programming</t>
        </is>
      </c>
      <c r="N128" s="6" t="inlineStr">
        <is>
          <t>開く</t>
        </is>
      </c>
    </row>
    <row r="129">
      <c r="A129" s="2">
        <f>RANK(J129,$J$2:$J$697)</f>
        <v/>
      </c>
      <c r="B129" s="3" t="inlineStr">
        <is>
          <t>画層</t>
        </is>
      </c>
      <c r="C129" s="3" t="inlineStr">
        <is>
          <t>LayerExtract</t>
        </is>
      </c>
      <c r="D129" s="4" t="inlineStr">
        <is>
          <t>Layer Extractor</t>
        </is>
      </c>
      <c r="E129" s="4" t="inlineStr">
        <is>
          <t>画層ごとに別図面へ書出し</t>
        </is>
      </c>
      <c r="F129" s="2" t="n">
        <v>15</v>
      </c>
      <c r="G129" s="2" t="n">
        <v>10</v>
      </c>
      <c r="H129" s="2" t="n">
        <v>13</v>
      </c>
      <c r="I129" s="2" t="n">
        <v>14</v>
      </c>
      <c r="J129" s="5">
        <f>SUM(F129:I129)</f>
        <v/>
      </c>
      <c r="K129" s="4" t="inlineStr">
        <is>
          <t>画層別書出し、WBLOCK手間</t>
        </is>
      </c>
      <c r="L129" s="3" t="inlineStr">
        <is>
          <t>Lee Mac</t>
        </is>
      </c>
      <c r="M129" s="3" t="inlineStr">
        <is>
          <t>Lee Mac Programming</t>
        </is>
      </c>
      <c r="N129" s="6" t="inlineStr">
        <is>
          <t>開く</t>
        </is>
      </c>
    </row>
    <row r="130">
      <c r="A130" s="2">
        <f>RANK(J130,$J$2:$J$697)</f>
        <v/>
      </c>
      <c r="B130" s="3" t="inlineStr">
        <is>
          <t>ハッチ・面積・長さ集計</t>
        </is>
      </c>
      <c r="C130" s="3" t="inlineStr">
        <is>
          <t>midlen</t>
        </is>
      </c>
      <c r="D130" s="4" t="inlineStr">
        <is>
          <t>Length at Midpoint</t>
        </is>
      </c>
      <c r="E130" s="4" t="inlineStr">
        <is>
          <t>曲線中点に長さを記入</t>
        </is>
      </c>
      <c r="F130" s="2" t="n">
        <v>15</v>
      </c>
      <c r="G130" s="2" t="n">
        <v>11</v>
      </c>
      <c r="H130" s="2" t="n">
        <v>12</v>
      </c>
      <c r="I130" s="2" t="n">
        <v>14</v>
      </c>
      <c r="J130" s="5">
        <f>SUM(F130:I130)</f>
        <v/>
      </c>
      <c r="K130" s="4" t="inlineStr">
        <is>
          <t>曲線中点に長さ記入</t>
        </is>
      </c>
      <c r="L130" s="3" t="inlineStr">
        <is>
          <t>Lee Mac</t>
        </is>
      </c>
      <c r="M130" s="3" t="inlineStr">
        <is>
          <t>Lee Mac Programming</t>
        </is>
      </c>
      <c r="N130" s="6" t="inlineStr">
        <is>
          <t>開く</t>
        </is>
      </c>
    </row>
    <row r="131">
      <c r="A131" s="2">
        <f>RANK(J131,$J$2:$J$697)</f>
        <v/>
      </c>
      <c r="B131" s="3" t="inlineStr">
        <is>
          <t>文字・テキスト</t>
        </is>
      </c>
      <c r="C131" s="3" t="inlineStr">
        <is>
          <t>MTCLEAN</t>
        </is>
      </c>
      <c r="D131" s="4" t="inlineStr">
        <is>
          <t>MTextClean.lsp</t>
        </is>
      </c>
      <c r="E131" s="4" t="inlineStr">
        <is>
          <t>MTEXTの書式上書きを除去</t>
        </is>
      </c>
      <c r="F131" s="2" t="n">
        <v>12</v>
      </c>
      <c r="G131" s="2" t="n">
        <v>10</v>
      </c>
      <c r="H131" s="2" t="n">
        <v>12</v>
      </c>
      <c r="I131" s="2" t="n">
        <v>18</v>
      </c>
      <c r="J131" s="5">
        <f>SUM(F131:I131)</f>
        <v/>
      </c>
      <c r="K131" s="4" t="inlineStr">
        <is>
          <t>書式除去、標準は手作業</t>
        </is>
      </c>
      <c r="L131" s="3" t="inlineStr">
        <is>
          <t>CADAuthority</t>
        </is>
      </c>
      <c r="M131" s="3" t="inlineStr">
        <is>
          <t>CAD Authority</t>
        </is>
      </c>
      <c r="N131" s="6" t="inlineStr">
        <is>
          <t>開く</t>
        </is>
      </c>
    </row>
    <row r="132">
      <c r="A132" s="2">
        <f>RANK(J132,$J$2:$J$697)</f>
        <v/>
      </c>
      <c r="B132" s="3" t="inlineStr">
        <is>
          <t>線・ポリライン編集</t>
        </is>
      </c>
      <c r="C132" s="3" t="inlineStr">
        <is>
          <t>polyout / mpolyout</t>
        </is>
      </c>
      <c r="D132" s="4" t="inlineStr">
        <is>
          <t>Polyline Outline (Advanced)</t>
        </is>
      </c>
      <c r="E132" s="4" t="inlineStr">
        <is>
          <t>可変幅ポリラインの外形線作成</t>
        </is>
      </c>
      <c r="F132" s="2" t="n">
        <v>18</v>
      </c>
      <c r="G132" s="2" t="n">
        <v>14</v>
      </c>
      <c r="H132" s="2" t="n">
        <v>10</v>
      </c>
      <c r="I132" s="2" t="n">
        <v>10</v>
      </c>
      <c r="J132" s="5">
        <f>SUM(F132:I132)</f>
        <v/>
      </c>
      <c r="K132" s="4" t="inlineStr">
        <is>
          <t>可変幅PLの外形化</t>
        </is>
      </c>
      <c r="L132" s="3" t="inlineStr">
        <is>
          <t>Lee Mac</t>
        </is>
      </c>
      <c r="M132" s="3" t="inlineStr">
        <is>
          <t>Lee Mac Programming</t>
        </is>
      </c>
      <c r="N132" s="6" t="inlineStr">
        <is>
          <t>開く</t>
        </is>
      </c>
    </row>
    <row r="133">
      <c r="A133" s="2">
        <f>RANK(J133,$J$2:$J$697)</f>
        <v/>
      </c>
      <c r="B133" s="3" t="inlineStr">
        <is>
          <t>設定・環境</t>
        </is>
      </c>
      <c r="C133" s="3" t="inlineStr">
        <is>
          <t>-</t>
        </is>
      </c>
      <c r="D133" s="4" t="inlineStr">
        <is>
          <t>QuikPik</t>
        </is>
      </c>
      <c r="E133" s="4" t="inlineStr">
        <is>
          <t>ピックミス防止などUI改善(ARX)</t>
        </is>
      </c>
      <c r="F133" s="2" t="n">
        <v>15</v>
      </c>
      <c r="G133" s="2" t="n">
        <v>14</v>
      </c>
      <c r="H133" s="2" t="n">
        <v>9</v>
      </c>
      <c r="I133" s="2" t="n">
        <v>14</v>
      </c>
      <c r="J133" s="5">
        <f>SUM(F133:I133)</f>
        <v/>
      </c>
      <c r="K133" s="4" t="inlineStr">
        <is>
          <t>ピックミス防止UI改善</t>
        </is>
      </c>
      <c r="L133" s="3" t="inlineStr">
        <is>
          <t>Owen Wengerd (ManuSoft)</t>
        </is>
      </c>
      <c r="M133" s="3" t="inlineStr">
        <is>
          <t>ManuSoft</t>
        </is>
      </c>
      <c r="N133" s="6" t="inlineStr">
        <is>
          <t>開く</t>
        </is>
      </c>
    </row>
    <row r="134">
      <c r="A134" s="2">
        <f>RANK(J134,$J$2:$J$697)</f>
        <v/>
      </c>
      <c r="B134" s="3" t="inlineStr">
        <is>
          <t>構造・鉄骨・機械</t>
        </is>
      </c>
      <c r="C134" s="3" t="inlineStr">
        <is>
          <t>-</t>
        </is>
      </c>
      <c r="D134" s="4" t="inlineStr">
        <is>
          <t>Sheet Metal Toolkit (smver7.zip)</t>
        </is>
      </c>
      <c r="E134" s="4" t="inlineStr">
        <is>
          <t>板金展開・加工計算ツール</t>
        </is>
      </c>
      <c r="F134" s="2" t="n">
        <v>18</v>
      </c>
      <c r="G134" s="2" t="n">
        <v>12</v>
      </c>
      <c r="H134" s="2" t="n">
        <v>14</v>
      </c>
      <c r="I134" s="2" t="n">
        <v>8</v>
      </c>
      <c r="J134" s="5">
        <f>SUM(F134:I134)</f>
        <v/>
      </c>
      <c r="K134" s="4" t="inlineStr">
        <is>
          <t>板金展開計算を一括</t>
        </is>
      </c>
      <c r="L134" s="3" t="inlineStr"/>
      <c r="M134" s="3" t="inlineStr">
        <is>
          <t>draftsperson.net</t>
        </is>
      </c>
      <c r="N134" s="6" t="inlineStr">
        <is>
          <t>開く</t>
        </is>
      </c>
    </row>
    <row r="135">
      <c r="A135" s="2">
        <f>RANK(J135,$J$2:$J$697)</f>
        <v/>
      </c>
      <c r="B135" s="3" t="inlineStr">
        <is>
          <t>文字・テキスト</t>
        </is>
      </c>
      <c r="C135" s="3" t="inlineStr">
        <is>
          <t>-</t>
        </is>
      </c>
      <c r="D135" s="4" t="inlineStr">
        <is>
          <t>Standardize Text (cht.lsp)</t>
        </is>
      </c>
      <c r="E135" s="4" t="inlineStr">
        <is>
          <t>選択文字を標準化・修正</t>
        </is>
      </c>
      <c r="F135" s="2" t="n">
        <v>12</v>
      </c>
      <c r="G135" s="2" t="n">
        <v>10</v>
      </c>
      <c r="H135" s="2" t="n">
        <v>12</v>
      </c>
      <c r="I135" s="2" t="n">
        <v>18</v>
      </c>
      <c r="J135" s="5">
        <f>SUM(F135:I135)</f>
        <v/>
      </c>
      <c r="K135" s="4" t="inlineStr">
        <is>
          <t>文字標準化で統一作業短縮</t>
        </is>
      </c>
      <c r="L135" s="3" t="inlineStr"/>
      <c r="M135" s="3" t="inlineStr">
        <is>
          <t>draftsperson.net</t>
        </is>
      </c>
      <c r="N135" s="6" t="inlineStr">
        <is>
          <t>開く</t>
        </is>
      </c>
    </row>
    <row r="136">
      <c r="A136" s="2">
        <f>RANK(J136,$J$2:$J$697)</f>
        <v/>
      </c>
      <c r="B136" s="3" t="inlineStr">
        <is>
          <t>文字・テキスト</t>
        </is>
      </c>
      <c r="C136" s="3" t="inlineStr">
        <is>
          <t>-</t>
        </is>
      </c>
      <c r="D136" s="4" t="inlineStr">
        <is>
          <t>Text with Break (tb.lsp)</t>
        </is>
      </c>
      <c r="E136" s="4" t="inlineStr">
        <is>
          <t>文字記入し交差線を切断</t>
        </is>
      </c>
      <c r="F136" s="2" t="n">
        <v>15</v>
      </c>
      <c r="G136" s="2" t="n">
        <v>13</v>
      </c>
      <c r="H136" s="2" t="n">
        <v>10</v>
      </c>
      <c r="I136" s="2" t="n">
        <v>14</v>
      </c>
      <c r="J136" s="5">
        <f>SUM(F136:I136)</f>
        <v/>
      </c>
      <c r="K136" s="4" t="inlineStr">
        <is>
          <t>文字記入と交差線切断</t>
        </is>
      </c>
      <c r="L136" s="3" t="inlineStr"/>
      <c r="M136" s="3" t="inlineStr">
        <is>
          <t>draftsperson.net</t>
        </is>
      </c>
      <c r="N136" s="6" t="inlineStr">
        <is>
          <t>開く</t>
        </is>
      </c>
    </row>
    <row r="137">
      <c r="A137" s="2">
        <f>RANK(J137,$J$2:$J$697)</f>
        <v/>
      </c>
      <c r="B137" s="3" t="inlineStr">
        <is>
          <t>座標・測量・土木</t>
        </is>
      </c>
      <c r="C137" s="3" t="inlineStr">
        <is>
          <t>TPOPINTERS</t>
        </is>
      </c>
      <c r="D137" s="4" t="inlineStr">
        <is>
          <t>TOPOPROCESS.LSP</t>
        </is>
      </c>
      <c r="E137" s="4" t="inlineStr">
        <is>
          <t>2つの三角網の交線を作図</t>
        </is>
      </c>
      <c r="F137" s="2" t="n">
        <v>21</v>
      </c>
      <c r="G137" s="2" t="n">
        <v>16</v>
      </c>
      <c r="H137" s="2" t="n">
        <v>9</v>
      </c>
      <c r="I137" s="2" t="n">
        <v>6</v>
      </c>
      <c r="J137" s="5">
        <f>SUM(F137:I137)</f>
        <v/>
      </c>
      <c r="K137" s="4" t="inlineStr">
        <is>
          <t>三角網の交線作図</t>
        </is>
      </c>
      <c r="L137" s="3" t="inlineStr">
        <is>
          <t>Giles Darling</t>
        </is>
      </c>
      <c r="M137" s="3" t="inlineStr">
        <is>
          <t>gilesdarling.me.uk</t>
        </is>
      </c>
      <c r="N137" s="6" t="inlineStr">
        <is>
          <t>開く</t>
        </is>
      </c>
    </row>
    <row r="138">
      <c r="A138" s="2">
        <f>RANK(J138,$J$2:$J$697)</f>
        <v/>
      </c>
      <c r="B138" s="3" t="inlineStr">
        <is>
          <t>印刷・レイアウト・図枠</t>
        </is>
      </c>
      <c r="C138" s="3" t="inlineStr">
        <is>
          <t>DeleteEmptyLayouts</t>
        </is>
      </c>
      <c r="D138" s="4" t="inlineStr">
        <is>
          <t>DeleteEmptyLayouts</t>
        </is>
      </c>
      <c r="E138" s="4" t="inlineStr">
        <is>
          <t>空のレイアウトを削除</t>
        </is>
      </c>
      <c r="F138" s="2" t="n">
        <v>15</v>
      </c>
      <c r="G138" s="2" t="n">
        <v>8</v>
      </c>
      <c r="H138" s="2" t="n">
        <v>11</v>
      </c>
      <c r="I138" s="2" t="n">
        <v>17</v>
      </c>
      <c r="J138" s="5">
        <f>SUM(F138:I138)</f>
        <v/>
      </c>
      <c r="K138" s="4" t="inlineStr">
        <is>
          <t>空レイアウトを自動削除</t>
        </is>
      </c>
      <c r="L138" s="3" t="inlineStr">
        <is>
          <t>JTB World (Jimmy Bergmark)</t>
        </is>
      </c>
      <c r="M138" s="3" t="inlineStr">
        <is>
          <t>JTB World</t>
        </is>
      </c>
      <c r="N138" s="6" t="inlineStr">
        <is>
          <t>開く</t>
        </is>
      </c>
    </row>
    <row r="139">
      <c r="A139" s="2">
        <f>RANK(J139,$J$2:$J$697)</f>
        <v/>
      </c>
      <c r="B139" s="3" t="inlineStr">
        <is>
          <t>LISP開発用の部品</t>
        </is>
      </c>
      <c r="C139" s="3" t="inlineStr">
        <is>
          <t>-</t>
        </is>
      </c>
      <c r="D139" s="4" t="inlineStr">
        <is>
          <t>GrSnap</t>
        </is>
      </c>
      <c r="E139" s="4" t="inlineStr">
        <is>
          <t>grread用スナップ関数</t>
        </is>
      </c>
      <c r="F139" s="2" t="n">
        <v>20</v>
      </c>
      <c r="G139" s="2" t="n">
        <v>19</v>
      </c>
      <c r="H139" s="2" t="n">
        <v>5</v>
      </c>
      <c r="I139" s="2" t="n">
        <v>7</v>
      </c>
      <c r="J139" s="5">
        <f>SUM(F139:I139)</f>
        <v/>
      </c>
      <c r="K139" s="4" t="inlineStr">
        <is>
          <t>grreadでスナップ実現</t>
        </is>
      </c>
      <c r="L139" s="3" t="inlineStr">
        <is>
          <t>Lee Mac</t>
        </is>
      </c>
      <c r="M139" s="3" t="inlineStr">
        <is>
          <t>Lee Mac Programming</t>
        </is>
      </c>
      <c r="N139" s="6" t="inlineStr">
        <is>
          <t>開く</t>
        </is>
      </c>
    </row>
    <row r="140">
      <c r="A140" s="2">
        <f>RANK(J140,$J$2:$J$697)</f>
        <v/>
      </c>
      <c r="B140" s="3" t="inlineStr">
        <is>
          <t>画層</t>
        </is>
      </c>
      <c r="C140" s="3" t="inlineStr">
        <is>
          <t>pslay / rpslay</t>
        </is>
      </c>
      <c r="D140" s="4" t="inlineStr">
        <is>
          <t>Layer Prefix/Suffix</t>
        </is>
      </c>
      <c r="E140" s="4" t="inlineStr">
        <is>
          <t>画層名に接頭辞・接尾辞を付加</t>
        </is>
      </c>
      <c r="F140" s="2" t="n">
        <v>15</v>
      </c>
      <c r="G140" s="2" t="n">
        <v>8</v>
      </c>
      <c r="H140" s="2" t="n">
        <v>12</v>
      </c>
      <c r="I140" s="2" t="n">
        <v>16</v>
      </c>
      <c r="J140" s="5">
        <f>SUM(F140:I140)</f>
        <v/>
      </c>
      <c r="K140" s="4" t="inlineStr">
        <is>
          <t>画層名接頭辞一括付加</t>
        </is>
      </c>
      <c r="L140" s="3" t="inlineStr">
        <is>
          <t>Lee Mac</t>
        </is>
      </c>
      <c r="M140" s="3" t="inlineStr">
        <is>
          <t>Lee Mac Programming</t>
        </is>
      </c>
      <c r="N140" s="6" t="inlineStr">
        <is>
          <t>開く</t>
        </is>
      </c>
    </row>
    <row r="141">
      <c r="A141" s="2">
        <f>RANK(J141,$J$2:$J$697)</f>
        <v/>
      </c>
      <c r="B141" s="3" t="inlineStr">
        <is>
          <t>文字・テキスト</t>
        </is>
      </c>
      <c r="C141" s="3" t="inlineStr">
        <is>
          <t>MFF</t>
        </is>
      </c>
      <c r="D141" s="4" t="inlineStr">
        <is>
          <t>Match Field Formatting</t>
        </is>
      </c>
      <c r="E141" s="4" t="inlineStr">
        <is>
          <t>フィールド書式を一致させる</t>
        </is>
      </c>
      <c r="F141" s="2" t="n">
        <v>18</v>
      </c>
      <c r="G141" s="2" t="n">
        <v>12</v>
      </c>
      <c r="H141" s="2" t="n">
        <v>9</v>
      </c>
      <c r="I141" s="2" t="n">
        <v>12</v>
      </c>
      <c r="J141" s="5">
        <f>SUM(F141:I141)</f>
        <v/>
      </c>
      <c r="K141" s="4" t="inlineStr">
        <is>
          <t>フィールド書式一致は独自</t>
        </is>
      </c>
      <c r="L141" s="3" t="inlineStr">
        <is>
          <t>Lee Mac</t>
        </is>
      </c>
      <c r="M141" s="3" t="inlineStr">
        <is>
          <t>Lee Mac Programming</t>
        </is>
      </c>
      <c r="N141" s="6" t="inlineStr">
        <is>
          <t>開く</t>
        </is>
      </c>
    </row>
    <row r="142">
      <c r="A142" s="2">
        <f>RANK(J142,$J$2:$J$697)</f>
        <v/>
      </c>
      <c r="B142" s="3" t="inlineStr">
        <is>
          <t>文字・テキスト</t>
        </is>
      </c>
      <c r="C142" s="3" t="inlineStr">
        <is>
          <t>qmrg / qspl</t>
        </is>
      </c>
      <c r="D142" s="4" t="inlineStr">
        <is>
          <t>Quick Merge &amp; Split</t>
        </is>
      </c>
      <c r="E142" s="4" t="inlineStr">
        <is>
          <t>文字の結合・分割</t>
        </is>
      </c>
      <c r="F142" s="2" t="n">
        <v>10</v>
      </c>
      <c r="G142" s="2" t="n">
        <v>10</v>
      </c>
      <c r="H142" s="2" t="n">
        <v>13</v>
      </c>
      <c r="I142" s="2" t="n">
        <v>18</v>
      </c>
      <c r="J142" s="5">
        <f>SUM(F142:I142)</f>
        <v/>
      </c>
      <c r="K142" s="4" t="inlineStr">
        <is>
          <t>TXT2MTXTで一部代替</t>
        </is>
      </c>
      <c r="L142" s="3" t="inlineStr">
        <is>
          <t>Lee Mac</t>
        </is>
      </c>
      <c r="M142" s="3" t="inlineStr">
        <is>
          <t>Lee Mac Programming</t>
        </is>
      </c>
      <c r="N142" s="6" t="inlineStr">
        <is>
          <t>開く</t>
        </is>
      </c>
    </row>
    <row r="143">
      <c r="A143" s="2">
        <f>RANK(J143,$J$2:$J$697)</f>
        <v/>
      </c>
      <c r="B143" s="3" t="inlineStr">
        <is>
          <t>ブロック・属性</t>
        </is>
      </c>
      <c r="C143" s="3" t="inlineStr">
        <is>
          <t>RENBLK</t>
        </is>
      </c>
      <c r="D143" s="4" t="inlineStr">
        <is>
          <t>RenameBlocksBatch.lsp</t>
        </is>
      </c>
      <c r="E143" s="4" t="inlineStr">
        <is>
          <t>ブロック名を一括リネーム</t>
        </is>
      </c>
      <c r="F143" s="2" t="n">
        <v>12</v>
      </c>
      <c r="G143" s="2" t="n">
        <v>10</v>
      </c>
      <c r="H143" s="2" t="n">
        <v>13</v>
      </c>
      <c r="I143" s="2" t="n">
        <v>16</v>
      </c>
      <c r="J143" s="5">
        <f>SUM(F143:I143)</f>
        <v/>
      </c>
      <c r="K143" s="4" t="inlineStr">
        <is>
          <t>RENAMEワイルドカードで一部可</t>
        </is>
      </c>
      <c r="L143" s="3" t="inlineStr">
        <is>
          <t>CADAuthority</t>
        </is>
      </c>
      <c r="M143" s="3" t="inlineStr">
        <is>
          <t>CAD Authority</t>
        </is>
      </c>
      <c r="N143" s="6" t="inlineStr">
        <is>
          <t>開く</t>
        </is>
      </c>
    </row>
    <row r="144">
      <c r="A144" s="2">
        <f>RANK(J144,$J$2:$J$697)</f>
        <v/>
      </c>
      <c r="B144" s="3" t="inlineStr">
        <is>
          <t>線・ポリライン編集</t>
        </is>
      </c>
      <c r="C144" s="3" t="inlineStr">
        <is>
          <t>SWAPENT</t>
        </is>
      </c>
      <c r="D144" s="4" t="inlineStr">
        <is>
          <t>SwapEnt</t>
        </is>
      </c>
      <c r="E144" s="4" t="inlineStr">
        <is>
          <t>2つの図形の位置を入替え</t>
        </is>
      </c>
      <c r="F144" s="2" t="n">
        <v>17</v>
      </c>
      <c r="G144" s="2" t="n">
        <v>14</v>
      </c>
      <c r="H144" s="2" t="n">
        <v>8</v>
      </c>
      <c r="I144" s="2" t="n">
        <v>12</v>
      </c>
      <c r="J144" s="5">
        <f>SUM(F144:I144)</f>
        <v/>
      </c>
      <c r="K144" s="4" t="inlineStr">
        <is>
          <t>2図形の位置入替え</t>
        </is>
      </c>
      <c r="L144" s="3" t="inlineStr">
        <is>
          <t>Jeffery P. Sanders</t>
        </is>
      </c>
      <c r="M144" s="3" t="inlineStr">
        <is>
          <t>JefferyPSanders.com</t>
        </is>
      </c>
      <c r="N144" s="6" t="inlineStr">
        <is>
          <t>開く</t>
        </is>
      </c>
    </row>
    <row r="145">
      <c r="A145" s="2">
        <f>RANK(J145,$J$2:$J$697)</f>
        <v/>
      </c>
      <c r="B145" s="3" t="inlineStr">
        <is>
          <t>座標・測量・土木</t>
        </is>
      </c>
      <c r="C145" s="3" t="inlineStr">
        <is>
          <t>TPOPSLOPEMAX</t>
        </is>
      </c>
      <c r="D145" s="4" t="inlineStr">
        <is>
          <t>TOPOPROCESS.LSP</t>
        </is>
      </c>
      <c r="E145" s="4" t="inlineStr">
        <is>
          <t>最大勾配と方向を記入</t>
        </is>
      </c>
      <c r="F145" s="2" t="n">
        <v>20</v>
      </c>
      <c r="G145" s="2" t="n">
        <v>15</v>
      </c>
      <c r="H145" s="2" t="n">
        <v>9</v>
      </c>
      <c r="I145" s="2" t="n">
        <v>7</v>
      </c>
      <c r="J145" s="5">
        <f>SUM(F145:I145)</f>
        <v/>
      </c>
      <c r="K145" s="4" t="inlineStr">
        <is>
          <t>最大勾配と方向記入</t>
        </is>
      </c>
      <c r="L145" s="3" t="inlineStr">
        <is>
          <t>Giles Darling</t>
        </is>
      </c>
      <c r="M145" s="3" t="inlineStr">
        <is>
          <t>gilesdarling.me.uk</t>
        </is>
      </c>
      <c r="N145" s="6" t="inlineStr">
        <is>
          <t>開く</t>
        </is>
      </c>
    </row>
    <row r="146">
      <c r="A146" s="2">
        <f>RANK(J146,$J$2:$J$697)</f>
        <v/>
      </c>
      <c r="B146" s="3" t="inlineStr">
        <is>
          <t>印刷・レイアウト・図枠</t>
        </is>
      </c>
      <c r="C146" s="3" t="inlineStr">
        <is>
          <t>vp-outline</t>
        </is>
      </c>
      <c r="D146" s="4" t="inlineStr">
        <is>
          <t>vp-outline.LSP</t>
        </is>
      </c>
      <c r="E146" s="4" t="inlineStr">
        <is>
          <t>ビューポート外形をモデルに作図</t>
        </is>
      </c>
      <c r="F146" s="2" t="n">
        <v>13</v>
      </c>
      <c r="G146" s="2" t="n">
        <v>13</v>
      </c>
      <c r="H146" s="2" t="n">
        <v>10</v>
      </c>
      <c r="I146" s="2" t="n">
        <v>15</v>
      </c>
      <c r="J146" s="5">
        <f>SUM(F146:I146)</f>
        <v/>
      </c>
      <c r="K146" s="4" t="inlineStr">
        <is>
          <t>VP外形をモデルへ(CHSPACE代替可)</t>
        </is>
      </c>
      <c r="L146" s="3" t="inlineStr">
        <is>
          <t>JTB World (Jimmy Bergmark)</t>
        </is>
      </c>
      <c r="M146" s="3" t="inlineStr">
        <is>
          <t>JTB World</t>
        </is>
      </c>
      <c r="N146" s="6" t="inlineStr">
        <is>
          <t>開く</t>
        </is>
      </c>
    </row>
    <row r="147">
      <c r="A147" s="2">
        <f>RANK(J147,$J$2:$J$697)</f>
        <v/>
      </c>
      <c r="B147" s="3" t="inlineStr">
        <is>
          <t>座標・測量・土木</t>
        </is>
      </c>
      <c r="C147" s="3" t="inlineStr">
        <is>
          <t>COORDLBL</t>
        </is>
      </c>
      <c r="D147" s="4" t="inlineStr">
        <is>
          <t>CoordinateLabeler.lsp</t>
        </is>
      </c>
      <c r="E147" s="4" t="inlineStr">
        <is>
          <t>点の座標を引出線で表示</t>
        </is>
      </c>
      <c r="F147" s="2" t="n">
        <v>13</v>
      </c>
      <c r="G147" s="2" t="n">
        <v>9</v>
      </c>
      <c r="H147" s="2" t="n">
        <v>14</v>
      </c>
      <c r="I147" s="2" t="n">
        <v>14</v>
      </c>
      <c r="J147" s="5">
        <f>SUM(F147:I147)</f>
        <v/>
      </c>
      <c r="K147" s="4" t="inlineStr">
        <is>
          <t>座標引出線記入</t>
        </is>
      </c>
      <c r="L147" s="3" t="inlineStr">
        <is>
          <t>CADAuthority</t>
        </is>
      </c>
      <c r="M147" s="3" t="inlineStr">
        <is>
          <t>CAD Authority</t>
        </is>
      </c>
      <c r="N147" s="6" t="inlineStr">
        <is>
          <t>開く</t>
        </is>
      </c>
    </row>
    <row r="148">
      <c r="A148" s="2">
        <f>RANK(J148,$J$2:$J$697)</f>
        <v/>
      </c>
      <c r="B148" s="3" t="inlineStr">
        <is>
          <t>画層</t>
        </is>
      </c>
      <c r="C148" s="3" t="inlineStr">
        <is>
          <t>LDOrder</t>
        </is>
      </c>
      <c r="D148" s="4" t="inlineStr">
        <is>
          <t>Layer Draw Order</t>
        </is>
      </c>
      <c r="E148" s="4" t="inlineStr">
        <is>
          <t>画層単位で表示順序を変更</t>
        </is>
      </c>
      <c r="F148" s="2" t="n">
        <v>16</v>
      </c>
      <c r="G148" s="2" t="n">
        <v>12</v>
      </c>
      <c r="H148" s="2" t="n">
        <v>8</v>
      </c>
      <c r="I148" s="2" t="n">
        <v>14</v>
      </c>
      <c r="J148" s="5">
        <f>SUM(F148:I148)</f>
        <v/>
      </c>
      <c r="K148" s="4" t="inlineStr">
        <is>
          <t>画層単位の表示順は標準困難</t>
        </is>
      </c>
      <c r="L148" s="3" t="inlineStr">
        <is>
          <t>Lee Mac</t>
        </is>
      </c>
      <c r="M148" s="3" t="inlineStr">
        <is>
          <t>Lee Mac Programming</t>
        </is>
      </c>
      <c r="N148" s="6" t="inlineStr">
        <is>
          <t>開く</t>
        </is>
      </c>
    </row>
    <row r="149">
      <c r="A149" s="2">
        <f>RANK(J149,$J$2:$J$697)</f>
        <v/>
      </c>
      <c r="B149" s="3" t="inlineStr">
        <is>
          <t>線・ポリライン編集</t>
        </is>
      </c>
      <c r="C149" s="3" t="inlineStr">
        <is>
          <t>SCALEXY</t>
        </is>
      </c>
      <c r="D149" s="4" t="inlineStr">
        <is>
          <t>ScaleXY.lsp</t>
        </is>
      </c>
      <c r="E149" s="4" t="inlineStr">
        <is>
          <t>XY別倍率で尺度変更</t>
        </is>
      </c>
      <c r="F149" s="2" t="n">
        <v>18</v>
      </c>
      <c r="G149" s="2" t="n">
        <v>10</v>
      </c>
      <c r="H149" s="2" t="n">
        <v>9</v>
      </c>
      <c r="I149" s="2" t="n">
        <v>13</v>
      </c>
      <c r="J149" s="5">
        <f>SUM(F149:I149)</f>
        <v/>
      </c>
      <c r="K149" s="4" t="inlineStr">
        <is>
          <t>XY別尺度は標準不可</t>
        </is>
      </c>
      <c r="L149" s="3" t="inlineStr">
        <is>
          <t>CADAuthority</t>
        </is>
      </c>
      <c r="M149" s="3" t="inlineStr">
        <is>
          <t>CAD Authority</t>
        </is>
      </c>
      <c r="N149" s="6" t="inlineStr">
        <is>
          <t>開く</t>
        </is>
      </c>
    </row>
    <row r="150">
      <c r="A150" s="2">
        <f>RANK(J150,$J$2:$J$697)</f>
        <v/>
      </c>
      <c r="B150" s="3" t="inlineStr">
        <is>
          <t>文字・テキスト</t>
        </is>
      </c>
      <c r="C150" s="3" t="inlineStr">
        <is>
          <t>SWAPTXT</t>
        </is>
      </c>
      <c r="D150" s="4" t="inlineStr">
        <is>
          <t>SwapTxt</t>
        </is>
      </c>
      <c r="E150" s="4" t="inlineStr">
        <is>
          <t>2つの文字内容を入替え</t>
        </is>
      </c>
      <c r="F150" s="2" t="n">
        <v>13</v>
      </c>
      <c r="G150" s="2" t="n">
        <v>9</v>
      </c>
      <c r="H150" s="2" t="n">
        <v>10</v>
      </c>
      <c r="I150" s="2" t="n">
        <v>18</v>
      </c>
      <c r="J150" s="5">
        <f>SUM(F150:I150)</f>
        <v/>
      </c>
      <c r="K150" s="4" t="inlineStr">
        <is>
          <t>2文字入替えは標準にない</t>
        </is>
      </c>
      <c r="L150" s="3" t="inlineStr">
        <is>
          <t>Jeffery P. Sanders</t>
        </is>
      </c>
      <c r="M150" s="3" t="inlineStr">
        <is>
          <t>JefferyPSanders.com</t>
        </is>
      </c>
      <c r="N150" s="6" t="inlineStr">
        <is>
          <t>開く</t>
        </is>
      </c>
    </row>
    <row r="151">
      <c r="A151" s="2">
        <f>RANK(J151,$J$2:$J$697)</f>
        <v/>
      </c>
      <c r="B151" s="3" t="inlineStr">
        <is>
          <t>ハッチ・面積・長さ集計</t>
        </is>
      </c>
      <c r="C151" s="3" t="inlineStr">
        <is>
          <t>TOTAREA</t>
        </is>
      </c>
      <c r="D151" s="4" t="inlineStr">
        <is>
          <t>TotalArea.lsp</t>
        </is>
      </c>
      <c r="E151" s="4" t="inlineStr">
        <is>
          <t>複数閉ポリラインの面積合計</t>
        </is>
      </c>
      <c r="F151" s="2" t="n">
        <v>12</v>
      </c>
      <c r="G151" s="2" t="n">
        <v>6</v>
      </c>
      <c r="H151" s="2" t="n">
        <v>14</v>
      </c>
      <c r="I151" s="2" t="n">
        <v>18</v>
      </c>
      <c r="J151" s="5">
        <f>SUM(F151:I151)</f>
        <v/>
      </c>
      <c r="K151" s="4" t="inlineStr">
        <is>
          <t>合計面積は標準MEASUREGEOMで可</t>
        </is>
      </c>
      <c r="L151" s="3" t="inlineStr">
        <is>
          <t>CADAuthority</t>
        </is>
      </c>
      <c r="M151" s="3" t="inlineStr">
        <is>
          <t>CAD Authority</t>
        </is>
      </c>
      <c r="N151" s="6" t="inlineStr">
        <is>
          <t>開く</t>
        </is>
      </c>
    </row>
    <row r="152">
      <c r="A152" s="2">
        <f>RANK(J152,$J$2:$J$697)</f>
        <v/>
      </c>
      <c r="B152" s="3" t="inlineStr">
        <is>
          <t>線・ポリライン編集</t>
        </is>
      </c>
      <c r="C152" s="3" t="inlineStr">
        <is>
          <t>-</t>
        </is>
      </c>
      <c r="D152" s="4" t="inlineStr">
        <is>
          <t>Trim to Point (trim to point.lsp)</t>
        </is>
      </c>
      <c r="E152" s="4" t="inlineStr">
        <is>
          <t>指定点の仮線でトリム</t>
        </is>
      </c>
      <c r="F152" s="2" t="n">
        <v>14</v>
      </c>
      <c r="G152" s="2" t="n">
        <v>13</v>
      </c>
      <c r="H152" s="2" t="n">
        <v>10</v>
      </c>
      <c r="I152" s="2" t="n">
        <v>13</v>
      </c>
      <c r="J152" s="5">
        <f>SUM(F152:I152)</f>
        <v/>
      </c>
      <c r="K152" s="4" t="inlineStr">
        <is>
          <t>仮線なしでトリム</t>
        </is>
      </c>
      <c r="L152" s="3" t="inlineStr"/>
      <c r="M152" s="3" t="inlineStr">
        <is>
          <t>draftsperson.net</t>
        </is>
      </c>
      <c r="N152" s="6" t="inlineStr">
        <is>
          <t>開く</t>
        </is>
      </c>
    </row>
    <row r="153">
      <c r="A153" s="2">
        <f>RANK(J153,$J$2:$J$697)</f>
        <v/>
      </c>
      <c r="B153" s="3" t="inlineStr">
        <is>
          <t>印刷・レイアウト・図枠</t>
        </is>
      </c>
      <c r="C153" s="3" t="inlineStr">
        <is>
          <t>-</t>
        </is>
      </c>
      <c r="D153" s="4" t="inlineStr">
        <is>
          <t>Viewport Grid (vpgrid.lsp)</t>
        </is>
      </c>
      <c r="E153" s="4" t="inlineStr">
        <is>
          <t>ビューポートに座標グリッド配置</t>
        </is>
      </c>
      <c r="F153" s="2" t="n">
        <v>15</v>
      </c>
      <c r="G153" s="2" t="n">
        <v>13</v>
      </c>
      <c r="H153" s="2" t="n">
        <v>10</v>
      </c>
      <c r="I153" s="2" t="n">
        <v>12</v>
      </c>
      <c r="J153" s="5">
        <f>SUM(F153:I153)</f>
        <v/>
      </c>
      <c r="K153" s="4" t="inlineStr">
        <is>
          <t>VPに座標グリッド配置</t>
        </is>
      </c>
      <c r="L153" s="3" t="inlineStr"/>
      <c r="M153" s="3" t="inlineStr">
        <is>
          <t>draftsperson.net</t>
        </is>
      </c>
      <c r="N153" s="6" t="inlineStr">
        <is>
          <t>開く</t>
        </is>
      </c>
    </row>
    <row r="154">
      <c r="A154" s="2">
        <f>RANK(J154,$J$2:$J$697)</f>
        <v/>
      </c>
      <c r="B154" s="3" t="inlineStr">
        <is>
          <t>表示・UCS・ビュー</t>
        </is>
      </c>
      <c r="C154" s="3" t="inlineStr">
        <is>
          <t>ExportViews / ImportViews</t>
        </is>
      </c>
      <c r="D154" s="4" t="inlineStr">
        <is>
          <t>viewsIO.LSP</t>
        </is>
      </c>
      <c r="E154" s="4" t="inlineStr">
        <is>
          <t>ビューの書出し・読込み</t>
        </is>
      </c>
      <c r="F154" s="2" t="n">
        <v>17</v>
      </c>
      <c r="G154" s="2" t="n">
        <v>10</v>
      </c>
      <c r="H154" s="2" t="n">
        <v>10</v>
      </c>
      <c r="I154" s="2" t="n">
        <v>13</v>
      </c>
      <c r="J154" s="5">
        <f>SUM(F154:I154)</f>
        <v/>
      </c>
      <c r="K154" s="4" t="inlineStr">
        <is>
          <t>ビューの書出し・読込み</t>
        </is>
      </c>
      <c r="L154" s="3" t="inlineStr">
        <is>
          <t>JTB World (Jimmy Bergmark)</t>
        </is>
      </c>
      <c r="M154" s="3" t="inlineStr">
        <is>
          <t>JTB World</t>
        </is>
      </c>
      <c r="N154" s="6" t="inlineStr">
        <is>
          <t>開く</t>
        </is>
      </c>
    </row>
    <row r="155">
      <c r="A155" s="2">
        <f>RANK(J155,$J$2:$J$697)</f>
        <v/>
      </c>
      <c r="B155" s="3" t="inlineStr">
        <is>
          <t>設定・環境</t>
        </is>
      </c>
      <c r="C155" s="3" t="inlineStr">
        <is>
          <t>ALIAS</t>
        </is>
      </c>
      <c r="D155" s="4" t="inlineStr">
        <is>
          <t>ALIAS</t>
        </is>
      </c>
      <c r="E155" s="4" t="inlineStr">
        <is>
          <t>コマンド短縮名をその場で定義</t>
        </is>
      </c>
      <c r="F155" s="2" t="n">
        <v>13</v>
      </c>
      <c r="G155" s="2" t="n">
        <v>12</v>
      </c>
      <c r="H155" s="2" t="n">
        <v>8</v>
      </c>
      <c r="I155" s="2" t="n">
        <v>16</v>
      </c>
      <c r="J155" s="5">
        <f>SUM(F155:I155)</f>
        <v/>
      </c>
      <c r="K155" s="4" t="inlineStr">
        <is>
          <t>短縮名をその場で定義</t>
        </is>
      </c>
      <c r="L155" s="3" t="inlineStr">
        <is>
          <t>Jeffery P. Sanders</t>
        </is>
      </c>
      <c r="M155" s="3" t="inlineStr">
        <is>
          <t>JefferyPSanders.com</t>
        </is>
      </c>
      <c r="N155" s="6" t="inlineStr">
        <is>
          <t>開く</t>
        </is>
      </c>
    </row>
    <row r="156">
      <c r="A156" s="2">
        <f>RANK(J156,$J$2:$J$697)</f>
        <v/>
      </c>
      <c r="B156" s="3" t="inlineStr">
        <is>
          <t>ブロック・属性</t>
        </is>
      </c>
      <c r="C156" s="3" t="inlineStr">
        <is>
          <t>BLOCKS</t>
        </is>
      </c>
      <c r="D156" s="4" t="inlineStr">
        <is>
          <t>BLOCKS</t>
        </is>
      </c>
      <c r="E156" s="4" t="inlineStr">
        <is>
          <t>名前・属性でブロックを集計</t>
        </is>
      </c>
      <c r="F156" s="2" t="n">
        <v>8</v>
      </c>
      <c r="G156" s="2" t="n">
        <v>9</v>
      </c>
      <c r="H156" s="2" t="n">
        <v>15</v>
      </c>
      <c r="I156" s="2" t="n">
        <v>17</v>
      </c>
      <c r="J156" s="5">
        <f>SUM(F156:I156)</f>
        <v/>
      </c>
      <c r="K156" s="4" t="inlineStr">
        <is>
          <t>データ書き出しで代替可</t>
        </is>
      </c>
      <c r="L156" s="3" t="inlineStr">
        <is>
          <t>Jeffery P. Sanders</t>
        </is>
      </c>
      <c r="M156" s="3" t="inlineStr">
        <is>
          <t>JefferyPSanders.com</t>
        </is>
      </c>
      <c r="N156" s="6" t="inlineStr">
        <is>
          <t>開く</t>
        </is>
      </c>
    </row>
    <row r="157">
      <c r="A157" s="2">
        <f>RANK(J157,$J$2:$J$697)</f>
        <v/>
      </c>
      <c r="B157" s="3" t="inlineStr">
        <is>
          <t>線・ポリライン編集</t>
        </is>
      </c>
      <c r="C157" s="3" t="inlineStr">
        <is>
          <t>DoubleOffset / DOff</t>
        </is>
      </c>
      <c r="D157" s="4" t="inlineStr">
        <is>
          <t>Double Offset</t>
        </is>
      </c>
      <c r="E157" s="4" t="inlineStr">
        <is>
          <t>両側に同時オフセット</t>
        </is>
      </c>
      <c r="F157" s="2" t="n">
        <v>12</v>
      </c>
      <c r="G157" s="2" t="n">
        <v>10</v>
      </c>
      <c r="H157" s="2" t="n">
        <v>12</v>
      </c>
      <c r="I157" s="2" t="n">
        <v>15</v>
      </c>
      <c r="J157" s="5">
        <f>SUM(F157:I157)</f>
        <v/>
      </c>
      <c r="K157" s="4" t="inlineStr">
        <is>
          <t>両側同時オフセット</t>
        </is>
      </c>
      <c r="L157" s="3" t="inlineStr">
        <is>
          <t>Lee Mac</t>
        </is>
      </c>
      <c r="M157" s="3" t="inlineStr">
        <is>
          <t>Lee Mac Programming</t>
        </is>
      </c>
      <c r="N157" s="6" t="inlineStr">
        <is>
          <t>開く</t>
        </is>
      </c>
    </row>
    <row r="158">
      <c r="A158" s="2">
        <f>RANK(J158,$J$2:$J$697)</f>
        <v/>
      </c>
      <c r="B158" s="3" t="inlineStr">
        <is>
          <t>ブロック・属性</t>
        </is>
      </c>
      <c r="C158" s="3" t="inlineStr">
        <is>
          <t>DBCount</t>
        </is>
      </c>
      <c r="D158" s="4" t="inlineStr">
        <is>
          <t>Dynamic Block Counter</t>
        </is>
      </c>
      <c r="E158" s="4" t="inlineStr">
        <is>
          <t>ダイナミックブロックを集計</t>
        </is>
      </c>
      <c r="F158" s="2" t="n">
        <v>9</v>
      </c>
      <c r="G158" s="2" t="n">
        <v>11</v>
      </c>
      <c r="H158" s="2" t="n">
        <v>14</v>
      </c>
      <c r="I158" s="2" t="n">
        <v>15</v>
      </c>
      <c r="J158" s="5">
        <f>SUM(F158:I158)</f>
        <v/>
      </c>
      <c r="K158" s="4" t="inlineStr">
        <is>
          <t>COUNTで概ね代替可</t>
        </is>
      </c>
      <c r="L158" s="3" t="inlineStr">
        <is>
          <t>Lee Mac</t>
        </is>
      </c>
      <c r="M158" s="3" t="inlineStr">
        <is>
          <t>Lee Mac Programming</t>
        </is>
      </c>
      <c r="N158" s="6" t="inlineStr">
        <is>
          <t>開く</t>
        </is>
      </c>
    </row>
    <row r="159">
      <c r="A159" s="2">
        <f>RANK(J159,$J$2:$J$697)</f>
        <v/>
      </c>
      <c r="B159" s="3" t="inlineStr">
        <is>
          <t>ハッチ・面積・長さ集計</t>
        </is>
      </c>
      <c r="C159" s="3" t="inlineStr">
        <is>
          <t>GetArea</t>
        </is>
      </c>
      <c r="D159" s="4" t="inlineStr">
        <is>
          <t>GetArea (example)</t>
        </is>
      </c>
      <c r="E159" s="4" t="inlineStr">
        <is>
          <t>ポリライン累積面積を記入</t>
        </is>
      </c>
      <c r="F159" s="2" t="n">
        <v>13</v>
      </c>
      <c r="G159" s="2" t="n">
        <v>8</v>
      </c>
      <c r="H159" s="2" t="n">
        <v>13</v>
      </c>
      <c r="I159" s="2" t="n">
        <v>15</v>
      </c>
      <c r="J159" s="5">
        <f>SUM(F159:I159)</f>
        <v/>
      </c>
      <c r="K159" s="4" t="inlineStr">
        <is>
          <t>累積面積記入のサンプル</t>
        </is>
      </c>
      <c r="L159" s="3" t="inlineStr">
        <is>
          <t>Jeffery P. Sanders</t>
        </is>
      </c>
      <c r="M159" s="3" t="inlineStr">
        <is>
          <t>JefferyPSanders.com</t>
        </is>
      </c>
      <c r="N159" s="6" t="inlineStr">
        <is>
          <t>開く</t>
        </is>
      </c>
    </row>
    <row r="160">
      <c r="A160" s="2">
        <f>RANK(J160,$J$2:$J$697)</f>
        <v/>
      </c>
      <c r="B160" s="3" t="inlineStr">
        <is>
          <t>LISP開発用の部品</t>
        </is>
      </c>
      <c r="C160" s="3" t="inlineStr">
        <is>
          <t>-</t>
        </is>
      </c>
      <c r="D160" s="4" t="inlineStr">
        <is>
          <t>GrText</t>
        </is>
      </c>
      <c r="E160" s="4" t="inlineStr">
        <is>
          <t>grdraw文字表示関数</t>
        </is>
      </c>
      <c r="F160" s="2" t="n">
        <v>19</v>
      </c>
      <c r="G160" s="2" t="n">
        <v>19</v>
      </c>
      <c r="H160" s="2" t="n">
        <v>5</v>
      </c>
      <c r="I160" s="2" t="n">
        <v>6</v>
      </c>
      <c r="J160" s="5">
        <f>SUM(F160:I160)</f>
        <v/>
      </c>
      <c r="K160" s="4" t="inlineStr">
        <is>
          <t>grdrawで文字描画</t>
        </is>
      </c>
      <c r="L160" s="3" t="inlineStr">
        <is>
          <t>Lee Mac</t>
        </is>
      </c>
      <c r="M160" s="3" t="inlineStr">
        <is>
          <t>Lee Mac Programming</t>
        </is>
      </c>
      <c r="N160" s="6" t="inlineStr">
        <is>
          <t>開く</t>
        </is>
      </c>
    </row>
    <row r="161">
      <c r="A161" s="2">
        <f>RANK(J161,$J$2:$J$697)</f>
        <v/>
      </c>
      <c r="B161" s="3" t="inlineStr">
        <is>
          <t>建築</t>
        </is>
      </c>
      <c r="C161" s="3" t="inlineStr">
        <is>
          <t>-</t>
        </is>
      </c>
      <c r="D161" s="4" t="inlineStr">
        <is>
          <t>Interior Elevation Utilities (int.zip)</t>
        </is>
      </c>
      <c r="E161" s="4" t="inlineStr">
        <is>
          <t>展開図(内観立面)作図ツール</t>
        </is>
      </c>
      <c r="F161" s="2" t="n">
        <v>15</v>
      </c>
      <c r="G161" s="2" t="n">
        <v>11</v>
      </c>
      <c r="H161" s="2" t="n">
        <v>13</v>
      </c>
      <c r="I161" s="2" t="n">
        <v>10</v>
      </c>
      <c r="J161" s="5">
        <f>SUM(F161:I161)</f>
        <v/>
      </c>
      <c r="K161" s="4" t="inlineStr">
        <is>
          <t>展開図作図を補助</t>
        </is>
      </c>
      <c r="L161" s="3" t="inlineStr"/>
      <c r="M161" s="3" t="inlineStr">
        <is>
          <t>draftsperson.net</t>
        </is>
      </c>
      <c r="N161" s="6" t="inlineStr">
        <is>
          <t>開く</t>
        </is>
      </c>
    </row>
    <row r="162">
      <c r="A162" s="2">
        <f>RANK(J162,$J$2:$J$697)</f>
        <v/>
      </c>
      <c r="B162" s="3" t="inlineStr">
        <is>
          <t>画層</t>
        </is>
      </c>
      <c r="C162" s="3" t="inlineStr">
        <is>
          <t>LTRANSB</t>
        </is>
      </c>
      <c r="D162" s="4" t="inlineStr">
        <is>
          <t>LayerTranslator.lsp</t>
        </is>
      </c>
      <c r="E162" s="4" t="inlineStr">
        <is>
          <t>対応表で画層名を一括変換</t>
        </is>
      </c>
      <c r="F162" s="2" t="n">
        <v>10</v>
      </c>
      <c r="G162" s="2" t="n">
        <v>8</v>
      </c>
      <c r="H162" s="2" t="n">
        <v>15</v>
      </c>
      <c r="I162" s="2" t="n">
        <v>16</v>
      </c>
      <c r="J162" s="5">
        <f>SUM(F162:I162)</f>
        <v/>
      </c>
      <c r="K162" s="4" t="inlineStr">
        <is>
          <t>標準LAYTRANSで一部代替</t>
        </is>
      </c>
      <c r="L162" s="3" t="inlineStr">
        <is>
          <t>CADAuthority</t>
        </is>
      </c>
      <c r="M162" s="3" t="inlineStr">
        <is>
          <t>CAD Authority</t>
        </is>
      </c>
      <c r="N162" s="6" t="inlineStr">
        <is>
          <t>開く</t>
        </is>
      </c>
    </row>
    <row r="163">
      <c r="A163" s="2">
        <f>RANK(J163,$J$2:$J$697)</f>
        <v/>
      </c>
      <c r="B163" s="3" t="inlineStr">
        <is>
          <t>線・ポリライン編集</t>
        </is>
      </c>
      <c r="C163" s="3" t="inlineStr">
        <is>
          <t>tlpline</t>
        </is>
      </c>
      <c r="D163" s="4" t="inlineStr">
        <is>
          <t>Limited Length Polyline</t>
        </is>
      </c>
      <c r="E163" s="4" t="inlineStr">
        <is>
          <t>指定長さまでポリライン作図</t>
        </is>
      </c>
      <c r="F163" s="2" t="n">
        <v>17</v>
      </c>
      <c r="G163" s="2" t="n">
        <v>14</v>
      </c>
      <c r="H163" s="2" t="n">
        <v>8</v>
      </c>
      <c r="I163" s="2" t="n">
        <v>10</v>
      </c>
      <c r="J163" s="5">
        <f>SUM(F163:I163)</f>
        <v/>
      </c>
      <c r="K163" s="4" t="inlineStr">
        <is>
          <t>長さ制限付き作図</t>
        </is>
      </c>
      <c r="L163" s="3" t="inlineStr">
        <is>
          <t>Lee Mac</t>
        </is>
      </c>
      <c r="M163" s="3" t="inlineStr">
        <is>
          <t>Lee Mac Programming</t>
        </is>
      </c>
      <c r="N163" s="6" t="inlineStr">
        <is>
          <t>開く</t>
        </is>
      </c>
    </row>
    <row r="164">
      <c r="A164" s="2">
        <f>RANK(J164,$J$2:$J$697)</f>
        <v/>
      </c>
      <c r="B164" s="3" t="inlineStr">
        <is>
          <t>文字・テキスト</t>
        </is>
      </c>
      <c r="C164" s="3" t="inlineStr">
        <is>
          <t>LTR</t>
        </is>
      </c>
      <c r="D164" s="4" t="inlineStr">
        <is>
          <t>LTR</t>
        </is>
      </c>
      <c r="E164" s="4" t="inlineStr">
        <is>
          <t>線の角度に文字を回転</t>
        </is>
      </c>
      <c r="F164" s="2" t="n">
        <v>10</v>
      </c>
      <c r="G164" s="2" t="n">
        <v>9</v>
      </c>
      <c r="H164" s="2" t="n">
        <v>12</v>
      </c>
      <c r="I164" s="2" t="n">
        <v>18</v>
      </c>
      <c r="J164" s="5">
        <f>SUM(F164:I164)</f>
        <v/>
      </c>
      <c r="K164" s="4" t="inlineStr">
        <is>
          <t>線角度合わせ、頻出で便利</t>
        </is>
      </c>
      <c r="L164" s="3" t="inlineStr">
        <is>
          <t>Jeffery P. Sanders</t>
        </is>
      </c>
      <c r="M164" s="3" t="inlineStr">
        <is>
          <t>JefferyPSanders.com</t>
        </is>
      </c>
      <c r="N164" s="6" t="inlineStr">
        <is>
          <t>開く</t>
        </is>
      </c>
    </row>
    <row r="165">
      <c r="A165" s="2">
        <f>RANK(J165,$J$2:$J$697)</f>
        <v/>
      </c>
      <c r="B165" s="3" t="inlineStr">
        <is>
          <t>線・ポリライン編集</t>
        </is>
      </c>
      <c r="C165" s="3" t="inlineStr">
        <is>
          <t>PolyOutline / mPolyOutline</t>
        </is>
      </c>
      <c r="D165" s="4" t="inlineStr">
        <is>
          <t>Polyline Outline</t>
        </is>
      </c>
      <c r="E165" s="4" t="inlineStr">
        <is>
          <t>幅付きポリラインの外形線作成</t>
        </is>
      </c>
      <c r="F165" s="2" t="n">
        <v>17</v>
      </c>
      <c r="G165" s="2" t="n">
        <v>12</v>
      </c>
      <c r="H165" s="2" t="n">
        <v>10</v>
      </c>
      <c r="I165" s="2" t="n">
        <v>10</v>
      </c>
      <c r="J165" s="5">
        <f>SUM(F165:I165)</f>
        <v/>
      </c>
      <c r="K165" s="4" t="inlineStr">
        <is>
          <t>幅付きPLの外形化</t>
        </is>
      </c>
      <c r="L165" s="3" t="inlineStr">
        <is>
          <t>Lee Mac</t>
        </is>
      </c>
      <c r="M165" s="3" t="inlineStr">
        <is>
          <t>Lee Mac Programming</t>
        </is>
      </c>
      <c r="N165" s="6" t="inlineStr">
        <is>
          <t>開く</t>
        </is>
      </c>
    </row>
    <row r="166">
      <c r="A166" s="2">
        <f>RANK(J166,$J$2:$J$697)</f>
        <v/>
      </c>
      <c r="B166" s="3" t="inlineStr">
        <is>
          <t>外部参照・図面管理・一括処理</t>
        </is>
      </c>
      <c r="C166" s="3" t="inlineStr">
        <is>
          <t>RXL</t>
        </is>
      </c>
      <c r="D166" s="4" t="inlineStr">
        <is>
          <t>Reset XRef Layers</t>
        </is>
      </c>
      <c r="E166" s="4" t="inlineStr">
        <is>
          <t>外部参照画層を初期化</t>
        </is>
      </c>
      <c r="F166" s="2" t="n">
        <v>15</v>
      </c>
      <c r="G166" s="2" t="n">
        <v>10</v>
      </c>
      <c r="H166" s="2" t="n">
        <v>10</v>
      </c>
      <c r="I166" s="2" t="n">
        <v>14</v>
      </c>
      <c r="J166" s="5">
        <f>SUM(F166:I166)</f>
        <v/>
      </c>
      <c r="K166" s="4" t="inlineStr">
        <is>
          <t>外部参照画層の上書き初期化</t>
        </is>
      </c>
      <c r="L166" s="3" t="inlineStr">
        <is>
          <t>Lee Mac</t>
        </is>
      </c>
      <c r="M166" s="3" t="inlineStr">
        <is>
          <t>Lee Mac Programming</t>
        </is>
      </c>
      <c r="N166" s="6" t="inlineStr">
        <is>
          <t>開く</t>
        </is>
      </c>
    </row>
    <row r="167">
      <c r="A167" s="2">
        <f>RANK(J167,$J$2:$J$697)</f>
        <v/>
      </c>
      <c r="B167" s="3" t="inlineStr">
        <is>
          <t>選択・絞り込み</t>
        </is>
      </c>
      <c r="C167" s="3" t="inlineStr">
        <is>
          <t>selcounton / selcountoff</t>
        </is>
      </c>
      <c r="D167" s="4" t="inlineStr">
        <is>
          <t>Selection Counter</t>
        </is>
      </c>
      <c r="E167" s="4" t="inlineStr">
        <is>
          <t>選択数をリアルタイム表示</t>
        </is>
      </c>
      <c r="F167" s="2" t="n">
        <v>14</v>
      </c>
      <c r="G167" s="2" t="n">
        <v>16</v>
      </c>
      <c r="H167" s="2" t="n">
        <v>5</v>
      </c>
      <c r="I167" s="2" t="n">
        <v>14</v>
      </c>
      <c r="J167" s="5">
        <f>SUM(F167:I167)</f>
        <v/>
      </c>
      <c r="K167" s="4" t="inlineStr">
        <is>
          <t>選択数のリアルタイム表示</t>
        </is>
      </c>
      <c r="L167" s="3" t="inlineStr">
        <is>
          <t>Lee Mac</t>
        </is>
      </c>
      <c r="M167" s="3" t="inlineStr">
        <is>
          <t>Lee Mac Programming</t>
        </is>
      </c>
      <c r="N167" s="6" t="inlineStr">
        <is>
          <t>開く</t>
        </is>
      </c>
    </row>
    <row r="168">
      <c r="A168" s="2">
        <f>RANK(J168,$J$2:$J$697)</f>
        <v/>
      </c>
      <c r="B168" s="3" t="inlineStr">
        <is>
          <t>ハッチ・面積・長さ集計</t>
        </is>
      </c>
      <c r="C168" s="3" t="inlineStr">
        <is>
          <t>aream</t>
        </is>
      </c>
      <c r="D168" s="4" t="inlineStr">
        <is>
          <t>AreaM.lsp</t>
        </is>
      </c>
      <c r="E168" s="4" t="inlineStr">
        <is>
          <t>選択図形の合計面積</t>
        </is>
      </c>
      <c r="F168" s="2" t="n">
        <v>12</v>
      </c>
      <c r="G168" s="2" t="n">
        <v>6</v>
      </c>
      <c r="H168" s="2" t="n">
        <v>13</v>
      </c>
      <c r="I168" s="2" t="n">
        <v>17</v>
      </c>
      <c r="J168" s="5">
        <f>SUM(F168:I168)</f>
        <v/>
      </c>
      <c r="K168" s="4" t="inlineStr">
        <is>
          <t>標準MEASUREGEOM加算で可</t>
        </is>
      </c>
      <c r="L168" s="3" t="inlineStr">
        <is>
          <t>JTB World (Jimmy Bergmark)</t>
        </is>
      </c>
      <c r="M168" s="3" t="inlineStr">
        <is>
          <t>JTB World</t>
        </is>
      </c>
      <c r="N168" s="6" t="inlineStr">
        <is>
          <t>開く</t>
        </is>
      </c>
    </row>
    <row r="169">
      <c r="A169" s="2">
        <f>RANK(J169,$J$2:$J$697)</f>
        <v/>
      </c>
      <c r="B169" s="3" t="inlineStr">
        <is>
          <t>構造・鉄骨・機械</t>
        </is>
      </c>
      <c r="C169" s="3" t="inlineStr">
        <is>
          <t>-</t>
        </is>
      </c>
      <c r="D169" s="4" t="inlineStr">
        <is>
          <t>BDEV.LSP (Bend Developer)</t>
        </is>
      </c>
      <c r="E169" s="4" t="inlineStr">
        <is>
          <t>板金の展開長を計算</t>
        </is>
      </c>
      <c r="F169" s="2" t="n">
        <v>17</v>
      </c>
      <c r="G169" s="2" t="n">
        <v>11</v>
      </c>
      <c r="H169" s="2" t="n">
        <v>12</v>
      </c>
      <c r="I169" s="2" t="n">
        <v>8</v>
      </c>
      <c r="J169" s="5">
        <f>SUM(F169:I169)</f>
        <v/>
      </c>
      <c r="K169" s="4" t="inlineStr">
        <is>
          <t>展開長を自動計算</t>
        </is>
      </c>
      <c r="L169" s="3" t="inlineStr">
        <is>
          <t>Owen Wengerd (ManuSoft)</t>
        </is>
      </c>
      <c r="M169" s="3" t="inlineStr">
        <is>
          <t>ManuSoft</t>
        </is>
      </c>
      <c r="N169" s="6" t="inlineStr">
        <is>
          <t>開く</t>
        </is>
      </c>
    </row>
    <row r="170">
      <c r="A170" s="2">
        <f>RANK(J170,$J$2:$J$697)</f>
        <v/>
      </c>
      <c r="B170" s="3" t="inlineStr">
        <is>
          <t>ブロック・属性</t>
        </is>
      </c>
      <c r="C170" s="3" t="inlineStr">
        <is>
          <t>blkcount / blkcountsettings</t>
        </is>
      </c>
      <c r="D170" s="4" t="inlineStr">
        <is>
          <t>Block Counter</t>
        </is>
      </c>
      <c r="E170" s="4" t="inlineStr">
        <is>
          <t>ブロック数を集計し表作成</t>
        </is>
      </c>
      <c r="F170" s="2" t="n">
        <v>6</v>
      </c>
      <c r="G170" s="2" t="n">
        <v>8</v>
      </c>
      <c r="H170" s="2" t="n">
        <v>15</v>
      </c>
      <c r="I170" s="2" t="n">
        <v>19</v>
      </c>
      <c r="J170" s="5">
        <f>SUM(F170:I170)</f>
        <v/>
      </c>
      <c r="K170" s="4" t="inlineStr">
        <is>
          <t>標準のCOUNTで代替可</t>
        </is>
      </c>
      <c r="L170" s="3" t="inlineStr">
        <is>
          <t>Lee Mac</t>
        </is>
      </c>
      <c r="M170" s="3" t="inlineStr">
        <is>
          <t>Lee Mac Programming</t>
        </is>
      </c>
      <c r="N170" s="6" t="inlineStr">
        <is>
          <t>開く</t>
        </is>
      </c>
    </row>
    <row r="171">
      <c r="A171" s="2">
        <f>RANK(J171,$J$2:$J$697)</f>
        <v/>
      </c>
      <c r="B171" s="3" t="inlineStr">
        <is>
          <t>ブロック・属性</t>
        </is>
      </c>
      <c r="C171" s="3" t="inlineStr">
        <is>
          <t>BLKCNT</t>
        </is>
      </c>
      <c r="D171" s="4" t="inlineStr">
        <is>
          <t>BlockCounter.lsp</t>
        </is>
      </c>
      <c r="E171" s="4" t="inlineStr">
        <is>
          <t>ブロック数を集計し表作成</t>
        </is>
      </c>
      <c r="F171" s="2" t="n">
        <v>6</v>
      </c>
      <c r="G171" s="2" t="n">
        <v>8</v>
      </c>
      <c r="H171" s="2" t="n">
        <v>15</v>
      </c>
      <c r="I171" s="2" t="n">
        <v>19</v>
      </c>
      <c r="J171" s="5">
        <f>SUM(F171:I171)</f>
        <v/>
      </c>
      <c r="K171" s="4" t="inlineStr">
        <is>
          <t>標準のCOUNTで代替可</t>
        </is>
      </c>
      <c r="L171" s="3" t="inlineStr">
        <is>
          <t>CADAuthority</t>
        </is>
      </c>
      <c r="M171" s="3" t="inlineStr">
        <is>
          <t>CAD Authority</t>
        </is>
      </c>
      <c r="N171" s="6" t="inlineStr">
        <is>
          <t>開く</t>
        </is>
      </c>
    </row>
    <row r="172">
      <c r="A172" s="2">
        <f>RANK(J172,$J$2:$J$697)</f>
        <v/>
      </c>
      <c r="B172" s="3" t="inlineStr">
        <is>
          <t>座標・測量・土木</t>
        </is>
      </c>
      <c r="C172" s="3" t="inlineStr">
        <is>
          <t>CHOFFSET</t>
        </is>
      </c>
      <c r="D172" s="4" t="inlineStr">
        <is>
          <t>CHAINAGE.LSP</t>
        </is>
      </c>
      <c r="E172" s="4" t="inlineStr">
        <is>
          <t>点の測点・オフセット取得</t>
        </is>
      </c>
      <c r="F172" s="2" t="n">
        <v>17</v>
      </c>
      <c r="G172" s="2" t="n">
        <v>11</v>
      </c>
      <c r="H172" s="2" t="n">
        <v>11</v>
      </c>
      <c r="I172" s="2" t="n">
        <v>9</v>
      </c>
      <c r="J172" s="5">
        <f>SUM(F172:I172)</f>
        <v/>
      </c>
      <c r="K172" s="4" t="inlineStr">
        <is>
          <t>点の測点・オフセット取得</t>
        </is>
      </c>
      <c r="L172" s="3" t="inlineStr">
        <is>
          <t>Giles Darling</t>
        </is>
      </c>
      <c r="M172" s="3" t="inlineStr">
        <is>
          <t>gilesdarling.me.uk</t>
        </is>
      </c>
      <c r="N172" s="6" t="inlineStr">
        <is>
          <t>開く</t>
        </is>
      </c>
    </row>
    <row r="173">
      <c r="A173" s="2">
        <f>RANK(J173,$J$2:$J$697)</f>
        <v/>
      </c>
      <c r="B173" s="3" t="inlineStr">
        <is>
          <t>ブロック・属性</t>
        </is>
      </c>
      <c r="C173" s="3" t="inlineStr">
        <is>
          <t>CNTBLK</t>
        </is>
      </c>
      <c r="D173" s="4" t="inlineStr">
        <is>
          <t>CNTBLK</t>
        </is>
      </c>
      <c r="E173" s="4" t="inlineStr">
        <is>
          <t>ブロック数を集計（属性条件可）</t>
        </is>
      </c>
      <c r="F173" s="2" t="n">
        <v>9</v>
      </c>
      <c r="G173" s="2" t="n">
        <v>9</v>
      </c>
      <c r="H173" s="2" t="n">
        <v>14</v>
      </c>
      <c r="I173" s="2" t="n">
        <v>16</v>
      </c>
      <c r="J173" s="5">
        <f>SUM(F173:I173)</f>
        <v/>
      </c>
      <c r="K173" s="4" t="inlineStr">
        <is>
          <t>データ書き出しで代替可</t>
        </is>
      </c>
      <c r="L173" s="3" t="inlineStr">
        <is>
          <t>Jeffery P. Sanders</t>
        </is>
      </c>
      <c r="M173" s="3" t="inlineStr">
        <is>
          <t>JefferyPSanders.com</t>
        </is>
      </c>
      <c r="N173" s="6" t="inlineStr">
        <is>
          <t>開く</t>
        </is>
      </c>
    </row>
    <row r="174">
      <c r="A174" s="2">
        <f>RANK(J174,$J$2:$J$697)</f>
        <v/>
      </c>
      <c r="B174" s="3" t="inlineStr">
        <is>
          <t>線・ポリライン編集</t>
        </is>
      </c>
      <c r="C174" s="3" t="inlineStr">
        <is>
          <t>TESTDL</t>
        </is>
      </c>
      <c r="D174" s="4" t="inlineStr">
        <is>
          <t>DelDupLine</t>
        </is>
      </c>
      <c r="E174" s="4" t="inlineStr">
        <is>
          <t>重複線・短い線を削除</t>
        </is>
      </c>
      <c r="F174" s="2" t="n">
        <v>9</v>
      </c>
      <c r="G174" s="2" t="n">
        <v>9</v>
      </c>
      <c r="H174" s="2" t="n">
        <v>13</v>
      </c>
      <c r="I174" s="2" t="n">
        <v>17</v>
      </c>
      <c r="J174" s="5">
        <f>SUM(F174:I174)</f>
        <v/>
      </c>
      <c r="K174" s="4" t="inlineStr">
        <is>
          <t>OVERKILLで大半代替</t>
        </is>
      </c>
      <c r="L174" s="3" t="inlineStr">
        <is>
          <t>Tihomir Bojanic</t>
        </is>
      </c>
      <c r="M174" s="3" t="inlineStr">
        <is>
          <t>AutoLISP Exchange</t>
        </is>
      </c>
      <c r="N174" s="6" t="inlineStr">
        <is>
          <t>開く</t>
        </is>
      </c>
    </row>
    <row r="175">
      <c r="A175" s="2">
        <f>RANK(J175,$J$2:$J$697)</f>
        <v/>
      </c>
      <c r="B175" s="3" t="inlineStr">
        <is>
          <t>ブロック・属性</t>
        </is>
      </c>
      <c r="C175" s="3" t="inlineStr">
        <is>
          <t>-</t>
        </is>
      </c>
      <c r="D175" s="4" t="inlineStr">
        <is>
          <t>Detail Book (DetailBook.zip)</t>
        </is>
      </c>
      <c r="E175" s="4" t="inlineStr">
        <is>
          <t>詳細図ライブラリの整理管理</t>
        </is>
      </c>
      <c r="F175" s="2" t="n">
        <v>13</v>
      </c>
      <c r="G175" s="2" t="n">
        <v>12</v>
      </c>
      <c r="H175" s="2" t="n">
        <v>12</v>
      </c>
      <c r="I175" s="2" t="n">
        <v>11</v>
      </c>
      <c r="J175" s="5">
        <f>SUM(F175:I175)</f>
        <v/>
      </c>
      <c r="K175" s="4" t="inlineStr">
        <is>
          <t>詳細図ライブラリ管理</t>
        </is>
      </c>
      <c r="L175" s="3" t="inlineStr"/>
      <c r="M175" s="3" t="inlineStr">
        <is>
          <t>draftsperson.net</t>
        </is>
      </c>
      <c r="N175" s="6" t="inlineStr">
        <is>
          <t>開く</t>
        </is>
      </c>
    </row>
    <row r="176">
      <c r="A176" s="2">
        <f>RANK(J176,$J$2:$J$697)</f>
        <v/>
      </c>
      <c r="B176" s="3" t="inlineStr">
        <is>
          <t>線・ポリライン編集</t>
        </is>
      </c>
      <c r="C176" s="3" t="inlineStr">
        <is>
          <t>-</t>
        </is>
      </c>
      <c r="D176" s="4" t="inlineStr">
        <is>
          <t>Double Offset (dof.zip)</t>
        </is>
      </c>
      <c r="E176" s="4" t="inlineStr">
        <is>
          <t>両側にオフセットし元図形を削除</t>
        </is>
      </c>
      <c r="F176" s="2" t="n">
        <v>12</v>
      </c>
      <c r="G176" s="2" t="n">
        <v>10</v>
      </c>
      <c r="H176" s="2" t="n">
        <v>12</v>
      </c>
      <c r="I176" s="2" t="n">
        <v>14</v>
      </c>
      <c r="J176" s="5">
        <f>SUM(F176:I176)</f>
        <v/>
      </c>
      <c r="K176" s="4" t="inlineStr">
        <is>
          <t>両側オフセット元削除</t>
        </is>
      </c>
      <c r="L176" s="3" t="inlineStr"/>
      <c r="M176" s="3" t="inlineStr">
        <is>
          <t>draftsperson.net</t>
        </is>
      </c>
      <c r="N176" s="6" t="inlineStr">
        <is>
          <t>開く</t>
        </is>
      </c>
    </row>
    <row r="177">
      <c r="A177" s="2">
        <f>RANK(J177,$J$2:$J$697)</f>
        <v/>
      </c>
      <c r="B177" s="3" t="inlineStr">
        <is>
          <t>表・Excel連携</t>
        </is>
      </c>
      <c r="C177" s="3" t="inlineStr">
        <is>
          <t>DrawExcel / DES</t>
        </is>
      </c>
      <c r="D177" s="4" t="inlineStr">
        <is>
          <t>DrawExcel</t>
        </is>
      </c>
      <c r="E177" s="4" t="inlineStr">
        <is>
          <t>Excel表を図面に作図</t>
        </is>
      </c>
      <c r="F177" s="2" t="n">
        <v>10</v>
      </c>
      <c r="G177" s="2" t="n">
        <v>10</v>
      </c>
      <c r="H177" s="2" t="n">
        <v>13</v>
      </c>
      <c r="I177" s="2" t="n">
        <v>15</v>
      </c>
      <c r="J177" s="5">
        <f>SUM(F177:I177)</f>
        <v/>
      </c>
      <c r="K177" s="4" t="inlineStr">
        <is>
          <t>標準のExcelデータリンクで可</t>
        </is>
      </c>
      <c r="L177" s="3" t="inlineStr">
        <is>
          <t>Terry Miller</t>
        </is>
      </c>
      <c r="M177" s="3" t="inlineStr">
        <is>
          <t>AutoLISP Exchange</t>
        </is>
      </c>
      <c r="N177" s="6" t="inlineStr">
        <is>
          <t>開く</t>
        </is>
      </c>
    </row>
    <row r="178">
      <c r="A178" s="2">
        <f>RANK(J178,$J$2:$J$697)</f>
        <v/>
      </c>
      <c r="B178" s="3" t="inlineStr">
        <is>
          <t>LISP開発用の部品</t>
        </is>
      </c>
      <c r="C178" s="3" t="inlineStr">
        <is>
          <t>LISPLogON / LISPLogOFF</t>
        </is>
      </c>
      <c r="D178" s="4" t="inlineStr">
        <is>
          <t>LISP Command Logger</t>
        </is>
      </c>
      <c r="E178" s="4" t="inlineStr">
        <is>
          <t>LISPコマンド使用履歴を記録</t>
        </is>
      </c>
      <c r="F178" s="2" t="n">
        <v>17</v>
      </c>
      <c r="G178" s="2" t="n">
        <v>17</v>
      </c>
      <c r="H178" s="2" t="n">
        <v>6</v>
      </c>
      <c r="I178" s="2" t="n">
        <v>8</v>
      </c>
      <c r="J178" s="5">
        <f>SUM(F178:I178)</f>
        <v/>
      </c>
      <c r="K178" s="4" t="inlineStr">
        <is>
          <t>コマンド使用状況を記録</t>
        </is>
      </c>
      <c r="L178" s="3" t="inlineStr">
        <is>
          <t>Lee Mac</t>
        </is>
      </c>
      <c r="M178" s="3" t="inlineStr">
        <is>
          <t>Lee Mac Programming</t>
        </is>
      </c>
      <c r="N178" s="6" t="inlineStr">
        <is>
          <t>開く</t>
        </is>
      </c>
    </row>
    <row r="179">
      <c r="A179" s="2">
        <f>RANK(J179,$J$2:$J$697)</f>
        <v/>
      </c>
      <c r="B179" s="3" t="inlineStr">
        <is>
          <t>文字・テキスト</t>
        </is>
      </c>
      <c r="C179" s="3" t="inlineStr">
        <is>
          <t>MA</t>
        </is>
      </c>
      <c r="D179" s="4" t="inlineStr">
        <is>
          <t>Ma</t>
        </is>
      </c>
      <c r="E179" s="4" t="inlineStr">
        <is>
          <t>文字内容を一致させる</t>
        </is>
      </c>
      <c r="F179" s="2" t="n">
        <v>10</v>
      </c>
      <c r="G179" s="2" t="n">
        <v>7</v>
      </c>
      <c r="H179" s="2" t="n">
        <v>11</v>
      </c>
      <c r="I179" s="2" t="n">
        <v>20</v>
      </c>
      <c r="J179" s="5">
        <f>SUM(F179:I179)</f>
        <v/>
      </c>
      <c r="K179" s="4" t="inlineStr">
        <is>
          <t>文字内容一致は標準にない</t>
        </is>
      </c>
      <c r="L179" s="3" t="inlineStr">
        <is>
          <t>Jeffery P. Sanders</t>
        </is>
      </c>
      <c r="M179" s="3" t="inlineStr">
        <is>
          <t>JefferyPSanders.com</t>
        </is>
      </c>
      <c r="N179" s="6" t="inlineStr">
        <is>
          <t>開く</t>
        </is>
      </c>
    </row>
    <row r="180">
      <c r="A180" s="2">
        <f>RANK(J180,$J$2:$J$697)</f>
        <v/>
      </c>
      <c r="B180" s="3" t="inlineStr">
        <is>
          <t>文字・テキスト</t>
        </is>
      </c>
      <c r="C180" s="3" t="inlineStr">
        <is>
          <t>MatchTextProps / MTP</t>
        </is>
      </c>
      <c r="D180" s="4" t="inlineStr">
        <is>
          <t>Match Text Properties</t>
        </is>
      </c>
      <c r="E180" s="4" t="inlineStr">
        <is>
          <t>文字プロパティを一致させる</t>
        </is>
      </c>
      <c r="F180" s="2" t="n">
        <v>8</v>
      </c>
      <c r="G180" s="2" t="n">
        <v>8</v>
      </c>
      <c r="H180" s="2" t="n">
        <v>12</v>
      </c>
      <c r="I180" s="2" t="n">
        <v>20</v>
      </c>
      <c r="J180" s="5">
        <f>SUM(F180:I180)</f>
        <v/>
      </c>
      <c r="K180" s="4" t="inlineStr">
        <is>
          <t>MATCHPROPで一部代替</t>
        </is>
      </c>
      <c r="L180" s="3" t="inlineStr">
        <is>
          <t>Lee Mac</t>
        </is>
      </c>
      <c r="M180" s="3" t="inlineStr">
        <is>
          <t>Lee Mac Programming</t>
        </is>
      </c>
      <c r="N180" s="6" t="inlineStr">
        <is>
          <t>開く</t>
        </is>
      </c>
    </row>
    <row r="181">
      <c r="A181" s="2">
        <f>RANK(J181,$J$2:$J$697)</f>
        <v/>
      </c>
      <c r="B181" s="3" t="inlineStr">
        <is>
          <t>ブロック・属性</t>
        </is>
      </c>
      <c r="C181" s="3" t="inlineStr">
        <is>
          <t>nburst</t>
        </is>
      </c>
      <c r="D181" s="4" t="inlineStr">
        <is>
          <t>Nested Burst</t>
        </is>
      </c>
      <c r="E181" s="4" t="inlineStr">
        <is>
          <t>ネストした属性ブロックを分解</t>
        </is>
      </c>
      <c r="F181" s="2" t="n">
        <v>14</v>
      </c>
      <c r="G181" s="2" t="n">
        <v>11</v>
      </c>
      <c r="H181" s="2" t="n">
        <v>10</v>
      </c>
      <c r="I181" s="2" t="n">
        <v>13</v>
      </c>
      <c r="J181" s="5">
        <f>SUM(F181:I181)</f>
        <v/>
      </c>
      <c r="K181" s="4" t="inlineStr">
        <is>
          <t>ネスト属性ブロック分解</t>
        </is>
      </c>
      <c r="L181" s="3" t="inlineStr">
        <is>
          <t>Lee Mac</t>
        </is>
      </c>
      <c r="M181" s="3" t="inlineStr">
        <is>
          <t>Lee Mac Programming</t>
        </is>
      </c>
      <c r="N181" s="6" t="inlineStr">
        <is>
          <t>開く</t>
        </is>
      </c>
    </row>
    <row r="182">
      <c r="A182" s="2">
        <f>RANK(J182,$J$2:$J$697)</f>
        <v/>
      </c>
      <c r="B182" s="3" t="inlineStr">
        <is>
          <t>建築</t>
        </is>
      </c>
      <c r="C182" s="3" t="inlineStr">
        <is>
          <t>-</t>
        </is>
      </c>
      <c r="D182" s="4" t="inlineStr">
        <is>
          <t>Spiral Staircase (Spst.rar)</t>
        </is>
      </c>
      <c r="E182" s="4" t="inlineStr">
        <is>
          <t>螺旋階段を自動作図</t>
        </is>
      </c>
      <c r="F182" s="2" t="n">
        <v>17</v>
      </c>
      <c r="G182" s="2" t="n">
        <v>12</v>
      </c>
      <c r="H182" s="2" t="n">
        <v>11</v>
      </c>
      <c r="I182" s="2" t="n">
        <v>8</v>
      </c>
      <c r="J182" s="5">
        <f>SUM(F182:I182)</f>
        <v/>
      </c>
      <c r="K182" s="4" t="inlineStr">
        <is>
          <t>螺旋階段を自動生成</t>
        </is>
      </c>
      <c r="L182" s="3" t="inlineStr"/>
      <c r="M182" s="3" t="inlineStr">
        <is>
          <t>draftsperson.net</t>
        </is>
      </c>
      <c r="N182" s="6" t="inlineStr">
        <is>
          <t>開く</t>
        </is>
      </c>
    </row>
    <row r="183">
      <c r="A183" s="2">
        <f>RANK(J183,$J$2:$J$697)</f>
        <v/>
      </c>
      <c r="B183" s="3" t="inlineStr">
        <is>
          <t>座標・測量・土木</t>
        </is>
      </c>
      <c r="C183" s="3" t="inlineStr">
        <is>
          <t>Surveyor</t>
        </is>
      </c>
      <c r="D183" s="4" t="inlineStr">
        <is>
          <t>Surveyor</t>
        </is>
      </c>
      <c r="E183" s="4" t="inlineStr">
        <is>
          <t>Excel・CSVから測点を挿入</t>
        </is>
      </c>
      <c r="F183" s="2" t="n">
        <v>14</v>
      </c>
      <c r="G183" s="2" t="n">
        <v>9</v>
      </c>
      <c r="H183" s="2" t="n">
        <v>15</v>
      </c>
      <c r="I183" s="2" t="n">
        <v>10</v>
      </c>
      <c r="J183" s="5">
        <f>SUM(F183:I183)</f>
        <v/>
      </c>
      <c r="K183" s="4" t="inlineStr">
        <is>
          <t>Excel・CSVから測点挿入</t>
        </is>
      </c>
      <c r="L183" s="3" t="inlineStr">
        <is>
          <t>Jeffery P. Sanders</t>
        </is>
      </c>
      <c r="M183" s="3" t="inlineStr">
        <is>
          <t>JefferyPSanders.com</t>
        </is>
      </c>
      <c r="N183" s="6" t="inlineStr">
        <is>
          <t>開く</t>
        </is>
      </c>
    </row>
    <row r="184">
      <c r="A184" s="2">
        <f>RANK(J184,$J$2:$J$697)</f>
        <v/>
      </c>
      <c r="B184" s="3" t="inlineStr">
        <is>
          <t>座標・測量・土木</t>
        </is>
      </c>
      <c r="C184" s="3" t="inlineStr">
        <is>
          <t>VCURV</t>
        </is>
      </c>
      <c r="D184" s="4" t="inlineStr">
        <is>
          <t>VCURV.LSP</t>
        </is>
      </c>
      <c r="E184" s="4" t="inlineStr">
        <is>
          <t>縦断曲線を作図</t>
        </is>
      </c>
      <c r="F184" s="2" t="n">
        <v>17</v>
      </c>
      <c r="G184" s="2" t="n">
        <v>11</v>
      </c>
      <c r="H184" s="2" t="n">
        <v>12</v>
      </c>
      <c r="I184" s="2" t="n">
        <v>8</v>
      </c>
      <c r="J184" s="5">
        <f>SUM(F184:I184)</f>
        <v/>
      </c>
      <c r="K184" s="4" t="inlineStr">
        <is>
          <t>縦断曲線作図</t>
        </is>
      </c>
      <c r="L184" s="3" t="inlineStr">
        <is>
          <t>Giles Darling</t>
        </is>
      </c>
      <c r="M184" s="3" t="inlineStr">
        <is>
          <t>gilesdarling.me.uk</t>
        </is>
      </c>
      <c r="N184" s="6" t="inlineStr">
        <is>
          <t>開く</t>
        </is>
      </c>
    </row>
    <row r="185">
      <c r="A185" s="2">
        <f>RANK(J185,$J$2:$J$697)</f>
        <v/>
      </c>
      <c r="B185" s="3" t="inlineStr">
        <is>
          <t>印刷・レイアウト・図枠</t>
        </is>
      </c>
      <c r="C185" s="3" t="inlineStr">
        <is>
          <t>VLOCKALL</t>
        </is>
      </c>
      <c r="D185" s="4" t="inlineStr">
        <is>
          <t>ViewportLockAll.lsp</t>
        </is>
      </c>
      <c r="E185" s="4" t="inlineStr">
        <is>
          <t>全ビューポートをロック</t>
        </is>
      </c>
      <c r="F185" s="2" t="n">
        <v>13</v>
      </c>
      <c r="G185" s="2" t="n">
        <v>5</v>
      </c>
      <c r="H185" s="2" t="n">
        <v>12</v>
      </c>
      <c r="I185" s="2" t="n">
        <v>18</v>
      </c>
      <c r="J185" s="5">
        <f>SUM(F185:I185)</f>
        <v/>
      </c>
      <c r="K185" s="4" t="inlineStr">
        <is>
          <t>全VP一括ロック</t>
        </is>
      </c>
      <c r="L185" s="3" t="inlineStr">
        <is>
          <t>CADAuthority</t>
        </is>
      </c>
      <c r="M185" s="3" t="inlineStr">
        <is>
          <t>CAD Authority</t>
        </is>
      </c>
      <c r="N185" s="6" t="inlineStr">
        <is>
          <t>開く</t>
        </is>
      </c>
    </row>
    <row r="186">
      <c r="A186" s="2">
        <f>RANK(J186,$J$2:$J$697)</f>
        <v/>
      </c>
      <c r="B186" s="3" t="inlineStr">
        <is>
          <t>表・Excel連携</t>
        </is>
      </c>
      <c r="C186" s="3" t="inlineStr">
        <is>
          <t>-</t>
        </is>
      </c>
      <c r="D186" s="4" t="inlineStr">
        <is>
          <t>AxcelPts</t>
        </is>
      </c>
      <c r="E186" s="4" t="inlineStr">
        <is>
          <t>Excel座標から点を作図</t>
        </is>
      </c>
      <c r="F186" s="2" t="n">
        <v>12</v>
      </c>
      <c r="G186" s="2" t="n">
        <v>8</v>
      </c>
      <c r="H186" s="2" t="n">
        <v>14</v>
      </c>
      <c r="I186" s="2" t="n">
        <v>13</v>
      </c>
      <c r="J186" s="5">
        <f>SUM(F186:I186)</f>
        <v/>
      </c>
      <c r="K186" s="4" t="inlineStr">
        <is>
          <t>Excel座標から点を一括作図</t>
        </is>
      </c>
      <c r="L186" s="3" t="inlineStr">
        <is>
          <t>Jeffery P. Sanders</t>
        </is>
      </c>
      <c r="M186" s="3" t="inlineStr">
        <is>
          <t>JefferyPSanders.com</t>
        </is>
      </c>
      <c r="N186" s="6" t="inlineStr">
        <is>
          <t>開く</t>
        </is>
      </c>
    </row>
    <row r="187">
      <c r="A187" s="2">
        <f>RANK(J187,$J$2:$J$697)</f>
        <v/>
      </c>
      <c r="B187" s="3" t="inlineStr">
        <is>
          <t>ブロック・属性</t>
        </is>
      </c>
      <c r="C187" s="3" t="inlineStr">
        <is>
          <t>BSM</t>
        </is>
      </c>
      <c r="D187" s="4" t="inlineStr">
        <is>
          <t>BlockScaleMaster.lsp</t>
        </is>
      </c>
      <c r="E187" s="4" t="inlineStr">
        <is>
          <t>複数ブロックを個別に尺度変更</t>
        </is>
      </c>
      <c r="F187" s="2" t="n">
        <v>9</v>
      </c>
      <c r="G187" s="2" t="n">
        <v>9</v>
      </c>
      <c r="H187" s="2" t="n">
        <v>13</v>
      </c>
      <c r="I187" s="2" t="n">
        <v>16</v>
      </c>
      <c r="J187" s="5">
        <f>SUM(F187:I187)</f>
        <v/>
      </c>
      <c r="K187" s="4" t="inlineStr">
        <is>
          <t>プロパティで尺度一括変更可</t>
        </is>
      </c>
      <c r="L187" s="3" t="inlineStr">
        <is>
          <t>CADAuthority</t>
        </is>
      </c>
      <c r="M187" s="3" t="inlineStr">
        <is>
          <t>CAD Authority</t>
        </is>
      </c>
      <c r="N187" s="6" t="inlineStr">
        <is>
          <t>開く</t>
        </is>
      </c>
    </row>
    <row r="188">
      <c r="A188" s="2">
        <f>RANK(J188,$J$2:$J$697)</f>
        <v/>
      </c>
      <c r="B188" s="3" t="inlineStr">
        <is>
          <t>座標・測量・土木</t>
        </is>
      </c>
      <c r="C188" s="3" t="inlineStr">
        <is>
          <t>CHSETOUT</t>
        </is>
      </c>
      <c r="D188" s="4" t="inlineStr">
        <is>
          <t>CHAINAGE.LSP</t>
        </is>
      </c>
      <c r="E188" s="4" t="inlineStr">
        <is>
          <t>線形の設置情報を出力</t>
        </is>
      </c>
      <c r="F188" s="2" t="n">
        <v>17</v>
      </c>
      <c r="G188" s="2" t="n">
        <v>11</v>
      </c>
      <c r="H188" s="2" t="n">
        <v>12</v>
      </c>
      <c r="I188" s="2" t="n">
        <v>7</v>
      </c>
      <c r="J188" s="5">
        <f>SUM(F188:I188)</f>
        <v/>
      </c>
      <c r="K188" s="4" t="inlineStr">
        <is>
          <t>線形の設置情報出力</t>
        </is>
      </c>
      <c r="L188" s="3" t="inlineStr">
        <is>
          <t>Giles Darling</t>
        </is>
      </c>
      <c r="M188" s="3" t="inlineStr">
        <is>
          <t>gilesdarling.me.uk</t>
        </is>
      </c>
      <c r="N188" s="6" t="inlineStr">
        <is>
          <t>開く</t>
        </is>
      </c>
    </row>
    <row r="189">
      <c r="A189" s="2">
        <f>RANK(J189,$J$2:$J$697)</f>
        <v/>
      </c>
      <c r="B189" s="3" t="inlineStr">
        <is>
          <t>表・Excel連携</t>
        </is>
      </c>
      <c r="C189" s="3" t="inlineStr">
        <is>
          <t>CSVTable</t>
        </is>
      </c>
      <c r="D189" s="4" t="inlineStr">
        <is>
          <t>CSVTable</t>
        </is>
      </c>
      <c r="E189" s="4" t="inlineStr">
        <is>
          <t>CSVから表を作図</t>
        </is>
      </c>
      <c r="F189" s="2" t="n">
        <v>11</v>
      </c>
      <c r="G189" s="2" t="n">
        <v>8</v>
      </c>
      <c r="H189" s="2" t="n">
        <v>13</v>
      </c>
      <c r="I189" s="2" t="n">
        <v>15</v>
      </c>
      <c r="J189" s="5">
        <f>SUM(F189:I189)</f>
        <v/>
      </c>
      <c r="K189" s="4" t="inlineStr">
        <is>
          <t>CSVから表を作成</t>
        </is>
      </c>
      <c r="L189" s="3" t="inlineStr">
        <is>
          <t>Jeffery P. Sanders</t>
        </is>
      </c>
      <c r="M189" s="3" t="inlineStr">
        <is>
          <t>JefferyPSanders.com</t>
        </is>
      </c>
      <c r="N189" s="6" t="inlineStr">
        <is>
          <t>開く</t>
        </is>
      </c>
    </row>
    <row r="190">
      <c r="A190" s="2">
        <f>RANK(J190,$J$2:$J$697)</f>
        <v/>
      </c>
      <c r="B190" s="3" t="inlineStr">
        <is>
          <t>ブロック・属性</t>
        </is>
      </c>
      <c r="C190" s="3" t="inlineStr">
        <is>
          <t>delblocks</t>
        </is>
      </c>
      <c r="D190" s="4" t="inlineStr">
        <is>
          <t>Delete Blocks</t>
        </is>
      </c>
      <c r="E190" s="4" t="inlineStr">
        <is>
          <t>ブロック定義と参照を一括削除</t>
        </is>
      </c>
      <c r="F190" s="2" t="n">
        <v>12</v>
      </c>
      <c r="G190" s="2" t="n">
        <v>9</v>
      </c>
      <c r="H190" s="2" t="n">
        <v>11</v>
      </c>
      <c r="I190" s="2" t="n">
        <v>15</v>
      </c>
      <c r="J190" s="5">
        <f>SUM(F190:I190)</f>
        <v/>
      </c>
      <c r="K190" s="4" t="inlineStr">
        <is>
          <t>参照削除+PURGEを一括</t>
        </is>
      </c>
      <c r="L190" s="3" t="inlineStr">
        <is>
          <t>Lee Mac</t>
        </is>
      </c>
      <c r="M190" s="3" t="inlineStr">
        <is>
          <t>Lee Mac Programming</t>
        </is>
      </c>
      <c r="N190" s="6" t="inlineStr">
        <is>
          <t>開く</t>
        </is>
      </c>
    </row>
    <row r="191">
      <c r="A191" s="2">
        <f>RANK(J191,$J$2:$J$697)</f>
        <v/>
      </c>
      <c r="B191" s="3" t="inlineStr">
        <is>
          <t>表・Excel連携</t>
        </is>
      </c>
      <c r="C191" s="3" t="inlineStr">
        <is>
          <t>XLS2TBL</t>
        </is>
      </c>
      <c r="D191" s="4" t="inlineStr">
        <is>
          <t>ExcelToTable.lsp</t>
        </is>
      </c>
      <c r="E191" s="4" t="inlineStr">
        <is>
          <t>CSV・Excelから表を作成</t>
        </is>
      </c>
      <c r="F191" s="2" t="n">
        <v>9</v>
      </c>
      <c r="G191" s="2" t="n">
        <v>8</v>
      </c>
      <c r="H191" s="2" t="n">
        <v>13</v>
      </c>
      <c r="I191" s="2" t="n">
        <v>17</v>
      </c>
      <c r="J191" s="5">
        <f>SUM(F191:I191)</f>
        <v/>
      </c>
      <c r="K191" s="4" t="inlineStr">
        <is>
          <t>データリンク表で概ね可</t>
        </is>
      </c>
      <c r="L191" s="3" t="inlineStr">
        <is>
          <t>CADAuthority</t>
        </is>
      </c>
      <c r="M191" s="3" t="inlineStr">
        <is>
          <t>CAD Authority</t>
        </is>
      </c>
      <c r="N191" s="6" t="inlineStr">
        <is>
          <t>開く</t>
        </is>
      </c>
    </row>
    <row r="192">
      <c r="A192" s="2">
        <f>RANK(J192,$J$2:$J$697)</f>
        <v/>
      </c>
      <c r="B192" s="3" t="inlineStr">
        <is>
          <t>ブロック・属性</t>
        </is>
      </c>
      <c r="C192" s="3" t="inlineStr">
        <is>
          <t>FRATT</t>
        </is>
      </c>
      <c r="D192" s="4" t="inlineStr">
        <is>
          <t>FindReplaceAttr.lsp</t>
        </is>
      </c>
      <c r="E192" s="4" t="inlineStr">
        <is>
          <t>属性値を一括検索置換</t>
        </is>
      </c>
      <c r="F192" s="2" t="n">
        <v>7</v>
      </c>
      <c r="G192" s="2" t="n">
        <v>8</v>
      </c>
      <c r="H192" s="2" t="n">
        <v>15</v>
      </c>
      <c r="I192" s="2" t="n">
        <v>17</v>
      </c>
      <c r="J192" s="5">
        <f>SUM(F192:I192)</f>
        <v/>
      </c>
      <c r="K192" s="4" t="inlineStr">
        <is>
          <t>FINDで属性も置換可</t>
        </is>
      </c>
      <c r="L192" s="3" t="inlineStr">
        <is>
          <t>CADAuthority</t>
        </is>
      </c>
      <c r="M192" s="3" t="inlineStr">
        <is>
          <t>CAD Authority</t>
        </is>
      </c>
      <c r="N192" s="6" t="inlineStr">
        <is>
          <t>開く</t>
        </is>
      </c>
    </row>
    <row r="193">
      <c r="A193" s="2">
        <f>RANK(J193,$J$2:$J$697)</f>
        <v/>
      </c>
      <c r="B193" s="3" t="inlineStr">
        <is>
          <t>外部参照・図面管理・一括処理</t>
        </is>
      </c>
      <c r="C193" s="3" t="inlineStr">
        <is>
          <t>IB</t>
        </is>
      </c>
      <c r="D193" s="4" t="inlineStr">
        <is>
          <t>Import Block</t>
        </is>
      </c>
      <c r="E193" s="4" t="inlineStr">
        <is>
          <t>他図面からブロックを読込み</t>
        </is>
      </c>
      <c r="F193" s="2" t="n">
        <v>12</v>
      </c>
      <c r="G193" s="2" t="n">
        <v>8</v>
      </c>
      <c r="H193" s="2" t="n">
        <v>11</v>
      </c>
      <c r="I193" s="2" t="n">
        <v>16</v>
      </c>
      <c r="J193" s="5">
        <f>SUM(F193:I193)</f>
        <v/>
      </c>
      <c r="K193" s="4" t="inlineStr">
        <is>
          <t>DesignCenterで代替可</t>
        </is>
      </c>
      <c r="L193" s="3" t="inlineStr">
        <is>
          <t>Lee Mac</t>
        </is>
      </c>
      <c r="M193" s="3" t="inlineStr">
        <is>
          <t>Lee Mac Programming</t>
        </is>
      </c>
      <c r="N193" s="6" t="inlineStr">
        <is>
          <t>開く</t>
        </is>
      </c>
    </row>
    <row r="194">
      <c r="A194" s="2">
        <f>RANK(J194,$J$2:$J$697)</f>
        <v/>
      </c>
      <c r="B194" s="3" t="inlineStr">
        <is>
          <t>画層</t>
        </is>
      </c>
      <c r="C194" s="3" t="inlineStr">
        <is>
          <t>layer-lw-list</t>
        </is>
      </c>
      <c r="D194" s="4" t="inlineStr">
        <is>
          <t>layer-lw-list.LSP</t>
        </is>
      </c>
      <c r="E194" s="4" t="inlineStr">
        <is>
          <t>画層・線太さ一覧を作図</t>
        </is>
      </c>
      <c r="F194" s="2" t="n">
        <v>15</v>
      </c>
      <c r="G194" s="2" t="n">
        <v>10</v>
      </c>
      <c r="H194" s="2" t="n">
        <v>8</v>
      </c>
      <c r="I194" s="2" t="n">
        <v>14</v>
      </c>
      <c r="J194" s="5">
        <f>SUM(F194:I194)</f>
        <v/>
      </c>
      <c r="K194" s="4" t="inlineStr">
        <is>
          <t>画層一覧を図面に作図</t>
        </is>
      </c>
      <c r="L194" s="3" t="inlineStr">
        <is>
          <t>JTB World (Jimmy Bergmark)</t>
        </is>
      </c>
      <c r="M194" s="3" t="inlineStr">
        <is>
          <t>JTB World</t>
        </is>
      </c>
      <c r="N194" s="6" t="inlineStr">
        <is>
          <t>開く</t>
        </is>
      </c>
    </row>
    <row r="195">
      <c r="A195" s="2">
        <f>RANK(J195,$J$2:$J$697)</f>
        <v/>
      </c>
      <c r="B195" s="3" t="inlineStr">
        <is>
          <t>線・ポリライン編集</t>
        </is>
      </c>
      <c r="C195" s="3" t="inlineStr">
        <is>
          <t>SCB / SC / SCD</t>
        </is>
      </c>
      <c r="D195" s="4" t="inlineStr">
        <is>
          <t>Rectangle Trim (SCB / SC / SCD) (trims.zip)</t>
        </is>
      </c>
      <c r="E195" s="4" t="inlineStr">
        <is>
          <t>矩形の内外を一括トリム消去</t>
        </is>
      </c>
      <c r="F195" s="2" t="n">
        <v>9</v>
      </c>
      <c r="G195" s="2" t="n">
        <v>10</v>
      </c>
      <c r="H195" s="2" t="n">
        <v>14</v>
      </c>
      <c r="I195" s="2" t="n">
        <v>14</v>
      </c>
      <c r="J195" s="5">
        <f>SUM(F195:I195)</f>
        <v/>
      </c>
      <c r="K195" s="4" t="inlineStr">
        <is>
          <t>EXTRIMでほぼ代替</t>
        </is>
      </c>
      <c r="L195" s="3" t="inlineStr"/>
      <c r="M195" s="3" t="inlineStr">
        <is>
          <t>draftsperson.net</t>
        </is>
      </c>
      <c r="N195" s="6" t="inlineStr">
        <is>
          <t>開く</t>
        </is>
      </c>
    </row>
    <row r="196">
      <c r="A196" s="2">
        <f>RANK(J196,$J$2:$J$697)</f>
        <v/>
      </c>
      <c r="B196" s="3" t="inlineStr">
        <is>
          <t>構造・鉄骨・機械</t>
        </is>
      </c>
      <c r="C196" s="3" t="inlineStr">
        <is>
          <t>-</t>
        </is>
      </c>
      <c r="D196" s="4" t="inlineStr">
        <is>
          <t>Stair Stringers (Stair.rar)</t>
        </is>
      </c>
      <c r="E196" s="4" t="inlineStr">
        <is>
          <t>階段ささら桁を作図・寸法記入</t>
        </is>
      </c>
      <c r="F196" s="2" t="n">
        <v>16</v>
      </c>
      <c r="G196" s="2" t="n">
        <v>11</v>
      </c>
      <c r="H196" s="2" t="n">
        <v>12</v>
      </c>
      <c r="I196" s="2" t="n">
        <v>8</v>
      </c>
      <c r="J196" s="5">
        <f>SUM(F196:I196)</f>
        <v/>
      </c>
      <c r="K196" s="4" t="inlineStr">
        <is>
          <t>ささら桁を寸法付生成</t>
        </is>
      </c>
      <c r="L196" s="3" t="inlineStr"/>
      <c r="M196" s="3" t="inlineStr">
        <is>
          <t>draftsperson.net</t>
        </is>
      </c>
      <c r="N196" s="6" t="inlineStr">
        <is>
          <t>開く</t>
        </is>
      </c>
    </row>
    <row r="197">
      <c r="A197" s="2">
        <f>RANK(J197,$J$2:$J$697)</f>
        <v/>
      </c>
      <c r="B197" s="3" t="inlineStr">
        <is>
          <t>座標・測量・土木</t>
        </is>
      </c>
      <c r="C197" s="3" t="inlineStr">
        <is>
          <t>TPOPSLOPEDIR</t>
        </is>
      </c>
      <c r="D197" s="4" t="inlineStr">
        <is>
          <t>TOPOPROCESS.LSP</t>
        </is>
      </c>
      <c r="E197" s="4" t="inlineStr">
        <is>
          <t>指定方向の勾配を記入</t>
        </is>
      </c>
      <c r="F197" s="2" t="n">
        <v>19</v>
      </c>
      <c r="G197" s="2" t="n">
        <v>13</v>
      </c>
      <c r="H197" s="2" t="n">
        <v>8</v>
      </c>
      <c r="I197" s="2" t="n">
        <v>7</v>
      </c>
      <c r="J197" s="5">
        <f>SUM(F197:I197)</f>
        <v/>
      </c>
      <c r="K197" s="4" t="inlineStr">
        <is>
          <t>指定方向の勾配記入</t>
        </is>
      </c>
      <c r="L197" s="3" t="inlineStr">
        <is>
          <t>Giles Darling</t>
        </is>
      </c>
      <c r="M197" s="3" t="inlineStr">
        <is>
          <t>gilesdarling.me.uk</t>
        </is>
      </c>
      <c r="N197" s="6" t="inlineStr">
        <is>
          <t>開く</t>
        </is>
      </c>
    </row>
    <row r="198">
      <c r="A198" s="2">
        <f>RANK(J198,$J$2:$J$697)</f>
        <v/>
      </c>
      <c r="B198" s="3" t="inlineStr">
        <is>
          <t>座標・測量・土木</t>
        </is>
      </c>
      <c r="C198" s="3" t="inlineStr">
        <is>
          <t>TPOPLEVEL</t>
        </is>
      </c>
      <c r="D198" s="4" t="inlineStr">
        <is>
          <t>TOPOPROCESS.LSP</t>
        </is>
      </c>
      <c r="E198" s="4" t="inlineStr">
        <is>
          <t>指定点のスポット標高記入</t>
        </is>
      </c>
      <c r="F198" s="2" t="n">
        <v>17</v>
      </c>
      <c r="G198" s="2" t="n">
        <v>10</v>
      </c>
      <c r="H198" s="2" t="n">
        <v>11</v>
      </c>
      <c r="I198" s="2" t="n">
        <v>9</v>
      </c>
      <c r="J198" s="5">
        <f>SUM(F198:I198)</f>
        <v/>
      </c>
      <c r="K198" s="4" t="inlineStr">
        <is>
          <t>スポット標高記入</t>
        </is>
      </c>
      <c r="L198" s="3" t="inlineStr">
        <is>
          <t>Giles Darling</t>
        </is>
      </c>
      <c r="M198" s="3" t="inlineStr">
        <is>
          <t>gilesdarling.me.uk</t>
        </is>
      </c>
      <c r="N198" s="6" t="inlineStr">
        <is>
          <t>開く</t>
        </is>
      </c>
    </row>
    <row r="199">
      <c r="A199" s="2">
        <f>RANK(J199,$J$2:$J$697)</f>
        <v/>
      </c>
      <c r="B199" s="3" t="inlineStr">
        <is>
          <t>ブロック・属性</t>
        </is>
      </c>
      <c r="C199" s="3" t="inlineStr">
        <is>
          <t>-</t>
        </is>
      </c>
      <c r="D199" s="4" t="inlineStr">
        <is>
          <t>Update Block Layer and Colour (updblock.zip)</t>
        </is>
      </c>
      <c r="E199" s="4" t="inlineStr">
        <is>
          <t>ブロック内の画層・色を一括更新</t>
        </is>
      </c>
      <c r="F199" s="2" t="n">
        <v>11</v>
      </c>
      <c r="G199" s="2" t="n">
        <v>8</v>
      </c>
      <c r="H199" s="2" t="n">
        <v>13</v>
      </c>
      <c r="I199" s="2" t="n">
        <v>15</v>
      </c>
      <c r="J199" s="5">
        <f>SUM(F199:I199)</f>
        <v/>
      </c>
      <c r="K199" s="4" t="inlineStr">
        <is>
          <t>SETBYLAYERで一部代替</t>
        </is>
      </c>
      <c r="L199" s="3" t="inlineStr"/>
      <c r="M199" s="3" t="inlineStr">
        <is>
          <t>draftsperson.net</t>
        </is>
      </c>
      <c r="N199" s="6" t="inlineStr">
        <is>
          <t>開く</t>
        </is>
      </c>
    </row>
    <row r="200">
      <c r="A200" s="2">
        <f>RANK(J200,$J$2:$J$697)</f>
        <v/>
      </c>
      <c r="B200" s="3" t="inlineStr">
        <is>
          <t>座標・測量・土木</t>
        </is>
      </c>
      <c r="C200" s="3" t="inlineStr">
        <is>
          <t>grd</t>
        </is>
      </c>
      <c r="D200" s="4" t="inlineStr">
        <is>
          <t>XY Grid</t>
        </is>
      </c>
      <c r="E200" s="4" t="inlineStr">
        <is>
          <t>座標値付きXYグリッド作図</t>
        </is>
      </c>
      <c r="F200" s="2" t="n">
        <v>15</v>
      </c>
      <c r="G200" s="2" t="n">
        <v>9</v>
      </c>
      <c r="H200" s="2" t="n">
        <v>12</v>
      </c>
      <c r="I200" s="2" t="n">
        <v>11</v>
      </c>
      <c r="J200" s="5">
        <f>SUM(F200:I200)</f>
        <v/>
      </c>
      <c r="K200" s="4" t="inlineStr">
        <is>
          <t>座標値付きXYグリッド</t>
        </is>
      </c>
      <c r="L200" s="3" t="inlineStr">
        <is>
          <t>Mark Beggs</t>
        </is>
      </c>
      <c r="M200" s="3" t="inlineStr">
        <is>
          <t>JTB World</t>
        </is>
      </c>
      <c r="N200" s="6" t="inlineStr">
        <is>
          <t>開く</t>
        </is>
      </c>
    </row>
    <row r="201">
      <c r="A201" s="2">
        <f>RANK(J201,$J$2:$J$697)</f>
        <v/>
      </c>
      <c r="B201" s="3" t="inlineStr">
        <is>
          <t>3D</t>
        </is>
      </c>
      <c r="C201" s="3" t="inlineStr">
        <is>
          <t>2dpro</t>
        </is>
      </c>
      <c r="D201" s="4" t="inlineStr">
        <is>
          <t>2D Projection</t>
        </is>
      </c>
      <c r="E201" s="4" t="inlineStr">
        <is>
          <t>3D図形を2D平面に投影</t>
        </is>
      </c>
      <c r="F201" s="2" t="n">
        <v>12</v>
      </c>
      <c r="G201" s="2" t="n">
        <v>11</v>
      </c>
      <c r="H201" s="2" t="n">
        <v>11</v>
      </c>
      <c r="I201" s="2" t="n">
        <v>12</v>
      </c>
      <c r="J201" s="5">
        <f>SUM(F201:I201)</f>
        <v/>
      </c>
      <c r="K201" s="4" t="inlineStr">
        <is>
          <t>FLATSHOTで一部代替</t>
        </is>
      </c>
      <c r="L201" s="3" t="inlineStr">
        <is>
          <t>Lee Mac</t>
        </is>
      </c>
      <c r="M201" s="3" t="inlineStr">
        <is>
          <t>Lee Mac Programming</t>
        </is>
      </c>
      <c r="N201" s="6" t="inlineStr">
        <is>
          <t>開く</t>
        </is>
      </c>
    </row>
    <row r="202">
      <c r="A202" s="2">
        <f>RANK(J202,$J$2:$J$697)</f>
        <v/>
      </c>
      <c r="B202" s="3" t="inlineStr">
        <is>
          <t>作図</t>
        </is>
      </c>
      <c r="C202" s="3" t="inlineStr">
        <is>
          <t>3PR / 3PRD</t>
        </is>
      </c>
      <c r="D202" s="4" t="inlineStr">
        <is>
          <t>3-Point Rectangle</t>
        </is>
      </c>
      <c r="E202" s="4" t="inlineStr">
        <is>
          <t>3点指定で矩形を作図</t>
        </is>
      </c>
      <c r="F202" s="2" t="n">
        <v>13</v>
      </c>
      <c r="G202" s="2" t="n">
        <v>12</v>
      </c>
      <c r="H202" s="2" t="n">
        <v>8</v>
      </c>
      <c r="I202" s="2" t="n">
        <v>13</v>
      </c>
      <c r="J202" s="5">
        <f>SUM(F202:I202)</f>
        <v/>
      </c>
      <c r="K202" s="4" t="inlineStr">
        <is>
          <t>3点で傾いた矩形</t>
        </is>
      </c>
      <c r="L202" s="3" t="inlineStr">
        <is>
          <t>Lee Mac</t>
        </is>
      </c>
      <c r="M202" s="3" t="inlineStr">
        <is>
          <t>Lee Mac Programming</t>
        </is>
      </c>
      <c r="N202" s="6" t="inlineStr">
        <is>
          <t>開く</t>
        </is>
      </c>
    </row>
    <row r="203">
      <c r="A203" s="2">
        <f>RANK(J203,$J$2:$J$697)</f>
        <v/>
      </c>
      <c r="B203" s="3" t="inlineStr">
        <is>
          <t>作図</t>
        </is>
      </c>
      <c r="C203" s="3" t="inlineStr">
        <is>
          <t>aarc / aarcsettings</t>
        </is>
      </c>
      <c r="D203" s="4" t="inlineStr">
        <is>
          <t>Arrow Arc</t>
        </is>
      </c>
      <c r="E203" s="4" t="inlineStr">
        <is>
          <t>矢印付き円弧を作図</t>
        </is>
      </c>
      <c r="F203" s="2" t="n">
        <v>16</v>
      </c>
      <c r="G203" s="2" t="n">
        <v>12</v>
      </c>
      <c r="H203" s="2" t="n">
        <v>8</v>
      </c>
      <c r="I203" s="2" t="n">
        <v>10</v>
      </c>
      <c r="J203" s="5">
        <f>SUM(F203:I203)</f>
        <v/>
      </c>
      <c r="K203" s="4" t="inlineStr">
        <is>
          <t>矢印付き円弧</t>
        </is>
      </c>
      <c r="L203" s="3" t="inlineStr">
        <is>
          <t>Lee Mac</t>
        </is>
      </c>
      <c r="M203" s="3" t="inlineStr">
        <is>
          <t>Lee Mac Programming</t>
        </is>
      </c>
      <c r="N203" s="6" t="inlineStr">
        <is>
          <t>開く</t>
        </is>
      </c>
    </row>
    <row r="204">
      <c r="A204" s="2">
        <f>RANK(J204,$J$2:$J$697)</f>
        <v/>
      </c>
      <c r="B204" s="3" t="inlineStr">
        <is>
          <t>ブロック・属性</t>
        </is>
      </c>
      <c r="C204" s="3" t="inlineStr">
        <is>
          <t>BLKREP</t>
        </is>
      </c>
      <c r="D204" s="4" t="inlineStr">
        <is>
          <t>BlockReplace.lsp</t>
        </is>
      </c>
      <c r="E204" s="4" t="inlineStr">
        <is>
          <t>ブロックを別ブロックに置換</t>
        </is>
      </c>
      <c r="F204" s="2" t="n">
        <v>5</v>
      </c>
      <c r="G204" s="2" t="n">
        <v>7</v>
      </c>
      <c r="H204" s="2" t="n">
        <v>14</v>
      </c>
      <c r="I204" s="2" t="n">
        <v>20</v>
      </c>
      <c r="J204" s="5">
        <f>SUM(F204:I204)</f>
        <v/>
      </c>
      <c r="K204" s="4" t="inlineStr">
        <is>
          <t>ETのBLOCKREPLACEで代替</t>
        </is>
      </c>
      <c r="L204" s="3" t="inlineStr">
        <is>
          <t>CADAuthority</t>
        </is>
      </c>
      <c r="M204" s="3" t="inlineStr">
        <is>
          <t>CAD Authority</t>
        </is>
      </c>
      <c r="N204" s="6" t="inlineStr">
        <is>
          <t>開く</t>
        </is>
      </c>
    </row>
    <row r="205">
      <c r="A205" s="2">
        <f>RANK(J205,$J$2:$J$697)</f>
        <v/>
      </c>
      <c r="B205" s="3" t="inlineStr">
        <is>
          <t>建築</t>
        </is>
      </c>
      <c r="C205" s="3" t="inlineStr">
        <is>
          <t>-</t>
        </is>
      </c>
      <c r="D205" s="4" t="inlineStr">
        <is>
          <t>Cabinet Faces (cabine.zip)</t>
        </is>
      </c>
      <c r="E205" s="4" t="inlineStr">
        <is>
          <t>キャビネット正面をパラメトリック作図</t>
        </is>
      </c>
      <c r="F205" s="2" t="n">
        <v>14</v>
      </c>
      <c r="G205" s="2" t="n">
        <v>11</v>
      </c>
      <c r="H205" s="2" t="n">
        <v>12</v>
      </c>
      <c r="I205" s="2" t="n">
        <v>9</v>
      </c>
      <c r="J205" s="5">
        <f>SUM(F205:I205)</f>
        <v/>
      </c>
      <c r="K205" s="4" t="inlineStr">
        <is>
          <t>寸法指定で正面図生成</t>
        </is>
      </c>
      <c r="L205" s="3" t="inlineStr"/>
      <c r="M205" s="3" t="inlineStr">
        <is>
          <t>draftsperson.net</t>
        </is>
      </c>
      <c r="N205" s="6" t="inlineStr">
        <is>
          <t>開く</t>
        </is>
      </c>
    </row>
    <row r="206">
      <c r="A206" s="2">
        <f>RANK(J206,$J$2:$J$697)</f>
        <v/>
      </c>
      <c r="B206" s="3" t="inlineStr">
        <is>
          <t>座標・測量・土木</t>
        </is>
      </c>
      <c r="C206" s="3" t="inlineStr">
        <is>
          <t>CHXSECTS</t>
        </is>
      </c>
      <c r="D206" s="4" t="inlineStr">
        <is>
          <t>CHAINAGE.LSP</t>
        </is>
      </c>
      <c r="E206" s="4" t="inlineStr">
        <is>
          <t>等間隔に横断線を作図</t>
        </is>
      </c>
      <c r="F206" s="2" t="n">
        <v>16</v>
      </c>
      <c r="G206" s="2" t="n">
        <v>9</v>
      </c>
      <c r="H206" s="2" t="n">
        <v>13</v>
      </c>
      <c r="I206" s="2" t="n">
        <v>8</v>
      </c>
      <c r="J206" s="5">
        <f>SUM(F206:I206)</f>
        <v/>
      </c>
      <c r="K206" s="4" t="inlineStr">
        <is>
          <t>等間隔に横断線作図</t>
        </is>
      </c>
      <c r="L206" s="3" t="inlineStr">
        <is>
          <t>Giles Darling</t>
        </is>
      </c>
      <c r="M206" s="3" t="inlineStr">
        <is>
          <t>gilesdarling.me.uk</t>
        </is>
      </c>
      <c r="N206" s="6" t="inlineStr">
        <is>
          <t>開く</t>
        </is>
      </c>
    </row>
    <row r="207">
      <c r="A207" s="2">
        <f>RANK(J207,$J$2:$J$697)</f>
        <v/>
      </c>
      <c r="B207" s="3" t="inlineStr">
        <is>
          <t>作図</t>
        </is>
      </c>
      <c r="C207" s="3" t="inlineStr">
        <is>
          <t>cwipe / c2wipe</t>
        </is>
      </c>
      <c r="D207" s="4" t="inlineStr">
        <is>
          <t>Circular Wipeout</t>
        </is>
      </c>
      <c r="E207" s="4" t="inlineStr">
        <is>
          <t>円形ワイプアウトを作成</t>
        </is>
      </c>
      <c r="F207" s="2" t="n">
        <v>13</v>
      </c>
      <c r="G207" s="2" t="n">
        <v>11</v>
      </c>
      <c r="H207" s="2" t="n">
        <v>9</v>
      </c>
      <c r="I207" s="2" t="n">
        <v>13</v>
      </c>
      <c r="J207" s="5">
        <f>SUM(F207:I207)</f>
        <v/>
      </c>
      <c r="K207" s="4" t="inlineStr">
        <is>
          <t>円形ワイプアウトは手間</t>
        </is>
      </c>
      <c r="L207" s="3" t="inlineStr">
        <is>
          <t>Lee Mac</t>
        </is>
      </c>
      <c r="M207" s="3" t="inlineStr">
        <is>
          <t>Lee Mac Programming</t>
        </is>
      </c>
      <c r="N207" s="6" t="inlineStr">
        <is>
          <t>開く</t>
        </is>
      </c>
    </row>
    <row r="208">
      <c r="A208" s="2">
        <f>RANK(J208,$J$2:$J$697)</f>
        <v/>
      </c>
      <c r="B208" s="3" t="inlineStr">
        <is>
          <t>座標・測量・土木</t>
        </is>
      </c>
      <c r="C208" s="3" t="inlineStr">
        <is>
          <t>COLOURBYX</t>
        </is>
      </c>
      <c r="D208" s="4" t="inlineStr">
        <is>
          <t>COLOURBY.LSP</t>
        </is>
      </c>
      <c r="E208" s="4" t="inlineStr">
        <is>
          <t>X座標で点を色分け</t>
        </is>
      </c>
      <c r="F208" s="2" t="n">
        <v>17</v>
      </c>
      <c r="G208" s="2" t="n">
        <v>13</v>
      </c>
      <c r="H208" s="2" t="n">
        <v>8</v>
      </c>
      <c r="I208" s="2" t="n">
        <v>8</v>
      </c>
      <c r="J208" s="5">
        <f>SUM(F208:I208)</f>
        <v/>
      </c>
      <c r="K208" s="4" t="inlineStr">
        <is>
          <t>X座標で色分け</t>
        </is>
      </c>
      <c r="L208" s="3" t="inlineStr">
        <is>
          <t>Giles Darling</t>
        </is>
      </c>
      <c r="M208" s="3" t="inlineStr">
        <is>
          <t>gilesdarling.me.uk</t>
        </is>
      </c>
      <c r="N208" s="6" t="inlineStr">
        <is>
          <t>開く</t>
        </is>
      </c>
    </row>
    <row r="209">
      <c r="A209" s="2">
        <f>RANK(J209,$J$2:$J$697)</f>
        <v/>
      </c>
      <c r="B209" s="3" t="inlineStr">
        <is>
          <t>座標・測量・土木</t>
        </is>
      </c>
      <c r="C209" s="3" t="inlineStr">
        <is>
          <t>COLOURBYY</t>
        </is>
      </c>
      <c r="D209" s="4" t="inlineStr">
        <is>
          <t>COLOURBY.LSP</t>
        </is>
      </c>
      <c r="E209" s="4" t="inlineStr">
        <is>
          <t>Y座標で点を色分け</t>
        </is>
      </c>
      <c r="F209" s="2" t="n">
        <v>17</v>
      </c>
      <c r="G209" s="2" t="n">
        <v>13</v>
      </c>
      <c r="H209" s="2" t="n">
        <v>8</v>
      </c>
      <c r="I209" s="2" t="n">
        <v>8</v>
      </c>
      <c r="J209" s="5">
        <f>SUM(F209:I209)</f>
        <v/>
      </c>
      <c r="K209" s="4" t="inlineStr">
        <is>
          <t>Y座標で色分け</t>
        </is>
      </c>
      <c r="L209" s="3" t="inlineStr">
        <is>
          <t>Giles Darling</t>
        </is>
      </c>
      <c r="M209" s="3" t="inlineStr">
        <is>
          <t>gilesdarling.me.uk</t>
        </is>
      </c>
      <c r="N209" s="6" t="inlineStr">
        <is>
          <t>開く</t>
        </is>
      </c>
    </row>
    <row r="210">
      <c r="A210" s="2">
        <f>RANK(J210,$J$2:$J$697)</f>
        <v/>
      </c>
      <c r="B210" s="3" t="inlineStr">
        <is>
          <t>座標・測量・土木</t>
        </is>
      </c>
      <c r="C210" s="3" t="inlineStr">
        <is>
          <t>-</t>
        </is>
      </c>
      <c r="D210" s="4" t="inlineStr">
        <is>
          <t>DIMPL.ZIP</t>
        </is>
      </c>
      <c r="E210" s="4" t="inlineStr">
        <is>
          <t>境界線の方位・距離を記入</t>
        </is>
      </c>
      <c r="F210" s="2" t="n">
        <v>15</v>
      </c>
      <c r="G210" s="2" t="n">
        <v>9</v>
      </c>
      <c r="H210" s="2" t="n">
        <v>13</v>
      </c>
      <c r="I210" s="2" t="n">
        <v>9</v>
      </c>
      <c r="J210" s="5">
        <f>SUM(F210:I210)</f>
        <v/>
      </c>
      <c r="K210" s="4" t="inlineStr">
        <is>
          <t>境界線方位・距離記入</t>
        </is>
      </c>
      <c r="L210" s="3" t="inlineStr">
        <is>
          <t>Owen Wengerd (ManuSoft)</t>
        </is>
      </c>
      <c r="M210" s="3" t="inlineStr">
        <is>
          <t>ManuSoft</t>
        </is>
      </c>
      <c r="N210" s="6" t="inlineStr">
        <is>
          <t>開く</t>
        </is>
      </c>
    </row>
    <row r="211">
      <c r="A211" s="2">
        <f>RANK(J211,$J$2:$J$697)</f>
        <v/>
      </c>
      <c r="B211" s="3" t="inlineStr">
        <is>
          <t>線・ポリライン編集</t>
        </is>
      </c>
      <c r="C211" s="3" t="inlineStr">
        <is>
          <t>-</t>
        </is>
      </c>
      <c r="D211" s="4" t="inlineStr">
        <is>
          <t>Freehand Lines (Freehand.lsp)</t>
        </is>
      </c>
      <c r="E211" s="4" t="inlineStr">
        <is>
          <t>線を手描き風に変形</t>
        </is>
      </c>
      <c r="F211" s="2" t="n">
        <v>18</v>
      </c>
      <c r="G211" s="2" t="n">
        <v>16</v>
      </c>
      <c r="H211" s="2" t="n">
        <v>5</v>
      </c>
      <c r="I211" s="2" t="n">
        <v>7</v>
      </c>
      <c r="J211" s="5">
        <f>SUM(F211:I211)</f>
        <v/>
      </c>
      <c r="K211" s="4" t="inlineStr">
        <is>
          <t>手描き風の遊び要素</t>
        </is>
      </c>
      <c r="L211" s="3" t="inlineStr"/>
      <c r="M211" s="3" t="inlineStr">
        <is>
          <t>draftsperson.net</t>
        </is>
      </c>
      <c r="N211" s="6" t="inlineStr">
        <is>
          <t>開く</t>
        </is>
      </c>
    </row>
    <row r="212">
      <c r="A212" s="2">
        <f>RANK(J212,$J$2:$J$697)</f>
        <v/>
      </c>
      <c r="B212" s="3" t="inlineStr">
        <is>
          <t>座標・測量・土木</t>
        </is>
      </c>
      <c r="C212" s="3" t="inlineStr">
        <is>
          <t>IMPORTXYZ</t>
        </is>
      </c>
      <c r="D212" s="4" t="inlineStr">
        <is>
          <t>IMPORT XYZ</t>
        </is>
      </c>
      <c r="E212" s="4" t="inlineStr">
        <is>
          <t>ファイルの座標を点・ブロック化</t>
        </is>
      </c>
      <c r="F212" s="2" t="n">
        <v>13</v>
      </c>
      <c r="G212" s="2" t="n">
        <v>7</v>
      </c>
      <c r="H212" s="2" t="n">
        <v>15</v>
      </c>
      <c r="I212" s="2" t="n">
        <v>11</v>
      </c>
      <c r="J212" s="5">
        <f>SUM(F212:I212)</f>
        <v/>
      </c>
      <c r="K212" s="4" t="inlineStr">
        <is>
          <t>ファイル座標を点・ブロック化</t>
        </is>
      </c>
      <c r="L212" s="3" t="inlineStr">
        <is>
          <t>Jeffery P. Sanders</t>
        </is>
      </c>
      <c r="M212" s="3" t="inlineStr">
        <is>
          <t>JefferyPSanders.com</t>
        </is>
      </c>
      <c r="N212" s="6" t="inlineStr">
        <is>
          <t>開く</t>
        </is>
      </c>
    </row>
    <row r="213">
      <c r="A213" s="2">
        <f>RANK(J213,$J$2:$J$697)</f>
        <v/>
      </c>
      <c r="B213" s="3" t="inlineStr">
        <is>
          <t>作図</t>
        </is>
      </c>
      <c r="C213" s="3" t="inlineStr">
        <is>
          <t>MEC / MECM</t>
        </is>
      </c>
      <c r="D213" s="4" t="inlineStr">
        <is>
          <t>Minimum Enclosing Circle</t>
        </is>
      </c>
      <c r="E213" s="4" t="inlineStr">
        <is>
          <t>最小外接円を作図</t>
        </is>
      </c>
      <c r="F213" s="2" t="n">
        <v>20</v>
      </c>
      <c r="G213" s="2" t="n">
        <v>14</v>
      </c>
      <c r="H213" s="2" t="n">
        <v>5</v>
      </c>
      <c r="I213" s="2" t="n">
        <v>7</v>
      </c>
      <c r="J213" s="5">
        <f>SUM(F213:I213)</f>
        <v/>
      </c>
      <c r="K213" s="4" t="inlineStr">
        <is>
          <t>最小外接円は標準不可</t>
        </is>
      </c>
      <c r="L213" s="3" t="inlineStr">
        <is>
          <t>Lee Mac</t>
        </is>
      </c>
      <c r="M213" s="3" t="inlineStr">
        <is>
          <t>Lee Mac Programming</t>
        </is>
      </c>
      <c r="N213" s="6" t="inlineStr">
        <is>
          <t>開く</t>
        </is>
      </c>
    </row>
    <row r="214">
      <c r="A214" s="2">
        <f>RANK(J214,$J$2:$J$697)</f>
        <v/>
      </c>
      <c r="B214" s="3" t="inlineStr">
        <is>
          <t>線・ポリライン編集</t>
        </is>
      </c>
      <c r="C214" s="3" t="inlineStr">
        <is>
          <t>mpl</t>
        </is>
      </c>
      <c r="D214" s="4" t="inlineStr">
        <is>
          <t>Multi-Polyline</t>
        </is>
      </c>
      <c r="E214" s="4" t="inlineStr">
        <is>
          <t>複数ポリラインを同時作図</t>
        </is>
      </c>
      <c r="F214" s="2" t="n">
        <v>12</v>
      </c>
      <c r="G214" s="2" t="n">
        <v>13</v>
      </c>
      <c r="H214" s="2" t="n">
        <v>10</v>
      </c>
      <c r="I214" s="2" t="n">
        <v>11</v>
      </c>
      <c r="J214" s="5">
        <f>SUM(F214:I214)</f>
        <v/>
      </c>
      <c r="K214" s="4" t="inlineStr">
        <is>
          <t>MLINEで一部代替</t>
        </is>
      </c>
      <c r="L214" s="3" t="inlineStr">
        <is>
          <t>Lee Mac</t>
        </is>
      </c>
      <c r="M214" s="3" t="inlineStr">
        <is>
          <t>Lee Mac Programming</t>
        </is>
      </c>
      <c r="N214" s="6" t="inlineStr">
        <is>
          <t>開く</t>
        </is>
      </c>
    </row>
    <row r="215">
      <c r="A215" s="2">
        <f>RANK(J215,$J$2:$J$697)</f>
        <v/>
      </c>
      <c r="B215" s="3" t="inlineStr">
        <is>
          <t>引出線・注記</t>
        </is>
      </c>
      <c r="C215" s="3" t="inlineStr">
        <is>
          <t>-</t>
        </is>
      </c>
      <c r="D215" s="4" t="inlineStr">
        <is>
          <t>Note with Leader (note.zip)</t>
        </is>
      </c>
      <c r="E215" s="4" t="inlineStr">
        <is>
          <t>定型注記を引出線付きで記入</t>
        </is>
      </c>
      <c r="F215" s="2" t="n">
        <v>12</v>
      </c>
      <c r="G215" s="2" t="n">
        <v>8</v>
      </c>
      <c r="H215" s="2" t="n">
        <v>12</v>
      </c>
      <c r="I215" s="2" t="n">
        <v>14</v>
      </c>
      <c r="J215" s="5">
        <f>SUM(F215:I215)</f>
        <v/>
      </c>
      <c r="K215" s="4" t="inlineStr">
        <is>
          <t>定型注記、ツールパレット代替</t>
        </is>
      </c>
      <c r="L215" s="3" t="inlineStr"/>
      <c r="M215" s="3" t="inlineStr">
        <is>
          <t>draftsperson.net</t>
        </is>
      </c>
      <c r="N215" s="6" t="inlineStr">
        <is>
          <t>開く</t>
        </is>
      </c>
    </row>
    <row r="216">
      <c r="A216" s="2">
        <f>RANK(J216,$J$2:$J$697)</f>
        <v/>
      </c>
      <c r="B216" s="3" t="inlineStr">
        <is>
          <t>設定・環境</t>
        </is>
      </c>
      <c r="C216" s="3" t="inlineStr">
        <is>
          <t>-</t>
        </is>
      </c>
      <c r="D216" s="4" t="inlineStr">
        <is>
          <t>osnapz</t>
        </is>
      </c>
      <c r="E216" s="4" t="inlineStr">
        <is>
          <t>OSNAPZで画面色を切替え</t>
        </is>
      </c>
      <c r="F216" s="2" t="n">
        <v>13</v>
      </c>
      <c r="G216" s="2" t="n">
        <v>15</v>
      </c>
      <c r="H216" s="2" t="n">
        <v>5</v>
      </c>
      <c r="I216" s="2" t="n">
        <v>13</v>
      </c>
      <c r="J216" s="5">
        <f>SUM(F216:I216)</f>
        <v/>
      </c>
      <c r="K216" s="4" t="inlineStr">
        <is>
          <t>OSNAPZで画面色切替え</t>
        </is>
      </c>
      <c r="L216" s="3" t="inlineStr">
        <is>
          <t>JTB World (Jimmy Bergmark)</t>
        </is>
      </c>
      <c r="M216" s="3" t="inlineStr">
        <is>
          <t>JTB World</t>
        </is>
      </c>
      <c r="N216" s="6" t="inlineStr">
        <is>
          <t>開く</t>
        </is>
      </c>
    </row>
    <row r="217">
      <c r="A217" s="2">
        <f>RANK(J217,$J$2:$J$697)</f>
        <v/>
      </c>
      <c r="B217" s="3" t="inlineStr">
        <is>
          <t>座標・測量・土木</t>
        </is>
      </c>
      <c r="C217" s="3" t="inlineStr">
        <is>
          <t>PNTCSV</t>
        </is>
      </c>
      <c r="D217" s="4" t="inlineStr">
        <is>
          <t>PointImportCSV.lsp</t>
        </is>
      </c>
      <c r="E217" s="4" t="inlineStr">
        <is>
          <t>CSVから座標点を読込</t>
        </is>
      </c>
      <c r="F217" s="2" t="n">
        <v>13</v>
      </c>
      <c r="G217" s="2" t="n">
        <v>7</v>
      </c>
      <c r="H217" s="2" t="n">
        <v>15</v>
      </c>
      <c r="I217" s="2" t="n">
        <v>11</v>
      </c>
      <c r="J217" s="5">
        <f>SUM(F217:I217)</f>
        <v/>
      </c>
      <c r="K217" s="4" t="inlineStr">
        <is>
          <t>CSV座標点の読込み</t>
        </is>
      </c>
      <c r="L217" s="3" t="inlineStr">
        <is>
          <t>CADAuthority</t>
        </is>
      </c>
      <c r="M217" s="3" t="inlineStr">
        <is>
          <t>CAD Authority</t>
        </is>
      </c>
      <c r="N217" s="6" t="inlineStr">
        <is>
          <t>開く</t>
        </is>
      </c>
    </row>
    <row r="218">
      <c r="A218" s="2">
        <f>RANK(J218,$J$2:$J$697)</f>
        <v/>
      </c>
      <c r="B218" s="3" t="inlineStr">
        <is>
          <t>座標・測量・土木</t>
        </is>
      </c>
      <c r="C218" s="3" t="inlineStr">
        <is>
          <t>SAG</t>
        </is>
      </c>
      <c r="D218" s="4" t="inlineStr">
        <is>
          <t>Sag</t>
        </is>
      </c>
      <c r="E218" s="4" t="inlineStr">
        <is>
          <t>電線のたるみを3D作図</t>
        </is>
      </c>
      <c r="F218" s="2" t="n">
        <v>18</v>
      </c>
      <c r="G218" s="2" t="n">
        <v>16</v>
      </c>
      <c r="H218" s="2" t="n">
        <v>7</v>
      </c>
      <c r="I218" s="2" t="n">
        <v>5</v>
      </c>
      <c r="J218" s="5">
        <f>SUM(F218:I218)</f>
        <v/>
      </c>
      <c r="K218" s="4" t="inlineStr">
        <is>
          <t>電線のたるみ3D作図</t>
        </is>
      </c>
      <c r="L218" s="3" t="inlineStr">
        <is>
          <t>Jeffery P. Sanders</t>
        </is>
      </c>
      <c r="M218" s="3" t="inlineStr">
        <is>
          <t>JefferyPSanders.com</t>
        </is>
      </c>
      <c r="N218" s="6" t="inlineStr">
        <is>
          <t>開く</t>
        </is>
      </c>
    </row>
    <row r="219">
      <c r="A219" s="2">
        <f>RANK(J219,$J$2:$J$697)</f>
        <v/>
      </c>
      <c r="B219" s="3" t="inlineStr">
        <is>
          <t>寸法</t>
        </is>
      </c>
      <c r="C219" s="3" t="inlineStr">
        <is>
          <t>BV / Bevel / BVS</t>
        </is>
      </c>
      <c r="D219" s="4" t="inlineStr">
        <is>
          <t>Bevel</t>
        </is>
      </c>
      <c r="E219" s="4" t="inlineStr">
        <is>
          <t>開先（ベベル）寸法を作図</t>
        </is>
      </c>
      <c r="F219" s="2" t="n">
        <v>18</v>
      </c>
      <c r="G219" s="2" t="n">
        <v>12</v>
      </c>
      <c r="H219" s="2" t="n">
        <v>10</v>
      </c>
      <c r="I219" s="2" t="n">
        <v>5</v>
      </c>
      <c r="J219" s="5">
        <f>SUM(F219:I219)</f>
        <v/>
      </c>
      <c r="K219" s="4" t="inlineStr">
        <is>
          <t>溶接開先寸法は特定分野</t>
        </is>
      </c>
      <c r="L219" s="3" t="inlineStr">
        <is>
          <t>Terry Miller</t>
        </is>
      </c>
      <c r="M219" s="3" t="inlineStr">
        <is>
          <t>AutoLISP Exchange</t>
        </is>
      </c>
      <c r="N219" s="6" t="inlineStr">
        <is>
          <t>開く</t>
        </is>
      </c>
    </row>
    <row r="220">
      <c r="A220" s="2">
        <f>RANK(J220,$J$2:$J$697)</f>
        <v/>
      </c>
      <c r="B220" s="3" t="inlineStr">
        <is>
          <t>建築</t>
        </is>
      </c>
      <c r="C220" s="3" t="inlineStr">
        <is>
          <t>-</t>
        </is>
      </c>
      <c r="D220" s="4" t="inlineStr">
        <is>
          <t>Centered Ceiling Grid (cgrid.zip)</t>
        </is>
      </c>
      <c r="E220" s="4" t="inlineStr">
        <is>
          <t>部屋中心の天井グリッドを作図</t>
        </is>
      </c>
      <c r="F220" s="2" t="n">
        <v>12</v>
      </c>
      <c r="G220" s="2" t="n">
        <v>11</v>
      </c>
      <c r="H220" s="2" t="n">
        <v>12</v>
      </c>
      <c r="I220" s="2" t="n">
        <v>10</v>
      </c>
      <c r="J220" s="5">
        <f>SUM(F220:I220)</f>
        <v/>
      </c>
      <c r="K220" s="4" t="inlineStr">
        <is>
          <t>部屋中心に割付け</t>
        </is>
      </c>
      <c r="L220" s="3" t="inlineStr"/>
      <c r="M220" s="3" t="inlineStr">
        <is>
          <t>draftsperson.net</t>
        </is>
      </c>
      <c r="N220" s="6" t="inlineStr">
        <is>
          <t>開く</t>
        </is>
      </c>
    </row>
    <row r="221">
      <c r="A221" s="2">
        <f>RANK(J221,$J$2:$J$697)</f>
        <v/>
      </c>
      <c r="B221" s="3" t="inlineStr">
        <is>
          <t>座標・測量・土木</t>
        </is>
      </c>
      <c r="C221" s="3" t="inlineStr">
        <is>
          <t>CHMARKS</t>
        </is>
      </c>
      <c r="D221" s="4" t="inlineStr">
        <is>
          <t>CHAINAGE.LSP</t>
        </is>
      </c>
      <c r="E221" s="4" t="inlineStr">
        <is>
          <t>等間隔に測点マーク作図</t>
        </is>
      </c>
      <c r="F221" s="2" t="n">
        <v>15</v>
      </c>
      <c r="G221" s="2" t="n">
        <v>8</v>
      </c>
      <c r="H221" s="2" t="n">
        <v>13</v>
      </c>
      <c r="I221" s="2" t="n">
        <v>9</v>
      </c>
      <c r="J221" s="5">
        <f>SUM(F221:I221)</f>
        <v/>
      </c>
      <c r="K221" s="4" t="inlineStr">
        <is>
          <t>等間隔測点マーク</t>
        </is>
      </c>
      <c r="L221" s="3" t="inlineStr">
        <is>
          <t>Giles Darling</t>
        </is>
      </c>
      <c r="M221" s="3" t="inlineStr">
        <is>
          <t>gilesdarling.me.uk</t>
        </is>
      </c>
      <c r="N221" s="6" t="inlineStr">
        <is>
          <t>開く</t>
        </is>
      </c>
    </row>
    <row r="222">
      <c r="A222" s="2">
        <f>RANK(J222,$J$2:$J$697)</f>
        <v/>
      </c>
      <c r="B222" s="3" t="inlineStr">
        <is>
          <t>画層</t>
        </is>
      </c>
      <c r="C222" s="3" t="inlineStr">
        <is>
          <t>ChangeNoPlotLayers</t>
        </is>
      </c>
      <c r="D222" s="4" t="inlineStr">
        <is>
          <t>ChangeNoPlottableLayers.LSP</t>
        </is>
      </c>
      <c r="E222" s="4" t="inlineStr">
        <is>
          <t>非印刷画層の図形をDefpointsへ</t>
        </is>
      </c>
      <c r="F222" s="2" t="n">
        <v>14</v>
      </c>
      <c r="G222" s="2" t="n">
        <v>9</v>
      </c>
      <c r="H222" s="2" t="n">
        <v>8</v>
      </c>
      <c r="I222" s="2" t="n">
        <v>14</v>
      </c>
      <c r="J222" s="5">
        <f>SUM(F222:I222)</f>
        <v/>
      </c>
      <c r="K222" s="4" t="inlineStr">
        <is>
          <t>非印刷図形をDefpointsへ</t>
        </is>
      </c>
      <c r="L222" s="3" t="inlineStr">
        <is>
          <t>JTB World (Jimmy Bergmark)</t>
        </is>
      </c>
      <c r="M222" s="3" t="inlineStr">
        <is>
          <t>JTB World</t>
        </is>
      </c>
      <c r="N222" s="6" t="inlineStr">
        <is>
          <t>開く</t>
        </is>
      </c>
    </row>
    <row r="223">
      <c r="A223" s="2">
        <f>RANK(J223,$J$2:$J$697)</f>
        <v/>
      </c>
      <c r="B223" s="3" t="inlineStr">
        <is>
          <t>設定・環境</t>
        </is>
      </c>
      <c r="C223" s="3" t="inlineStr">
        <is>
          <t>customcommands</t>
        </is>
      </c>
      <c r="D223" s="4" t="inlineStr">
        <is>
          <t>Custom Commands</t>
        </is>
      </c>
      <c r="E223" s="4" t="inlineStr">
        <is>
          <t>ロード済LISPコマンド一覧</t>
        </is>
      </c>
      <c r="F223" s="2" t="n">
        <v>15</v>
      </c>
      <c r="G223" s="2" t="n">
        <v>11</v>
      </c>
      <c r="H223" s="2" t="n">
        <v>6</v>
      </c>
      <c r="I223" s="2" t="n">
        <v>13</v>
      </c>
      <c r="J223" s="5">
        <f>SUM(F223:I223)</f>
        <v/>
      </c>
      <c r="K223" s="4" t="inlineStr">
        <is>
          <t>ロード済コマンド一覧</t>
        </is>
      </c>
      <c r="L223" s="3" t="inlineStr">
        <is>
          <t>Lee Mac</t>
        </is>
      </c>
      <c r="M223" s="3" t="inlineStr">
        <is>
          <t>Lee Mac Programming</t>
        </is>
      </c>
      <c r="N223" s="6" t="inlineStr">
        <is>
          <t>開く</t>
        </is>
      </c>
    </row>
    <row r="224">
      <c r="A224" s="2">
        <f>RANK(J224,$J$2:$J$697)</f>
        <v/>
      </c>
      <c r="B224" s="3" t="inlineStr">
        <is>
          <t>文字・テキスト</t>
        </is>
      </c>
      <c r="C224" s="3" t="inlineStr">
        <is>
          <t>EBT</t>
        </is>
      </c>
      <c r="D224" s="4" t="inlineStr">
        <is>
          <t>EBT</t>
        </is>
      </c>
      <c r="E224" s="4" t="inlineStr">
        <is>
          <t>空白文字を削除</t>
        </is>
      </c>
      <c r="F224" s="2" t="n">
        <v>12</v>
      </c>
      <c r="G224" s="2" t="n">
        <v>8</v>
      </c>
      <c r="H224" s="2" t="n">
        <v>9</v>
      </c>
      <c r="I224" s="2" t="n">
        <v>16</v>
      </c>
      <c r="J224" s="5">
        <f>SUM(F224:I224)</f>
        <v/>
      </c>
      <c r="K224" s="4" t="inlineStr">
        <is>
          <t>空白文字削除、標準で困難</t>
        </is>
      </c>
      <c r="L224" s="3" t="inlineStr">
        <is>
          <t>Jeffery P. Sanders</t>
        </is>
      </c>
      <c r="M224" s="3" t="inlineStr">
        <is>
          <t>JefferyPSanders.com</t>
        </is>
      </c>
      <c r="N224" s="6" t="inlineStr">
        <is>
          <t>開く</t>
        </is>
      </c>
    </row>
    <row r="225">
      <c r="A225" s="2">
        <f>RANK(J225,$J$2:$J$697)</f>
        <v/>
      </c>
      <c r="B225" s="3" t="inlineStr">
        <is>
          <t>線・ポリライン編集</t>
        </is>
      </c>
      <c r="C225" s="3" t="inlineStr">
        <is>
          <t>e2a</t>
        </is>
      </c>
      <c r="D225" s="4" t="inlineStr">
        <is>
          <t>Ellipse to Arc</t>
        </is>
      </c>
      <c r="E225" s="4" t="inlineStr">
        <is>
          <t>楕円を円弧ポリラインに変換</t>
        </is>
      </c>
      <c r="F225" s="2" t="n">
        <v>17</v>
      </c>
      <c r="G225" s="2" t="n">
        <v>11</v>
      </c>
      <c r="H225" s="2" t="n">
        <v>8</v>
      </c>
      <c r="I225" s="2" t="n">
        <v>9</v>
      </c>
      <c r="J225" s="5">
        <f>SUM(F225:I225)</f>
        <v/>
      </c>
      <c r="K225" s="4" t="inlineStr">
        <is>
          <t>既存楕円の円弧化は不可</t>
        </is>
      </c>
      <c r="L225" s="3" t="inlineStr">
        <is>
          <t>Lee Mac</t>
        </is>
      </c>
      <c r="M225" s="3" t="inlineStr">
        <is>
          <t>Lee Mac Programming</t>
        </is>
      </c>
      <c r="N225" s="6" t="inlineStr">
        <is>
          <t>開く</t>
        </is>
      </c>
    </row>
    <row r="226">
      <c r="A226" s="2">
        <f>RANK(J226,$J$2:$J$697)</f>
        <v/>
      </c>
      <c r="B226" s="3" t="inlineStr">
        <is>
          <t>寸法</t>
        </is>
      </c>
      <c r="C226" s="3" t="inlineStr">
        <is>
          <t>ISODIM</t>
        </is>
      </c>
      <c r="D226" s="4" t="inlineStr">
        <is>
          <t>ISODIM</t>
        </is>
      </c>
      <c r="E226" s="4" t="inlineStr">
        <is>
          <t>等角図寸法を作成</t>
        </is>
      </c>
      <c r="F226" s="2" t="n">
        <v>15</v>
      </c>
      <c r="G226" s="2" t="n">
        <v>12</v>
      </c>
      <c r="H226" s="2" t="n">
        <v>10</v>
      </c>
      <c r="I226" s="2" t="n">
        <v>8</v>
      </c>
      <c r="J226" s="5">
        <f>SUM(F226:I226)</f>
        <v/>
      </c>
      <c r="K226" s="4" t="inlineStr">
        <is>
          <t>等角図寸法の自動化</t>
        </is>
      </c>
      <c r="L226" s="3" t="inlineStr">
        <is>
          <t>Jeffery P. Sanders</t>
        </is>
      </c>
      <c r="M226" s="3" t="inlineStr">
        <is>
          <t>JefferyPSanders.com</t>
        </is>
      </c>
      <c r="N226" s="6" t="inlineStr">
        <is>
          <t>開く</t>
        </is>
      </c>
    </row>
    <row r="227">
      <c r="A227" s="2">
        <f>RANK(J227,$J$2:$J$697)</f>
        <v/>
      </c>
      <c r="B227" s="3" t="inlineStr">
        <is>
          <t>印刷・レイアウト・図枠</t>
        </is>
      </c>
      <c r="C227" s="3" t="inlineStr">
        <is>
          <t>lfname / lfnumber / lfsheet</t>
        </is>
      </c>
      <c r="D227" s="4" t="inlineStr">
        <is>
          <t>Layout Field</t>
        </is>
      </c>
      <c r="E227" s="4" t="inlineStr">
        <is>
          <t>レイアウト名・番号をフィールド化</t>
        </is>
      </c>
      <c r="F227" s="2" t="n">
        <v>9</v>
      </c>
      <c r="G227" s="2" t="n">
        <v>10</v>
      </c>
      <c r="H227" s="2" t="n">
        <v>10</v>
      </c>
      <c r="I227" s="2" t="n">
        <v>16</v>
      </c>
      <c r="J227" s="5">
        <f>SUM(F227:I227)</f>
        <v/>
      </c>
      <c r="K227" s="4" t="inlineStr">
        <is>
          <t>標準フィールドで作成可</t>
        </is>
      </c>
      <c r="L227" s="3" t="inlineStr">
        <is>
          <t>Lee Mac</t>
        </is>
      </c>
      <c r="M227" s="3" t="inlineStr">
        <is>
          <t>Lee Mac Programming</t>
        </is>
      </c>
      <c r="N227" s="6" t="inlineStr">
        <is>
          <t>開く</t>
        </is>
      </c>
    </row>
    <row r="228">
      <c r="A228" s="2">
        <f>RANK(J228,$J$2:$J$697)</f>
        <v/>
      </c>
      <c r="B228" s="3" t="inlineStr">
        <is>
          <t>LISP開発用の部品</t>
        </is>
      </c>
      <c r="C228" s="3" t="inlineStr">
        <is>
          <t>-</t>
        </is>
      </c>
      <c r="D228" s="4" t="inlineStr">
        <is>
          <t>Minimum Bounding Box</t>
        </is>
      </c>
      <c r="E228" s="4" t="inlineStr">
        <is>
          <t>最小外接矩形関数</t>
        </is>
      </c>
      <c r="F228" s="2" t="n">
        <v>18</v>
      </c>
      <c r="G228" s="2" t="n">
        <v>16</v>
      </c>
      <c r="H228" s="2" t="n">
        <v>5</v>
      </c>
      <c r="I228" s="2" t="n">
        <v>6</v>
      </c>
      <c r="J228" s="5">
        <f>SUM(F228:I228)</f>
        <v/>
      </c>
      <c r="K228" s="4" t="inlineStr">
        <is>
          <t>最小外接矩形の計算</t>
        </is>
      </c>
      <c r="L228" s="3" t="inlineStr">
        <is>
          <t>Lee Mac</t>
        </is>
      </c>
      <c r="M228" s="3" t="inlineStr">
        <is>
          <t>Lee Mac Programming</t>
        </is>
      </c>
      <c r="N228" s="6" t="inlineStr">
        <is>
          <t>開く</t>
        </is>
      </c>
    </row>
    <row r="229">
      <c r="A229" s="2">
        <f>RANK(J229,$J$2:$J$697)</f>
        <v/>
      </c>
      <c r="B229" s="3" t="inlineStr">
        <is>
          <t>ブロック・属性</t>
        </is>
      </c>
      <c r="C229" s="3" t="inlineStr">
        <is>
          <t>RepAtt</t>
        </is>
      </c>
      <c r="D229" s="4" t="inlineStr">
        <is>
          <t>RepAtt</t>
        </is>
      </c>
      <c r="E229" s="4" t="inlineStr">
        <is>
          <t>一致する属性値を一括置換</t>
        </is>
      </c>
      <c r="F229" s="2" t="n">
        <v>7</v>
      </c>
      <c r="G229" s="2" t="n">
        <v>8</v>
      </c>
      <c r="H229" s="2" t="n">
        <v>14</v>
      </c>
      <c r="I229" s="2" t="n">
        <v>16</v>
      </c>
      <c r="J229" s="5">
        <f>SUM(F229:I229)</f>
        <v/>
      </c>
      <c r="K229" s="4" t="inlineStr">
        <is>
          <t>FIND置換で代替可</t>
        </is>
      </c>
      <c r="L229" s="3" t="inlineStr">
        <is>
          <t>Jeffery P. Sanders</t>
        </is>
      </c>
      <c r="M229" s="3" t="inlineStr">
        <is>
          <t>JefferyPSanders.com</t>
        </is>
      </c>
      <c r="N229" s="6" t="inlineStr">
        <is>
          <t>開く</t>
        </is>
      </c>
    </row>
    <row r="230">
      <c r="A230" s="2">
        <f>RANK(J230,$J$2:$J$697)</f>
        <v/>
      </c>
      <c r="B230" s="3" t="inlineStr">
        <is>
          <t>座標・測量・土木</t>
        </is>
      </c>
      <c r="C230" s="3" t="inlineStr">
        <is>
          <t>TPOPSWAP</t>
        </is>
      </c>
      <c r="D230" s="4" t="inlineStr">
        <is>
          <t>TOPOPROCESS.LSP</t>
        </is>
      </c>
      <c r="E230" s="4" t="inlineStr">
        <is>
          <t>隣接三角形の共有辺を入替</t>
        </is>
      </c>
      <c r="F230" s="2" t="n">
        <v>18</v>
      </c>
      <c r="G230" s="2" t="n">
        <v>13</v>
      </c>
      <c r="H230" s="2" t="n">
        <v>8</v>
      </c>
      <c r="I230" s="2" t="n">
        <v>6</v>
      </c>
      <c r="J230" s="5">
        <f>SUM(F230:I230)</f>
        <v/>
      </c>
      <c r="K230" s="4" t="inlineStr">
        <is>
          <t>三角網辺の入替</t>
        </is>
      </c>
      <c r="L230" s="3" t="inlineStr">
        <is>
          <t>Giles Darling</t>
        </is>
      </c>
      <c r="M230" s="3" t="inlineStr">
        <is>
          <t>gilesdarling.me.uk</t>
        </is>
      </c>
      <c r="N230" s="6" t="inlineStr">
        <is>
          <t>開く</t>
        </is>
      </c>
    </row>
    <row r="231">
      <c r="A231" s="2">
        <f>RANK(J231,$J$2:$J$697)</f>
        <v/>
      </c>
      <c r="B231" s="3" t="inlineStr">
        <is>
          <t>印刷・レイアウト・図枠</t>
        </is>
      </c>
      <c r="C231" s="3" t="inlineStr">
        <is>
          <t>ZALLLAY</t>
        </is>
      </c>
      <c r="D231" s="4" t="inlineStr">
        <is>
          <t>ZoomAllLayouts.lsp</t>
        </is>
      </c>
      <c r="E231" s="4" t="inlineStr">
        <is>
          <t>全レイアウトで範囲ズーム</t>
        </is>
      </c>
      <c r="F231" s="2" t="n">
        <v>14</v>
      </c>
      <c r="G231" s="2" t="n">
        <v>6</v>
      </c>
      <c r="H231" s="2" t="n">
        <v>9</v>
      </c>
      <c r="I231" s="2" t="n">
        <v>16</v>
      </c>
      <c r="J231" s="5">
        <f>SUM(F231:I231)</f>
        <v/>
      </c>
      <c r="K231" s="4" t="inlineStr">
        <is>
          <t>全レイアウトのズーム統一</t>
        </is>
      </c>
      <c r="L231" s="3" t="inlineStr">
        <is>
          <t>CADAuthority</t>
        </is>
      </c>
      <c r="M231" s="3" t="inlineStr">
        <is>
          <t>CAD Authority</t>
        </is>
      </c>
      <c r="N231" s="6" t="inlineStr">
        <is>
          <t>開く</t>
        </is>
      </c>
    </row>
    <row r="232">
      <c r="A232" s="2">
        <f>RANK(J232,$J$2:$J$697)</f>
        <v/>
      </c>
      <c r="B232" s="3" t="inlineStr">
        <is>
          <t>LISP開発用の部品</t>
        </is>
      </c>
      <c r="C232" s="3" t="inlineStr">
        <is>
          <t>-</t>
        </is>
      </c>
      <c r="D232" s="4" t="inlineStr">
        <is>
          <t>5-Point Ellipse</t>
        </is>
      </c>
      <c r="E232" s="4" t="inlineStr">
        <is>
          <t>5点楕円計算関数</t>
        </is>
      </c>
      <c r="F232" s="2" t="n">
        <v>18</v>
      </c>
      <c r="G232" s="2" t="n">
        <v>17</v>
      </c>
      <c r="H232" s="2" t="n">
        <v>4</v>
      </c>
      <c r="I232" s="2" t="n">
        <v>5</v>
      </c>
      <c r="J232" s="5">
        <f>SUM(F232:I232)</f>
        <v/>
      </c>
      <c r="K232" s="4" t="inlineStr">
        <is>
          <t>5点楕円は珍しい計算</t>
        </is>
      </c>
      <c r="L232" s="3" t="inlineStr">
        <is>
          <t>Lee Mac</t>
        </is>
      </c>
      <c r="M232" s="3" t="inlineStr">
        <is>
          <t>Lee Mac Programming</t>
        </is>
      </c>
      <c r="N232" s="6" t="inlineStr">
        <is>
          <t>開く</t>
        </is>
      </c>
    </row>
    <row r="233">
      <c r="A233" s="2">
        <f>RANK(J233,$J$2:$J$697)</f>
        <v/>
      </c>
      <c r="B233" s="3" t="inlineStr">
        <is>
          <t>表・Excel連携</t>
        </is>
      </c>
      <c r="C233" s="3" t="inlineStr">
        <is>
          <t>ATTEXP</t>
        </is>
      </c>
      <c r="D233" s="4" t="inlineStr">
        <is>
          <t>AttributeExport.lsp</t>
        </is>
      </c>
      <c r="E233" s="4" t="inlineStr">
        <is>
          <t>属性をCSV・Excelに出力</t>
        </is>
      </c>
      <c r="F233" s="2" t="n">
        <v>7</v>
      </c>
      <c r="G233" s="2" t="n">
        <v>8</v>
      </c>
      <c r="H233" s="2" t="n">
        <v>12</v>
      </c>
      <c r="I233" s="2" t="n">
        <v>17</v>
      </c>
      <c r="J233" s="5">
        <f>SUM(F233:I233)</f>
        <v/>
      </c>
      <c r="K233" s="4" t="inlineStr">
        <is>
          <t>標準DATAEXTRACTIONで代替可</t>
        </is>
      </c>
      <c r="L233" s="3" t="inlineStr">
        <is>
          <t>CADAuthority</t>
        </is>
      </c>
      <c r="M233" s="3" t="inlineStr">
        <is>
          <t>CAD Authority</t>
        </is>
      </c>
      <c r="N233" s="6" t="inlineStr">
        <is>
          <t>開く</t>
        </is>
      </c>
    </row>
    <row r="234">
      <c r="A234" s="2">
        <f>RANK(J234,$J$2:$J$697)</f>
        <v/>
      </c>
      <c r="B234" s="3" t="inlineStr">
        <is>
          <t>表・Excel連携</t>
        </is>
      </c>
      <c r="C234" s="3" t="inlineStr">
        <is>
          <t>-</t>
        </is>
      </c>
      <c r="D234" s="4" t="inlineStr">
        <is>
          <t>Axcel2016</t>
        </is>
      </c>
      <c r="E234" s="4" t="inlineStr">
        <is>
          <t>Excel表をAutoCADに作図</t>
        </is>
      </c>
      <c r="F234" s="2" t="n">
        <v>9</v>
      </c>
      <c r="G234" s="2" t="n">
        <v>9</v>
      </c>
      <c r="H234" s="2" t="n">
        <v>12</v>
      </c>
      <c r="I234" s="2" t="n">
        <v>14</v>
      </c>
      <c r="J234" s="5">
        <f>SUM(F234:I234)</f>
        <v/>
      </c>
      <c r="K234" s="4" t="inlineStr">
        <is>
          <t>データリンクで概ね可</t>
        </is>
      </c>
      <c r="L234" s="3" t="inlineStr">
        <is>
          <t>Jeffery P. Sanders</t>
        </is>
      </c>
      <c r="M234" s="3" t="inlineStr">
        <is>
          <t>JefferyPSanders.com</t>
        </is>
      </c>
      <c r="N234" s="6" t="inlineStr">
        <is>
          <t>開く</t>
        </is>
      </c>
    </row>
    <row r="235">
      <c r="A235" s="2">
        <f>RANK(J235,$J$2:$J$697)</f>
        <v/>
      </c>
      <c r="B235" s="3" t="inlineStr">
        <is>
          <t>構造・鉄骨・機械</t>
        </is>
      </c>
      <c r="C235" s="3" t="inlineStr">
        <is>
          <t>-</t>
        </is>
      </c>
      <c r="D235" s="4" t="inlineStr">
        <is>
          <t>BCAL.LSP (Bend Calculator)</t>
        </is>
      </c>
      <c r="E235" s="4" t="inlineStr">
        <is>
          <t>板金の曲げ代を計算</t>
        </is>
      </c>
      <c r="F235" s="2" t="n">
        <v>16</v>
      </c>
      <c r="G235" s="2" t="n">
        <v>9</v>
      </c>
      <c r="H235" s="2" t="n">
        <v>11</v>
      </c>
      <c r="I235" s="2" t="n">
        <v>8</v>
      </c>
      <c r="J235" s="5">
        <f>SUM(F235:I235)</f>
        <v/>
      </c>
      <c r="K235" s="4" t="inlineStr">
        <is>
          <t>曲げ代計算は標準に無い</t>
        </is>
      </c>
      <c r="L235" s="3" t="inlineStr">
        <is>
          <t>Owen Wengerd (ManuSoft)</t>
        </is>
      </c>
      <c r="M235" s="3" t="inlineStr">
        <is>
          <t>ManuSoft</t>
        </is>
      </c>
      <c r="N235" s="6" t="inlineStr">
        <is>
          <t>開く</t>
        </is>
      </c>
    </row>
    <row r="236">
      <c r="A236" s="2">
        <f>RANK(J236,$J$2:$J$697)</f>
        <v/>
      </c>
      <c r="B236" s="3" t="inlineStr">
        <is>
          <t>ブロック・属性</t>
        </is>
      </c>
      <c r="C236" s="3" t="inlineStr">
        <is>
          <t>-</t>
        </is>
      </c>
      <c r="D236" s="4" t="inlineStr">
        <is>
          <t>Block Scale (bscale.lsp)</t>
        </is>
      </c>
      <c r="E236" s="4" t="inlineStr">
        <is>
          <t>ブロックを各挿入点で尺度変更</t>
        </is>
      </c>
      <c r="F236" s="2" t="n">
        <v>9</v>
      </c>
      <c r="G236" s="2" t="n">
        <v>8</v>
      </c>
      <c r="H236" s="2" t="n">
        <v>12</v>
      </c>
      <c r="I236" s="2" t="n">
        <v>15</v>
      </c>
      <c r="J236" s="5">
        <f>SUM(F236:I236)</f>
        <v/>
      </c>
      <c r="K236" s="4" t="inlineStr">
        <is>
          <t>プロパティで尺度一括変更可</t>
        </is>
      </c>
      <c r="L236" s="3" t="inlineStr"/>
      <c r="M236" s="3" t="inlineStr">
        <is>
          <t>draftsperson.net</t>
        </is>
      </c>
      <c r="N236" s="6" t="inlineStr">
        <is>
          <t>開く</t>
        </is>
      </c>
    </row>
    <row r="237">
      <c r="A237" s="2">
        <f>RANK(J237,$J$2:$J$697)</f>
        <v/>
      </c>
      <c r="B237" s="3" t="inlineStr">
        <is>
          <t>ブロック・属性</t>
        </is>
      </c>
      <c r="C237" s="3" t="inlineStr">
        <is>
          <t>-</t>
        </is>
      </c>
      <c r="D237" s="4" t="inlineStr">
        <is>
          <t>Block Scale 5.1 (bsc51.zip)</t>
        </is>
      </c>
      <c r="E237" s="4" t="inlineStr">
        <is>
          <t>ブロックを個別に尺度変更</t>
        </is>
      </c>
      <c r="F237" s="2" t="n">
        <v>9</v>
      </c>
      <c r="G237" s="2" t="n">
        <v>8</v>
      </c>
      <c r="H237" s="2" t="n">
        <v>12</v>
      </c>
      <c r="I237" s="2" t="n">
        <v>15</v>
      </c>
      <c r="J237" s="5">
        <f>SUM(F237:I237)</f>
        <v/>
      </c>
      <c r="K237" s="4" t="inlineStr">
        <is>
          <t>プロパティで尺度一括変更可</t>
        </is>
      </c>
      <c r="L237" s="3" t="inlineStr"/>
      <c r="M237" s="3" t="inlineStr">
        <is>
          <t>draftsperson.net</t>
        </is>
      </c>
      <c r="N237" s="6" t="inlineStr">
        <is>
          <t>開く</t>
        </is>
      </c>
    </row>
    <row r="238">
      <c r="A238" s="2">
        <f>RANK(J238,$J$2:$J$697)</f>
        <v/>
      </c>
      <c r="B238" s="3" t="inlineStr">
        <is>
          <t>線・ポリライン編集</t>
        </is>
      </c>
      <c r="C238" s="3" t="inlineStr">
        <is>
          <t>C2P</t>
        </is>
      </c>
      <c r="D238" s="4" t="inlineStr">
        <is>
          <t>CircleToPolyline.lsp</t>
        </is>
      </c>
      <c r="E238" s="4" t="inlineStr">
        <is>
          <t>円をポリラインに変換</t>
        </is>
      </c>
      <c r="F238" s="2" t="n">
        <v>15</v>
      </c>
      <c r="G238" s="2" t="n">
        <v>9</v>
      </c>
      <c r="H238" s="2" t="n">
        <v>8</v>
      </c>
      <c r="I238" s="2" t="n">
        <v>12</v>
      </c>
      <c r="J238" s="5">
        <f>SUM(F238:I238)</f>
        <v/>
      </c>
      <c r="K238" s="4" t="inlineStr">
        <is>
          <t>円のPL化は標準不可</t>
        </is>
      </c>
      <c r="L238" s="3" t="inlineStr">
        <is>
          <t>CADAuthority</t>
        </is>
      </c>
      <c r="M238" s="3" t="inlineStr">
        <is>
          <t>CAD Authority</t>
        </is>
      </c>
      <c r="N238" s="6" t="inlineStr">
        <is>
          <t>開く</t>
        </is>
      </c>
    </row>
    <row r="239">
      <c r="A239" s="2">
        <f>RANK(J239,$J$2:$J$697)</f>
        <v/>
      </c>
      <c r="B239" s="3" t="inlineStr">
        <is>
          <t>線・ポリライン編集</t>
        </is>
      </c>
      <c r="C239" s="3" t="inlineStr">
        <is>
          <t>dex</t>
        </is>
      </c>
      <c r="D239" s="4" t="inlineStr">
        <is>
          <t>Double Extend</t>
        </is>
      </c>
      <c r="E239" s="4" t="inlineStr">
        <is>
          <t>線の両端を境界まで延長</t>
        </is>
      </c>
      <c r="F239" s="2" t="n">
        <v>10</v>
      </c>
      <c r="G239" s="2" t="n">
        <v>9</v>
      </c>
      <c r="H239" s="2" t="n">
        <v>10</v>
      </c>
      <c r="I239" s="2" t="n">
        <v>15</v>
      </c>
      <c r="J239" s="5">
        <f>SUM(F239:I239)</f>
        <v/>
      </c>
      <c r="K239" s="4" t="inlineStr">
        <is>
          <t>両端延長を1操作で</t>
        </is>
      </c>
      <c r="L239" s="3" t="inlineStr">
        <is>
          <t>Lee Mac</t>
        </is>
      </c>
      <c r="M239" s="3" t="inlineStr">
        <is>
          <t>Lee Mac Programming</t>
        </is>
      </c>
      <c r="N239" s="6" t="inlineStr">
        <is>
          <t>開く</t>
        </is>
      </c>
    </row>
    <row r="240">
      <c r="A240" s="2">
        <f>RANK(J240,$J$2:$J$697)</f>
        <v/>
      </c>
      <c r="B240" s="3" t="inlineStr">
        <is>
          <t>座標・測量・土木</t>
        </is>
      </c>
      <c r="C240" s="3" t="inlineStr">
        <is>
          <t>GRIDGEN</t>
        </is>
      </c>
      <c r="D240" s="4" t="inlineStr">
        <is>
          <t>GridGenerator.lsp</t>
        </is>
      </c>
      <c r="E240" s="4" t="inlineStr">
        <is>
          <t>座標グリッドを生成</t>
        </is>
      </c>
      <c r="F240" s="2" t="n">
        <v>14</v>
      </c>
      <c r="G240" s="2" t="n">
        <v>8</v>
      </c>
      <c r="H240" s="2" t="n">
        <v>11</v>
      </c>
      <c r="I240" s="2" t="n">
        <v>11</v>
      </c>
      <c r="J240" s="5">
        <f>SUM(F240:I240)</f>
        <v/>
      </c>
      <c r="K240" s="4" t="inlineStr">
        <is>
          <t>座標グリッドの作成</t>
        </is>
      </c>
      <c r="L240" s="3" t="inlineStr">
        <is>
          <t>CADAuthority</t>
        </is>
      </c>
      <c r="M240" s="3" t="inlineStr">
        <is>
          <t>CAD Authority</t>
        </is>
      </c>
      <c r="N240" s="6" t="inlineStr">
        <is>
          <t>開く</t>
        </is>
      </c>
    </row>
    <row r="241">
      <c r="A241" s="2">
        <f>RANK(J241,$J$2:$J$697)</f>
        <v/>
      </c>
      <c r="B241" s="3" t="inlineStr">
        <is>
          <t>設備</t>
        </is>
      </c>
      <c r="C241" s="3" t="inlineStr">
        <is>
          <t>-</t>
        </is>
      </c>
      <c r="D241" s="4" t="inlineStr">
        <is>
          <t>HVAC Suite (HVAC Suite.rar)</t>
        </is>
      </c>
      <c r="E241" s="4" t="inlineStr">
        <is>
          <t>空調設計LISP・ブロック集</t>
        </is>
      </c>
      <c r="F241" s="2" t="n">
        <v>14</v>
      </c>
      <c r="G241" s="2" t="n">
        <v>8</v>
      </c>
      <c r="H241" s="2" t="n">
        <v>13</v>
      </c>
      <c r="I241" s="2" t="n">
        <v>9</v>
      </c>
      <c r="J241" s="5">
        <f>SUM(F241:I241)</f>
        <v/>
      </c>
      <c r="K241" s="4" t="inlineStr">
        <is>
          <t>空調記号の集合</t>
        </is>
      </c>
      <c r="L241" s="3" t="inlineStr"/>
      <c r="M241" s="3" t="inlineStr">
        <is>
          <t>draftsperson.net</t>
        </is>
      </c>
      <c r="N241" s="6" t="inlineStr">
        <is>
          <t>開く</t>
        </is>
      </c>
    </row>
    <row r="242">
      <c r="A242" s="2">
        <f>RANK(J242,$J$2:$J$697)</f>
        <v/>
      </c>
      <c r="B242" s="3" t="inlineStr">
        <is>
          <t>文字・テキスト</t>
        </is>
      </c>
      <c r="C242" s="3" t="inlineStr">
        <is>
          <t>-</t>
        </is>
      </c>
      <c r="D242" s="4" t="inlineStr">
        <is>
          <t>Match Text (Matchtxt.lsp)</t>
        </is>
      </c>
      <c r="E242" s="4" t="inlineStr">
        <is>
          <t>文字内容を選択文字に合わせる</t>
        </is>
      </c>
      <c r="F242" s="2" t="n">
        <v>10</v>
      </c>
      <c r="G242" s="2" t="n">
        <v>6</v>
      </c>
      <c r="H242" s="2" t="n">
        <v>10</v>
      </c>
      <c r="I242" s="2" t="n">
        <v>18</v>
      </c>
      <c r="J242" s="5">
        <f>SUM(F242:I242)</f>
        <v/>
      </c>
      <c r="K242" s="4" t="inlineStr">
        <is>
          <t>内容一致は標準にない</t>
        </is>
      </c>
      <c r="L242" s="3" t="inlineStr"/>
      <c r="M242" s="3" t="inlineStr">
        <is>
          <t>draftsperson.net</t>
        </is>
      </c>
      <c r="N242" s="6" t="inlineStr">
        <is>
          <t>開く</t>
        </is>
      </c>
    </row>
    <row r="243">
      <c r="A243" s="2">
        <f>RANK(J243,$J$2:$J$697)</f>
        <v/>
      </c>
      <c r="B243" s="3" t="inlineStr">
        <is>
          <t>文字・テキスト</t>
        </is>
      </c>
      <c r="C243" s="3" t="inlineStr">
        <is>
          <t>PM</t>
        </is>
      </c>
      <c r="D243" s="4" t="inlineStr">
        <is>
          <t>PersonalMtextSymbols.lsp</t>
        </is>
      </c>
      <c r="E243" s="4" t="inlineStr">
        <is>
          <t>MTEXT右クリックに記号追加</t>
        </is>
      </c>
      <c r="F243" s="2" t="n">
        <v>12</v>
      </c>
      <c r="G243" s="2" t="n">
        <v>12</v>
      </c>
      <c r="H243" s="2" t="n">
        <v>8</v>
      </c>
      <c r="I243" s="2" t="n">
        <v>12</v>
      </c>
      <c r="J243" s="5">
        <f>SUM(F243:I243)</f>
        <v/>
      </c>
      <c r="K243" s="4" t="inlineStr">
        <is>
          <t>右クリック記号拡張は面白い</t>
        </is>
      </c>
      <c r="L243" s="3" t="inlineStr">
        <is>
          <t>JTB World (Jimmy Bergmark)</t>
        </is>
      </c>
      <c r="M243" s="3" t="inlineStr">
        <is>
          <t>JTB World</t>
        </is>
      </c>
      <c r="N243" s="6" t="inlineStr">
        <is>
          <t>開く</t>
        </is>
      </c>
    </row>
    <row r="244">
      <c r="A244" s="2">
        <f>RANK(J244,$J$2:$J$697)</f>
        <v/>
      </c>
      <c r="B244" s="3" t="inlineStr">
        <is>
          <t>画層</t>
        </is>
      </c>
      <c r="C244" s="3" t="inlineStr">
        <is>
          <t>-</t>
        </is>
      </c>
      <c r="D244" s="4" t="inlineStr">
        <is>
          <t>PurgeReconciledLayers.LSP</t>
        </is>
      </c>
      <c r="E244" s="4" t="inlineStr">
        <is>
          <t>調整済画層情報を削除</t>
        </is>
      </c>
      <c r="F244" s="2" t="n">
        <v>16</v>
      </c>
      <c r="G244" s="2" t="n">
        <v>10</v>
      </c>
      <c r="H244" s="2" t="n">
        <v>6</v>
      </c>
      <c r="I244" s="2" t="n">
        <v>12</v>
      </c>
      <c r="J244" s="5">
        <f>SUM(F244:I244)</f>
        <v/>
      </c>
      <c r="K244" s="4" t="inlineStr">
        <is>
          <t>調整済画層情報削除は独自</t>
        </is>
      </c>
      <c r="L244" s="3" t="inlineStr">
        <is>
          <t>JTB World (Jimmy Bergmark)</t>
        </is>
      </c>
      <c r="M244" s="3" t="inlineStr">
        <is>
          <t>JTB World</t>
        </is>
      </c>
      <c r="N244" s="6" t="inlineStr">
        <is>
          <t>開く</t>
        </is>
      </c>
    </row>
    <row r="245">
      <c r="A245" s="2">
        <f>RANK(J245,$J$2:$J$697)</f>
        <v/>
      </c>
      <c r="B245" s="3" t="inlineStr">
        <is>
          <t>建築</t>
        </is>
      </c>
      <c r="C245" s="3" t="inlineStr">
        <is>
          <t>-</t>
        </is>
      </c>
      <c r="D245" s="4" t="inlineStr">
        <is>
          <t>Stair Calculator (staircal.zip)</t>
        </is>
      </c>
      <c r="E245" s="4" t="inlineStr">
        <is>
          <t>階段の蹴上・踏面を計算</t>
        </is>
      </c>
      <c r="F245" s="2" t="n">
        <v>15</v>
      </c>
      <c r="G245" s="2" t="n">
        <v>9</v>
      </c>
      <c r="H245" s="2" t="n">
        <v>10</v>
      </c>
      <c r="I245" s="2" t="n">
        <v>10</v>
      </c>
      <c r="J245" s="5">
        <f>SUM(F245:I245)</f>
        <v/>
      </c>
      <c r="K245" s="4" t="inlineStr">
        <is>
          <t>蹴上踏面を自動計算</t>
        </is>
      </c>
      <c r="L245" s="3" t="inlineStr"/>
      <c r="M245" s="3" t="inlineStr">
        <is>
          <t>draftsperson.net</t>
        </is>
      </c>
      <c r="N245" s="6" t="inlineStr">
        <is>
          <t>開く</t>
        </is>
      </c>
    </row>
    <row r="246">
      <c r="A246" s="2">
        <f>RANK(J246,$J$2:$J$697)</f>
        <v/>
      </c>
      <c r="B246" s="3" t="inlineStr">
        <is>
          <t>文字・テキスト</t>
        </is>
      </c>
      <c r="C246" s="3" t="inlineStr">
        <is>
          <t>TXTCNT</t>
        </is>
      </c>
      <c r="D246" s="4" t="inlineStr">
        <is>
          <t>TXTCNT</t>
        </is>
      </c>
      <c r="E246" s="4" t="inlineStr">
        <is>
          <t>同一文字の出現数を集計</t>
        </is>
      </c>
      <c r="F246" s="2" t="n">
        <v>13</v>
      </c>
      <c r="G246" s="2" t="n">
        <v>9</v>
      </c>
      <c r="H246" s="2" t="n">
        <v>10</v>
      </c>
      <c r="I246" s="2" t="n">
        <v>12</v>
      </c>
      <c r="J246" s="5">
        <f>SUM(F246:I246)</f>
        <v/>
      </c>
      <c r="K246" s="4" t="inlineStr">
        <is>
          <t>同一文字集計、標準手間</t>
        </is>
      </c>
      <c r="L246" s="3" t="inlineStr">
        <is>
          <t>Jeffery P. Sanders</t>
        </is>
      </c>
      <c r="M246" s="3" t="inlineStr">
        <is>
          <t>JefferyPSanders.com</t>
        </is>
      </c>
      <c r="N246" s="6" t="inlineStr">
        <is>
          <t>開く</t>
        </is>
      </c>
    </row>
    <row r="247">
      <c r="A247" s="2">
        <f>RANK(J247,$J$2:$J$697)</f>
        <v/>
      </c>
      <c r="B247" s="3" t="inlineStr">
        <is>
          <t>構造・鉄骨・機械</t>
        </is>
      </c>
      <c r="C247" s="3" t="inlineStr">
        <is>
          <t>WEIGHT</t>
        </is>
      </c>
      <c r="D247" s="4" t="inlineStr">
        <is>
          <t>Weight</t>
        </is>
      </c>
      <c r="E247" s="4" t="inlineStr">
        <is>
          <t>面積と厚さ・材質から重量計算</t>
        </is>
      </c>
      <c r="F247" s="2" t="n">
        <v>13</v>
      </c>
      <c r="G247" s="2" t="n">
        <v>9</v>
      </c>
      <c r="H247" s="2" t="n">
        <v>11</v>
      </c>
      <c r="I247" s="2" t="n">
        <v>11</v>
      </c>
      <c r="J247" s="5">
        <f>SUM(F247:I247)</f>
        <v/>
      </c>
      <c r="K247" s="4" t="inlineStr">
        <is>
          <t>面積から重量を即算出</t>
        </is>
      </c>
      <c r="L247" s="3" t="inlineStr">
        <is>
          <t>Jeffery P. Sanders</t>
        </is>
      </c>
      <c r="M247" s="3" t="inlineStr">
        <is>
          <t>JefferyPSanders.com</t>
        </is>
      </c>
      <c r="N247" s="6" t="inlineStr">
        <is>
          <t>開く</t>
        </is>
      </c>
    </row>
    <row r="248">
      <c r="A248" s="2">
        <f>RANK(J248,$J$2:$J$697)</f>
        <v/>
      </c>
      <c r="B248" s="3" t="inlineStr">
        <is>
          <t>設定・環境</t>
        </is>
      </c>
      <c r="C248" s="3" t="inlineStr">
        <is>
          <t>acaddoc</t>
        </is>
      </c>
      <c r="D248" s="4" t="inlineStr">
        <is>
          <t>acaddoc.lsp Creator</t>
        </is>
      </c>
      <c r="E248" s="4" t="inlineStr">
        <is>
          <t>acaddoc.lspを自動生成</t>
        </is>
      </c>
      <c r="F248" s="2" t="n">
        <v>12</v>
      </c>
      <c r="G248" s="2" t="n">
        <v>10</v>
      </c>
      <c r="H248" s="2" t="n">
        <v>8</v>
      </c>
      <c r="I248" s="2" t="n">
        <v>13</v>
      </c>
      <c r="J248" s="5">
        <f>SUM(F248:I248)</f>
        <v/>
      </c>
      <c r="K248" s="4" t="inlineStr">
        <is>
          <t>acaddoc.lspを自動生成</t>
        </is>
      </c>
      <c r="L248" s="3" t="inlineStr">
        <is>
          <t>Lee Mac</t>
        </is>
      </c>
      <c r="M248" s="3" t="inlineStr">
        <is>
          <t>Lee Mac Programming</t>
        </is>
      </c>
      <c r="N248" s="6" t="inlineStr">
        <is>
          <t>開く</t>
        </is>
      </c>
    </row>
    <row r="249">
      <c r="A249" s="2">
        <f>RANK(J249,$J$2:$J$697)</f>
        <v/>
      </c>
      <c r="B249" s="3" t="inlineStr">
        <is>
          <t>文字・テキスト</t>
        </is>
      </c>
      <c r="C249" s="3" t="inlineStr">
        <is>
          <t>ATC</t>
        </is>
      </c>
      <c r="D249" s="4" t="inlineStr">
        <is>
          <t>Align Text to Curve</t>
        </is>
      </c>
      <c r="E249" s="4" t="inlineStr">
        <is>
          <t>文字を曲線に沿って配置</t>
        </is>
      </c>
      <c r="F249" s="2" t="n">
        <v>12</v>
      </c>
      <c r="G249" s="2" t="n">
        <v>10</v>
      </c>
      <c r="H249" s="2" t="n">
        <v>9</v>
      </c>
      <c r="I249" s="2" t="n">
        <v>12</v>
      </c>
      <c r="J249" s="5">
        <f>SUM(F249:I249)</f>
        <v/>
      </c>
      <c r="K249" s="4" t="inlineStr">
        <is>
          <t>曲線沿い配置は標準困難</t>
        </is>
      </c>
      <c r="L249" s="3" t="inlineStr">
        <is>
          <t>Lee Mac</t>
        </is>
      </c>
      <c r="M249" s="3" t="inlineStr">
        <is>
          <t>Lee Mac Programming</t>
        </is>
      </c>
      <c r="N249" s="6" t="inlineStr">
        <is>
          <t>開く</t>
        </is>
      </c>
    </row>
    <row r="250">
      <c r="A250" s="2">
        <f>RANK(J250,$J$2:$J$697)</f>
        <v/>
      </c>
      <c r="B250" s="3" t="inlineStr">
        <is>
          <t>ブロック・属性</t>
        </is>
      </c>
      <c r="C250" s="3" t="inlineStr">
        <is>
          <t>pburst / nburst</t>
        </is>
      </c>
      <c r="D250" s="4" t="inlineStr">
        <is>
          <t>Burst Upgraded</t>
        </is>
      </c>
      <c r="E250" s="4" t="inlineStr">
        <is>
          <t>属性付きブロックを分解</t>
        </is>
      </c>
      <c r="F250" s="2" t="n">
        <v>8</v>
      </c>
      <c r="G250" s="2" t="n">
        <v>10</v>
      </c>
      <c r="H250" s="2" t="n">
        <v>11</v>
      </c>
      <c r="I250" s="2" t="n">
        <v>14</v>
      </c>
      <c r="J250" s="5">
        <f>SUM(F250:I250)</f>
        <v/>
      </c>
      <c r="K250" s="4" t="inlineStr">
        <is>
          <t>BURSTで大半代替可</t>
        </is>
      </c>
      <c r="L250" s="3" t="inlineStr">
        <is>
          <t>Lee Mac</t>
        </is>
      </c>
      <c r="M250" s="3" t="inlineStr">
        <is>
          <t>Lee Mac Programming</t>
        </is>
      </c>
      <c r="N250" s="6" t="inlineStr">
        <is>
          <t>開く</t>
        </is>
      </c>
    </row>
    <row r="251">
      <c r="A251" s="2">
        <f>RANK(J251,$J$2:$J$697)</f>
        <v/>
      </c>
      <c r="B251" s="3" t="inlineStr">
        <is>
          <t>座標・測量・土木</t>
        </is>
      </c>
      <c r="C251" s="3" t="inlineStr">
        <is>
          <t>COLOURBYCHART</t>
        </is>
      </c>
      <c r="D251" s="4" t="inlineStr">
        <is>
          <t>COLOURBY.LSP</t>
        </is>
      </c>
      <c r="E251" s="4" t="inlineStr">
        <is>
          <t>色分け凡例を作図</t>
        </is>
      </c>
      <c r="F251" s="2" t="n">
        <v>15</v>
      </c>
      <c r="G251" s="2" t="n">
        <v>12</v>
      </c>
      <c r="H251" s="2" t="n">
        <v>8</v>
      </c>
      <c r="I251" s="2" t="n">
        <v>8</v>
      </c>
      <c r="J251" s="5">
        <f>SUM(F251:I251)</f>
        <v/>
      </c>
      <c r="K251" s="4" t="inlineStr">
        <is>
          <t>色分け凡例作図</t>
        </is>
      </c>
      <c r="L251" s="3" t="inlineStr">
        <is>
          <t>Giles Darling</t>
        </is>
      </c>
      <c r="M251" s="3" t="inlineStr">
        <is>
          <t>gilesdarling.me.uk</t>
        </is>
      </c>
      <c r="N251" s="6" t="inlineStr">
        <is>
          <t>開く</t>
        </is>
      </c>
    </row>
    <row r="252">
      <c r="A252" s="2">
        <f>RANK(J252,$J$2:$J$697)</f>
        <v/>
      </c>
      <c r="B252" s="3" t="inlineStr">
        <is>
          <t>建築</t>
        </is>
      </c>
      <c r="C252" s="3" t="inlineStr">
        <is>
          <t>-</t>
        </is>
      </c>
      <c r="D252" s="4" t="inlineStr">
        <is>
          <t>DT Wall (DTWall.rar)</t>
        </is>
      </c>
      <c r="E252" s="4" t="inlineStr">
        <is>
          <t>壁タイプ付きの壁を作図</t>
        </is>
      </c>
      <c r="F252" s="2" t="n">
        <v>12</v>
      </c>
      <c r="G252" s="2" t="n">
        <v>8</v>
      </c>
      <c r="H252" s="2" t="n">
        <v>13</v>
      </c>
      <c r="I252" s="2" t="n">
        <v>10</v>
      </c>
      <c r="J252" s="5">
        <f>SUM(F252:I252)</f>
        <v/>
      </c>
      <c r="K252" s="4" t="inlineStr">
        <is>
          <t>MLINEより柔軟な壁</t>
        </is>
      </c>
      <c r="L252" s="3" t="inlineStr"/>
      <c r="M252" s="3" t="inlineStr">
        <is>
          <t>draftsperson.net</t>
        </is>
      </c>
      <c r="N252" s="6" t="inlineStr">
        <is>
          <t>開く</t>
        </is>
      </c>
    </row>
    <row r="253">
      <c r="A253" s="2">
        <f>RANK(J253,$J$2:$J$697)</f>
        <v/>
      </c>
      <c r="B253" s="3" t="inlineStr">
        <is>
          <t>印刷・レイアウト・図枠</t>
        </is>
      </c>
      <c r="C253" s="3" t="inlineStr">
        <is>
          <t>emptyornot</t>
        </is>
      </c>
      <c r="D253" s="4" t="inlineStr">
        <is>
          <t>emptyornot</t>
        </is>
      </c>
      <c r="E253" s="4" t="inlineStr">
        <is>
          <t>各レイアウトの空き状況表示</t>
        </is>
      </c>
      <c r="F253" s="2" t="n">
        <v>13</v>
      </c>
      <c r="G253" s="2" t="n">
        <v>9</v>
      </c>
      <c r="H253" s="2" t="n">
        <v>7</v>
      </c>
      <c r="I253" s="2" t="n">
        <v>14</v>
      </c>
      <c r="J253" s="5">
        <f>SUM(F253:I253)</f>
        <v/>
      </c>
      <c r="K253" s="4" t="inlineStr">
        <is>
          <t>レイアウトの空き確認</t>
        </is>
      </c>
      <c r="L253" s="3" t="inlineStr">
        <is>
          <t>JTB World (Jimmy Bergmark)</t>
        </is>
      </c>
      <c r="M253" s="3" t="inlineStr">
        <is>
          <t>JTB World</t>
        </is>
      </c>
      <c r="N253" s="6" t="inlineStr">
        <is>
          <t>開く</t>
        </is>
      </c>
    </row>
    <row r="254">
      <c r="A254" s="2">
        <f>RANK(J254,$J$2:$J$697)</f>
        <v/>
      </c>
      <c r="B254" s="3" t="inlineStr">
        <is>
          <t>文字・テキスト</t>
        </is>
      </c>
      <c r="C254" s="3" t="inlineStr">
        <is>
          <t>fieldformat</t>
        </is>
      </c>
      <c r="D254" s="4" t="inlineStr">
        <is>
          <t>Field Formatting Code</t>
        </is>
      </c>
      <c r="E254" s="4" t="inlineStr">
        <is>
          <t>フィールド書式コードを取得</t>
        </is>
      </c>
      <c r="F254" s="2" t="n">
        <v>17</v>
      </c>
      <c r="G254" s="2" t="n">
        <v>12</v>
      </c>
      <c r="H254" s="2" t="n">
        <v>6</v>
      </c>
      <c r="I254" s="2" t="n">
        <v>8</v>
      </c>
      <c r="J254" s="5">
        <f>SUM(F254:I254)</f>
        <v/>
      </c>
      <c r="K254" s="4" t="inlineStr">
        <is>
          <t>開発者向けフィールド書式</t>
        </is>
      </c>
      <c r="L254" s="3" t="inlineStr">
        <is>
          <t>Lee Mac</t>
        </is>
      </c>
      <c r="M254" s="3" t="inlineStr">
        <is>
          <t>Lee Mac Programming</t>
        </is>
      </c>
      <c r="N254" s="6" t="inlineStr">
        <is>
          <t>開く</t>
        </is>
      </c>
    </row>
    <row r="255">
      <c r="A255" s="2">
        <f>RANK(J255,$J$2:$J$697)</f>
        <v/>
      </c>
      <c r="B255" s="3" t="inlineStr">
        <is>
          <t>構造・鉄骨・機械</t>
        </is>
      </c>
      <c r="C255" s="3" t="inlineStr">
        <is>
          <t>-</t>
        </is>
      </c>
      <c r="D255" s="4" t="inlineStr">
        <is>
          <t>Floor Truss Elevations (truss.zip)</t>
        </is>
      </c>
      <c r="E255" s="4" t="inlineStr">
        <is>
          <t>床トラス立面をパラメトリック作図</t>
        </is>
      </c>
      <c r="F255" s="2" t="n">
        <v>15</v>
      </c>
      <c r="G255" s="2" t="n">
        <v>10</v>
      </c>
      <c r="H255" s="2" t="n">
        <v>11</v>
      </c>
      <c r="I255" s="2" t="n">
        <v>7</v>
      </c>
      <c r="J255" s="5">
        <f>SUM(F255:I255)</f>
        <v/>
      </c>
      <c r="K255" s="4" t="inlineStr">
        <is>
          <t>トラス立面を寸法生成</t>
        </is>
      </c>
      <c r="L255" s="3" t="inlineStr"/>
      <c r="M255" s="3" t="inlineStr">
        <is>
          <t>draftsperson.net</t>
        </is>
      </c>
      <c r="N255" s="6" t="inlineStr">
        <is>
          <t>開く</t>
        </is>
      </c>
    </row>
    <row r="256">
      <c r="A256" s="2">
        <f>RANK(J256,$J$2:$J$697)</f>
        <v/>
      </c>
      <c r="B256" s="3" t="inlineStr">
        <is>
          <t>LISP開発用の部品</t>
        </is>
      </c>
      <c r="C256" s="3" t="inlineStr">
        <is>
          <t>GV / VV / IA</t>
        </is>
      </c>
      <c r="D256" s="4" t="inlineStr">
        <is>
          <t>GetVectors</t>
        </is>
      </c>
      <c r="E256" s="4" t="inlineStr">
        <is>
          <t>図形からDCL用画像を作成</t>
        </is>
      </c>
      <c r="F256" s="2" t="n">
        <v>17</v>
      </c>
      <c r="G256" s="2" t="n">
        <v>16</v>
      </c>
      <c r="H256" s="2" t="n">
        <v>5</v>
      </c>
      <c r="I256" s="2" t="n">
        <v>5</v>
      </c>
      <c r="J256" s="5">
        <f>SUM(F256:I256)</f>
        <v/>
      </c>
      <c r="K256" s="4" t="inlineStr">
        <is>
          <t>図形からDCL画像生成</t>
        </is>
      </c>
      <c r="L256" s="3" t="inlineStr">
        <is>
          <t>Terry Miller</t>
        </is>
      </c>
      <c r="M256" s="3" t="inlineStr">
        <is>
          <t>AutoLISP Exchange</t>
        </is>
      </c>
      <c r="N256" s="6" t="inlineStr">
        <is>
          <t>開く</t>
        </is>
      </c>
    </row>
    <row r="257">
      <c r="A257" s="2">
        <f>RANK(J257,$J$2:$J$697)</f>
        <v/>
      </c>
      <c r="B257" s="3" t="inlineStr">
        <is>
          <t>ハッチ・面積・長さ集計</t>
        </is>
      </c>
      <c r="C257" s="3" t="inlineStr">
        <is>
          <t>hb / hbl / hatchb</t>
        </is>
      </c>
      <c r="D257" s="4" t="inlineStr">
        <is>
          <t>HATCHB.LSP</t>
        </is>
      </c>
      <c r="E257" s="4" t="inlineStr">
        <is>
          <t>ハッチ境界を再作成</t>
        </is>
      </c>
      <c r="F257" s="2" t="n">
        <v>9</v>
      </c>
      <c r="G257" s="2" t="n">
        <v>10</v>
      </c>
      <c r="H257" s="2" t="n">
        <v>10</v>
      </c>
      <c r="I257" s="2" t="n">
        <v>14</v>
      </c>
      <c r="J257" s="5">
        <f>SUM(F257:I257)</f>
        <v/>
      </c>
      <c r="K257" s="4" t="inlineStr">
        <is>
          <t>HATCHEDIT境界再作成で可</t>
        </is>
      </c>
      <c r="L257" s="3" t="inlineStr">
        <is>
          <t>JTB World (Jimmy Bergmark)</t>
        </is>
      </c>
      <c r="M257" s="3" t="inlineStr">
        <is>
          <t>JTB World</t>
        </is>
      </c>
      <c r="N257" s="6" t="inlineStr">
        <is>
          <t>開く</t>
        </is>
      </c>
    </row>
    <row r="258">
      <c r="A258" s="2">
        <f>RANK(J258,$J$2:$J$697)</f>
        <v/>
      </c>
      <c r="B258" s="3" t="inlineStr">
        <is>
          <t>設備</t>
        </is>
      </c>
      <c r="C258" s="3" t="inlineStr">
        <is>
          <t>L2PIPE</t>
        </is>
      </c>
      <c r="D258" s="4" t="inlineStr">
        <is>
          <t>LineToPipe.lsp</t>
        </is>
      </c>
      <c r="E258" s="4" t="inlineStr">
        <is>
          <t>線を二重線の配管に変換</t>
        </is>
      </c>
      <c r="F258" s="2" t="n">
        <v>11</v>
      </c>
      <c r="G258" s="2" t="n">
        <v>9</v>
      </c>
      <c r="H258" s="2" t="n">
        <v>12</v>
      </c>
      <c r="I258" s="2" t="n">
        <v>11</v>
      </c>
      <c r="J258" s="5">
        <f>SUM(F258:I258)</f>
        <v/>
      </c>
      <c r="K258" s="4" t="inlineStr">
        <is>
          <t>両側OFFSETの自動化</t>
        </is>
      </c>
      <c r="L258" s="3" t="inlineStr">
        <is>
          <t>CADAuthority</t>
        </is>
      </c>
      <c r="M258" s="3" t="inlineStr">
        <is>
          <t>CAD Authority</t>
        </is>
      </c>
      <c r="N258" s="6" t="inlineStr">
        <is>
          <t>開く</t>
        </is>
      </c>
    </row>
    <row r="259">
      <c r="A259" s="2">
        <f>RANK(J259,$J$2:$J$697)</f>
        <v/>
      </c>
      <c r="B259" s="3" t="inlineStr">
        <is>
          <t>建築</t>
        </is>
      </c>
      <c r="C259" s="3" t="inlineStr">
        <is>
          <t>-</t>
        </is>
      </c>
      <c r="D259" s="4" t="inlineStr">
        <is>
          <t>Rafter and Roof Truss (rafter.zip)</t>
        </is>
      </c>
      <c r="E259" s="4" t="inlineStr">
        <is>
          <t>垂木・屋根トラスを作図</t>
        </is>
      </c>
      <c r="F259" s="2" t="n">
        <v>14</v>
      </c>
      <c r="G259" s="2" t="n">
        <v>9</v>
      </c>
      <c r="H259" s="2" t="n">
        <v>11</v>
      </c>
      <c r="I259" s="2" t="n">
        <v>9</v>
      </c>
      <c r="J259" s="5">
        <f>SUM(F259:I259)</f>
        <v/>
      </c>
      <c r="K259" s="4" t="inlineStr">
        <is>
          <t>勾配から部材を生成</t>
        </is>
      </c>
      <c r="L259" s="3" t="inlineStr"/>
      <c r="M259" s="3" t="inlineStr">
        <is>
          <t>draftsperson.net</t>
        </is>
      </c>
      <c r="N259" s="6" t="inlineStr">
        <is>
          <t>開く</t>
        </is>
      </c>
    </row>
    <row r="260">
      <c r="A260" s="2">
        <f>RANK(J260,$J$2:$J$697)</f>
        <v/>
      </c>
      <c r="B260" s="3" t="inlineStr">
        <is>
          <t>線・ポリライン編集</t>
        </is>
      </c>
      <c r="C260" s="3" t="inlineStr">
        <is>
          <t>segs</t>
        </is>
      </c>
      <c r="D260" s="4" t="inlineStr">
        <is>
          <t>Segment Curve</t>
        </is>
      </c>
      <c r="E260" s="4" t="inlineStr">
        <is>
          <t>曲線を直線分割</t>
        </is>
      </c>
      <c r="F260" s="2" t="n">
        <v>13</v>
      </c>
      <c r="G260" s="2" t="n">
        <v>10</v>
      </c>
      <c r="H260" s="2" t="n">
        <v>9</v>
      </c>
      <c r="I260" s="2" t="n">
        <v>11</v>
      </c>
      <c r="J260" s="5">
        <f>SUM(F260:I260)</f>
        <v/>
      </c>
      <c r="K260" s="4" t="inlineStr">
        <is>
          <t>曲線の直線近似</t>
        </is>
      </c>
      <c r="L260" s="3" t="inlineStr">
        <is>
          <t>Lee Mac</t>
        </is>
      </c>
      <c r="M260" s="3" t="inlineStr">
        <is>
          <t>Lee Mac Programming</t>
        </is>
      </c>
      <c r="N260" s="6" t="inlineStr">
        <is>
          <t>開く</t>
        </is>
      </c>
    </row>
    <row r="261">
      <c r="A261" s="2">
        <f>RANK(J261,$J$2:$J$697)</f>
        <v/>
      </c>
      <c r="B261" s="3" t="inlineStr">
        <is>
          <t>設定・環境</t>
        </is>
      </c>
      <c r="C261" s="3" t="inlineStr">
        <is>
          <t>saveSupportPaths / loadSupportPaths</t>
        </is>
      </c>
      <c r="D261" s="4" t="inlineStr">
        <is>
          <t>supportPaths.lsp</t>
        </is>
      </c>
      <c r="E261" s="4" t="inlineStr">
        <is>
          <t>サポートパスを保存・読込み</t>
        </is>
      </c>
      <c r="F261" s="2" t="n">
        <v>12</v>
      </c>
      <c r="G261" s="2" t="n">
        <v>8</v>
      </c>
      <c r="H261" s="2" t="n">
        <v>9</v>
      </c>
      <c r="I261" s="2" t="n">
        <v>14</v>
      </c>
      <c r="J261" s="5">
        <f>SUM(F261:I261)</f>
        <v/>
      </c>
      <c r="K261" s="4" t="inlineStr">
        <is>
          <t>サポートパス保存・読込み</t>
        </is>
      </c>
      <c r="L261" s="3" t="inlineStr">
        <is>
          <t>JTB World (Jimmy Bergmark)</t>
        </is>
      </c>
      <c r="M261" s="3" t="inlineStr">
        <is>
          <t>JTB World</t>
        </is>
      </c>
      <c r="N261" s="6" t="inlineStr">
        <is>
          <t>開く</t>
        </is>
      </c>
    </row>
    <row r="262">
      <c r="A262" s="2">
        <f>RANK(J262,$J$2:$J$697)</f>
        <v/>
      </c>
      <c r="B262" s="3" t="inlineStr">
        <is>
          <t>表・Excel連携</t>
        </is>
      </c>
      <c r="C262" s="3" t="inlineStr">
        <is>
          <t>TBL2XLS</t>
        </is>
      </c>
      <c r="D262" s="4" t="inlineStr">
        <is>
          <t>TableToExcel.lsp</t>
        </is>
      </c>
      <c r="E262" s="4" t="inlineStr">
        <is>
          <t>表をExcelに出力</t>
        </is>
      </c>
      <c r="F262" s="2" t="n">
        <v>8</v>
      </c>
      <c r="G262" s="2" t="n">
        <v>7</v>
      </c>
      <c r="H262" s="2" t="n">
        <v>12</v>
      </c>
      <c r="I262" s="2" t="n">
        <v>16</v>
      </c>
      <c r="J262" s="5">
        <f>SUM(F262:I262)</f>
        <v/>
      </c>
      <c r="K262" s="4" t="inlineStr">
        <is>
          <t>表のCSV書出しは標準可</t>
        </is>
      </c>
      <c r="L262" s="3" t="inlineStr">
        <is>
          <t>CADAuthority</t>
        </is>
      </c>
      <c r="M262" s="3" t="inlineStr">
        <is>
          <t>CAD Authority</t>
        </is>
      </c>
      <c r="N262" s="6" t="inlineStr">
        <is>
          <t>開く</t>
        </is>
      </c>
    </row>
    <row r="263">
      <c r="A263" s="2">
        <f>RANK(J263,$J$2:$J$697)</f>
        <v/>
      </c>
      <c r="B263" s="3" t="inlineStr">
        <is>
          <t>座標・測量・土木</t>
        </is>
      </c>
      <c r="C263" s="3" t="inlineStr">
        <is>
          <t>-</t>
        </is>
      </c>
      <c r="D263" s="4" t="inlineStr">
        <is>
          <t>Traverse Note Reduction (traver.zip)</t>
        </is>
      </c>
      <c r="E263" s="4" t="inlineStr">
        <is>
          <t>トラバース計算</t>
        </is>
      </c>
      <c r="F263" s="2" t="n">
        <v>16</v>
      </c>
      <c r="G263" s="2" t="n">
        <v>10</v>
      </c>
      <c r="H263" s="2" t="n">
        <v>10</v>
      </c>
      <c r="I263" s="2" t="n">
        <v>7</v>
      </c>
      <c r="J263" s="5">
        <f>SUM(F263:I263)</f>
        <v/>
      </c>
      <c r="K263" s="4" t="inlineStr">
        <is>
          <t>トラバース計算</t>
        </is>
      </c>
      <c r="L263" s="3" t="inlineStr"/>
      <c r="M263" s="3" t="inlineStr">
        <is>
          <t>draftsperson.net</t>
        </is>
      </c>
      <c r="N263" s="6" t="inlineStr">
        <is>
          <t>開く</t>
        </is>
      </c>
    </row>
    <row r="264">
      <c r="A264" s="2">
        <f>RANK(J264,$J$2:$J$697)</f>
        <v/>
      </c>
      <c r="B264" s="3" t="inlineStr">
        <is>
          <t>文字・テキスト</t>
        </is>
      </c>
      <c r="C264" s="3" t="inlineStr">
        <is>
          <t>TSH0</t>
        </is>
      </c>
      <c r="D264" s="4" t="inlineStr">
        <is>
          <t>tsh0.lsp</t>
        </is>
      </c>
      <c r="E264" s="4" t="inlineStr">
        <is>
          <t>全文字スタイル高さを0に</t>
        </is>
      </c>
      <c r="F264" s="2" t="n">
        <v>12</v>
      </c>
      <c r="G264" s="2" t="n">
        <v>7</v>
      </c>
      <c r="H264" s="2" t="n">
        <v>8</v>
      </c>
      <c r="I264" s="2" t="n">
        <v>16</v>
      </c>
      <c r="J264" s="5">
        <f>SUM(F264:I264)</f>
        <v/>
      </c>
      <c r="K264" s="4" t="inlineStr">
        <is>
          <t>スタイル高さ0化は地味に便利</t>
        </is>
      </c>
      <c r="L264" s="3" t="inlineStr">
        <is>
          <t>JTB World (Jimmy Bergmark)</t>
        </is>
      </c>
      <c r="M264" s="3" t="inlineStr">
        <is>
          <t>JTB World</t>
        </is>
      </c>
      <c r="N264" s="6" t="inlineStr">
        <is>
          <t>開く</t>
        </is>
      </c>
    </row>
    <row r="265">
      <c r="A265" s="2">
        <f>RANK(J265,$J$2:$J$697)</f>
        <v/>
      </c>
      <c r="B265" s="3" t="inlineStr">
        <is>
          <t>表・Excel連携</t>
        </is>
      </c>
      <c r="C265" s="3" t="inlineStr">
        <is>
          <t>XL</t>
        </is>
      </c>
      <c r="D265" s="4" t="inlineStr">
        <is>
          <t>XL</t>
        </is>
      </c>
      <c r="E265" s="4" t="inlineStr">
        <is>
          <t>ExcelデータをAutoCADへ取込み</t>
        </is>
      </c>
      <c r="F265" s="2" t="n">
        <v>10</v>
      </c>
      <c r="G265" s="2" t="n">
        <v>8</v>
      </c>
      <c r="H265" s="2" t="n">
        <v>12</v>
      </c>
      <c r="I265" s="2" t="n">
        <v>13</v>
      </c>
      <c r="J265" s="5">
        <f>SUM(F265:I265)</f>
        <v/>
      </c>
      <c r="K265" s="4" t="inlineStr">
        <is>
          <t>Excel取込み、データリンク有</t>
        </is>
      </c>
      <c r="L265" s="3" t="inlineStr">
        <is>
          <t>Jeffery P. Sanders</t>
        </is>
      </c>
      <c r="M265" s="3" t="inlineStr">
        <is>
          <t>JefferyPSanders.com</t>
        </is>
      </c>
      <c r="N265" s="6" t="inlineStr">
        <is>
          <t>開く</t>
        </is>
      </c>
    </row>
    <row r="266">
      <c r="A266" s="2">
        <f>RANK(J266,$J$2:$J$697)</f>
        <v/>
      </c>
      <c r="B266" s="3" t="inlineStr">
        <is>
          <t>ハッチ・面積・長さ集計</t>
        </is>
      </c>
      <c r="C266" s="3" t="inlineStr">
        <is>
          <t>accdist / accdist1 / accdist2</t>
        </is>
      </c>
      <c r="D266" s="4" t="inlineStr">
        <is>
          <t>accdist.lsp</t>
        </is>
      </c>
      <c r="E266" s="4" t="inlineStr">
        <is>
          <t>距離を累積計測</t>
        </is>
      </c>
      <c r="F266" s="2" t="n">
        <v>11</v>
      </c>
      <c r="G266" s="2" t="n">
        <v>8</v>
      </c>
      <c r="H266" s="2" t="n">
        <v>9</v>
      </c>
      <c r="I266" s="2" t="n">
        <v>14</v>
      </c>
      <c r="J266" s="5">
        <f>SUM(F266:I266)</f>
        <v/>
      </c>
      <c r="K266" s="4" t="inlineStr">
        <is>
          <t>標準の測定で累積可能</t>
        </is>
      </c>
      <c r="L266" s="3" t="inlineStr">
        <is>
          <t>JTB World (Jimmy Bergmark)</t>
        </is>
      </c>
      <c r="M266" s="3" t="inlineStr">
        <is>
          <t>JTB World</t>
        </is>
      </c>
      <c r="N266" s="6" t="inlineStr">
        <is>
          <t>開く</t>
        </is>
      </c>
    </row>
    <row r="267">
      <c r="A267" s="2">
        <f>RANK(J267,$J$2:$J$697)</f>
        <v/>
      </c>
      <c r="B267" s="3" t="inlineStr">
        <is>
          <t>ブロック・属性</t>
        </is>
      </c>
      <c r="C267" s="3" t="inlineStr">
        <is>
          <t>AttDefToText</t>
        </is>
      </c>
      <c r="D267" s="4" t="inlineStr">
        <is>
          <t>AttDefToText.lsp</t>
        </is>
      </c>
      <c r="E267" s="4" t="inlineStr">
        <is>
          <t>属性定義を文字に変換</t>
        </is>
      </c>
      <c r="F267" s="2" t="n">
        <v>13</v>
      </c>
      <c r="G267" s="2" t="n">
        <v>8</v>
      </c>
      <c r="H267" s="2" t="n">
        <v>9</v>
      </c>
      <c r="I267" s="2" t="n">
        <v>12</v>
      </c>
      <c r="J267" s="5">
        <f>SUM(F267:I267)</f>
        <v/>
      </c>
      <c r="K267" s="4" t="inlineStr">
        <is>
          <t>属性定義の文字化は手作業</t>
        </is>
      </c>
      <c r="L267" s="3" t="inlineStr">
        <is>
          <t>JTB World (Jimmy Bergmark)</t>
        </is>
      </c>
      <c r="M267" s="3" t="inlineStr">
        <is>
          <t>JTB World</t>
        </is>
      </c>
      <c r="N267" s="6" t="inlineStr">
        <is>
          <t>開く</t>
        </is>
      </c>
    </row>
    <row r="268">
      <c r="A268" s="2">
        <f>RANK(J268,$J$2:$J$697)</f>
        <v/>
      </c>
      <c r="B268" s="3" t="inlineStr">
        <is>
          <t>ブロック・属性</t>
        </is>
      </c>
      <c r="C268" s="3" t="inlineStr">
        <is>
          <t>MvAtt / RoAtt / EdAtt</t>
        </is>
      </c>
      <c r="D268" s="4" t="inlineStr">
        <is>
          <t>Attribute Modification Suite</t>
        </is>
      </c>
      <c r="E268" s="4" t="inlineStr">
        <is>
          <t>属性の移動・回転・編集</t>
        </is>
      </c>
      <c r="F268" s="2" t="n">
        <v>8</v>
      </c>
      <c r="G268" s="2" t="n">
        <v>9</v>
      </c>
      <c r="H268" s="2" t="n">
        <v>11</v>
      </c>
      <c r="I268" s="2" t="n">
        <v>14</v>
      </c>
      <c r="J268" s="5">
        <f>SUM(F268:I268)</f>
        <v/>
      </c>
      <c r="K268" s="4" t="inlineStr">
        <is>
          <t>グリップ/ATTEDITで代替可</t>
        </is>
      </c>
      <c r="L268" s="3" t="inlineStr">
        <is>
          <t>Lee Mac</t>
        </is>
      </c>
      <c r="M268" s="3" t="inlineStr">
        <is>
          <t>Lee Mac Programming</t>
        </is>
      </c>
      <c r="N268" s="6" t="inlineStr">
        <is>
          <t>開く</t>
        </is>
      </c>
    </row>
    <row r="269">
      <c r="A269" s="2">
        <f>RANK(J269,$J$2:$J$697)</f>
        <v/>
      </c>
      <c r="B269" s="3" t="inlineStr">
        <is>
          <t>外部参照・図面管理・一括処理</t>
        </is>
      </c>
      <c r="C269" s="3" t="inlineStr">
        <is>
          <t>AAUDIT</t>
        </is>
      </c>
      <c r="D269" s="4" t="inlineStr">
        <is>
          <t>AutoAudit.lsp</t>
        </is>
      </c>
      <c r="E269" s="4" t="inlineStr">
        <is>
          <t>監査・パージ・ズームを自動実行</t>
        </is>
      </c>
      <c r="F269" s="2" t="n">
        <v>8</v>
      </c>
      <c r="G269" s="2" t="n">
        <v>5</v>
      </c>
      <c r="H269" s="2" t="n">
        <v>12</v>
      </c>
      <c r="I269" s="2" t="n">
        <v>17</v>
      </c>
      <c r="J269" s="5">
        <f>SUM(F269:I269)</f>
        <v/>
      </c>
      <c r="K269" s="4" t="inlineStr">
        <is>
          <t>標準AUDIT/PURGE組合せ</t>
        </is>
      </c>
      <c r="L269" s="3" t="inlineStr">
        <is>
          <t>CADAuthority</t>
        </is>
      </c>
      <c r="M269" s="3" t="inlineStr">
        <is>
          <t>CAD Authority</t>
        </is>
      </c>
      <c r="N269" s="6" t="inlineStr">
        <is>
          <t>開く</t>
        </is>
      </c>
    </row>
    <row r="270">
      <c r="A270" s="2">
        <f>RANK(J270,$J$2:$J$697)</f>
        <v/>
      </c>
      <c r="B270" s="3" t="inlineStr">
        <is>
          <t>座標・測量・土木</t>
        </is>
      </c>
      <c r="C270" s="3" t="inlineStr">
        <is>
          <t>-</t>
        </is>
      </c>
      <c r="D270" s="4" t="inlineStr">
        <is>
          <t>Boundary Line with Bearing (civili.zip)</t>
        </is>
      </c>
      <c r="E270" s="4" t="inlineStr">
        <is>
          <t>境界線を作図し方位距離を記入</t>
        </is>
      </c>
      <c r="F270" s="2" t="n">
        <v>13</v>
      </c>
      <c r="G270" s="2" t="n">
        <v>8</v>
      </c>
      <c r="H270" s="2" t="n">
        <v>12</v>
      </c>
      <c r="I270" s="2" t="n">
        <v>9</v>
      </c>
      <c r="J270" s="5">
        <f>SUM(F270:I270)</f>
        <v/>
      </c>
      <c r="K270" s="4" t="inlineStr">
        <is>
          <t>境界線と方位距離</t>
        </is>
      </c>
      <c r="L270" s="3" t="inlineStr"/>
      <c r="M270" s="3" t="inlineStr">
        <is>
          <t>draftsperson.net</t>
        </is>
      </c>
      <c r="N270" s="6" t="inlineStr">
        <is>
          <t>開く</t>
        </is>
      </c>
    </row>
    <row r="271">
      <c r="A271" s="2">
        <f>RANK(J271,$J$2:$J$697)</f>
        <v/>
      </c>
      <c r="B271" s="3" t="inlineStr">
        <is>
          <t>線・ポリライン編集</t>
        </is>
      </c>
      <c r="C271" s="3" t="inlineStr">
        <is>
          <t>COP</t>
        </is>
      </c>
      <c r="D271" s="4" t="inlineStr">
        <is>
          <t>COP</t>
        </is>
      </c>
      <c r="E271" s="4" t="inlineStr">
        <is>
          <t>距離・角度で連続コピー</t>
        </is>
      </c>
      <c r="F271" s="2" t="n">
        <v>8</v>
      </c>
      <c r="G271" s="2" t="n">
        <v>8</v>
      </c>
      <c r="H271" s="2" t="n">
        <v>11</v>
      </c>
      <c r="I271" s="2" t="n">
        <v>15</v>
      </c>
      <c r="J271" s="5">
        <f>SUM(F271:I271)</f>
        <v/>
      </c>
      <c r="K271" s="4" t="inlineStr">
        <is>
          <t>COPYの距離角度入力で可</t>
        </is>
      </c>
      <c r="L271" s="3" t="inlineStr">
        <is>
          <t>Terry Miller</t>
        </is>
      </c>
      <c r="M271" s="3" t="inlineStr">
        <is>
          <t>AutoLISP Exchange</t>
        </is>
      </c>
      <c r="N271" s="6" t="inlineStr">
        <is>
          <t>開く</t>
        </is>
      </c>
    </row>
    <row r="272">
      <c r="A272" s="2">
        <f>RANK(J272,$J$2:$J$697)</f>
        <v/>
      </c>
      <c r="B272" s="3" t="inlineStr">
        <is>
          <t>外部参照・図面管理・一括処理</t>
        </is>
      </c>
      <c r="C272" s="3" t="inlineStr">
        <is>
          <t>CPYXREF</t>
        </is>
      </c>
      <c r="D272" s="4" t="inlineStr">
        <is>
          <t>CPYXREF</t>
        </is>
      </c>
      <c r="E272" s="4" t="inlineStr">
        <is>
          <t>外部参照・ブロック内図形をコピー</t>
        </is>
      </c>
      <c r="F272" s="2" t="n">
        <v>9</v>
      </c>
      <c r="G272" s="2" t="n">
        <v>8</v>
      </c>
      <c r="H272" s="2" t="n">
        <v>10</v>
      </c>
      <c r="I272" s="2" t="n">
        <v>15</v>
      </c>
      <c r="J272" s="5">
        <f>SUM(F272:I272)</f>
        <v/>
      </c>
      <c r="K272" s="4" t="inlineStr">
        <is>
          <t>NCOPYで代替可</t>
        </is>
      </c>
      <c r="L272" s="3" t="inlineStr">
        <is>
          <t>Jeffery P. Sanders</t>
        </is>
      </c>
      <c r="M272" s="3" t="inlineStr">
        <is>
          <t>JefferyPSanders.com</t>
        </is>
      </c>
      <c r="N272" s="6" t="inlineStr">
        <is>
          <t>開く</t>
        </is>
      </c>
    </row>
    <row r="273">
      <c r="A273" s="2">
        <f>RANK(J273,$J$2:$J$697)</f>
        <v/>
      </c>
      <c r="B273" s="3" t="inlineStr">
        <is>
          <t>LISP開発用の部品</t>
        </is>
      </c>
      <c r="C273" s="3" t="inlineStr">
        <is>
          <t>-</t>
        </is>
      </c>
      <c r="D273" s="4" t="inlineStr">
        <is>
          <t>Evaluate Once on Startup</t>
        </is>
      </c>
      <c r="E273" s="4" t="inlineStr">
        <is>
          <t>起動時一度だけ実行する関数</t>
        </is>
      </c>
      <c r="F273" s="2" t="n">
        <v>15</v>
      </c>
      <c r="G273" s="2" t="n">
        <v>15</v>
      </c>
      <c r="H273" s="2" t="n">
        <v>5</v>
      </c>
      <c r="I273" s="2" t="n">
        <v>7</v>
      </c>
      <c r="J273" s="5">
        <f>SUM(F273:I273)</f>
        <v/>
      </c>
      <c r="K273" s="4" t="inlineStr">
        <is>
          <t>起動時一度だけ実行</t>
        </is>
      </c>
      <c r="L273" s="3" t="inlineStr">
        <is>
          <t>Lee Mac</t>
        </is>
      </c>
      <c r="M273" s="3" t="inlineStr">
        <is>
          <t>Lee Mac Programming</t>
        </is>
      </c>
      <c r="N273" s="6" t="inlineStr">
        <is>
          <t>開く</t>
        </is>
      </c>
    </row>
    <row r="274">
      <c r="A274" s="2">
        <f>RANK(J274,$J$2:$J$697)</f>
        <v/>
      </c>
      <c r="B274" s="3" t="inlineStr">
        <is>
          <t>LISP開発用の部品</t>
        </is>
      </c>
      <c r="C274" s="3" t="inlineStr">
        <is>
          <t>-</t>
        </is>
      </c>
      <c r="D274" s="4" t="inlineStr">
        <is>
          <t>Field Objects</t>
        </is>
      </c>
      <c r="E274" s="4" t="inlineStr">
        <is>
          <t>フィールド参照図形取得関数</t>
        </is>
      </c>
      <c r="F274" s="2" t="n">
        <v>17</v>
      </c>
      <c r="G274" s="2" t="n">
        <v>14</v>
      </c>
      <c r="H274" s="2" t="n">
        <v>5</v>
      </c>
      <c r="I274" s="2" t="n">
        <v>6</v>
      </c>
      <c r="J274" s="5">
        <f>SUM(F274:I274)</f>
        <v/>
      </c>
      <c r="K274" s="4" t="inlineStr">
        <is>
          <t>フィールド参照元取得</t>
        </is>
      </c>
      <c r="L274" s="3" t="inlineStr">
        <is>
          <t>Lee Mac</t>
        </is>
      </c>
      <c r="M274" s="3" t="inlineStr">
        <is>
          <t>Lee Mac Programming</t>
        </is>
      </c>
      <c r="N274" s="6" t="inlineStr">
        <is>
          <t>開く</t>
        </is>
      </c>
    </row>
    <row r="275">
      <c r="A275" s="2">
        <f>RANK(J275,$J$2:$J$697)</f>
        <v/>
      </c>
      <c r="B275" s="3" t="inlineStr">
        <is>
          <t>座標・測量・土木</t>
        </is>
      </c>
      <c r="C275" s="3" t="inlineStr">
        <is>
          <t>FL</t>
        </is>
      </c>
      <c r="D275" s="4" t="inlineStr">
        <is>
          <t>FL</t>
        </is>
      </c>
      <c r="E275" s="4" t="inlineStr">
        <is>
          <t>線の長さと方位角を記入</t>
        </is>
      </c>
      <c r="F275" s="2" t="n">
        <v>13</v>
      </c>
      <c r="G275" s="2" t="n">
        <v>7</v>
      </c>
      <c r="H275" s="2" t="n">
        <v>12</v>
      </c>
      <c r="I275" s="2" t="n">
        <v>10</v>
      </c>
      <c r="J275" s="5">
        <f>SUM(F275:I275)</f>
        <v/>
      </c>
      <c r="K275" s="4" t="inlineStr">
        <is>
          <t>線の長さと方位角記入</t>
        </is>
      </c>
      <c r="L275" s="3" t="inlineStr">
        <is>
          <t>Jeffery P. Sanders</t>
        </is>
      </c>
      <c r="M275" s="3" t="inlineStr">
        <is>
          <t>JefferyPSanders.com</t>
        </is>
      </c>
      <c r="N275" s="6" t="inlineStr">
        <is>
          <t>開く</t>
        </is>
      </c>
    </row>
    <row r="276">
      <c r="A276" s="2">
        <f>RANK(J276,$J$2:$J$697)</f>
        <v/>
      </c>
      <c r="B276" s="3" t="inlineStr">
        <is>
          <t>設定・環境</t>
        </is>
      </c>
      <c r="C276" s="3" t="inlineStr">
        <is>
          <t>LoadLSP</t>
        </is>
      </c>
      <c r="D276" s="4" t="inlineStr">
        <is>
          <t>LoadLSP</t>
        </is>
      </c>
      <c r="E276" s="4" t="inlineStr">
        <is>
          <t>説明付きLISPローダー</t>
        </is>
      </c>
      <c r="F276" s="2" t="n">
        <v>11</v>
      </c>
      <c r="G276" s="2" t="n">
        <v>9</v>
      </c>
      <c r="H276" s="2" t="n">
        <v>8</v>
      </c>
      <c r="I276" s="2" t="n">
        <v>14</v>
      </c>
      <c r="J276" s="5">
        <f>SUM(F276:I276)</f>
        <v/>
      </c>
      <c r="K276" s="4" t="inlineStr">
        <is>
          <t>説明付きLISPローダー</t>
        </is>
      </c>
      <c r="L276" s="3" t="inlineStr">
        <is>
          <t>Jeffery P. Sanders</t>
        </is>
      </c>
      <c r="M276" s="3" t="inlineStr">
        <is>
          <t>JefferyPSanders.com</t>
        </is>
      </c>
      <c r="N276" s="6" t="inlineStr">
        <is>
          <t>開く</t>
        </is>
      </c>
    </row>
    <row r="277">
      <c r="A277" s="2">
        <f>RANK(J277,$J$2:$J$697)</f>
        <v/>
      </c>
      <c r="B277" s="3" t="inlineStr">
        <is>
          <t>LISP開発用の部品</t>
        </is>
      </c>
      <c r="C277" s="3" t="inlineStr">
        <is>
          <t>-</t>
        </is>
      </c>
      <c r="D277" s="4" t="inlineStr">
        <is>
          <t>Minimum Enclosing Circle</t>
        </is>
      </c>
      <c r="E277" s="4" t="inlineStr">
        <is>
          <t>最小外接円計算関数</t>
        </is>
      </c>
      <c r="F277" s="2" t="n">
        <v>18</v>
      </c>
      <c r="G277" s="2" t="n">
        <v>15</v>
      </c>
      <c r="H277" s="2" t="n">
        <v>4</v>
      </c>
      <c r="I277" s="2" t="n">
        <v>5</v>
      </c>
      <c r="J277" s="5">
        <f>SUM(F277:I277)</f>
        <v/>
      </c>
      <c r="K277" s="4" t="inlineStr">
        <is>
          <t>最小外接円の計算</t>
        </is>
      </c>
      <c r="L277" s="3" t="inlineStr">
        <is>
          <t>Lee Mac</t>
        </is>
      </c>
      <c r="M277" s="3" t="inlineStr">
        <is>
          <t>Lee Mac Programming</t>
        </is>
      </c>
      <c r="N277" s="6" t="inlineStr">
        <is>
          <t>開く</t>
        </is>
      </c>
    </row>
    <row r="278">
      <c r="A278" s="2">
        <f>RANK(J278,$J$2:$J$697)</f>
        <v/>
      </c>
      <c r="B278" s="3" t="inlineStr">
        <is>
          <t>外部参照・図面管理・一括処理</t>
        </is>
      </c>
      <c r="C278" s="3" t="inlineStr">
        <is>
          <t>-</t>
        </is>
      </c>
      <c r="D278" s="4" t="inlineStr">
        <is>
          <t>SuperPurge</t>
        </is>
      </c>
      <c r="E278" s="4" t="inlineStr">
        <is>
          <t>強力パージで不要データ削除(ARX)</t>
        </is>
      </c>
      <c r="F278" s="2" t="n">
        <v>9</v>
      </c>
      <c r="G278" s="2" t="n">
        <v>9</v>
      </c>
      <c r="H278" s="2" t="n">
        <v>10</v>
      </c>
      <c r="I278" s="2" t="n">
        <v>14</v>
      </c>
      <c r="J278" s="5">
        <f>SUM(F278:I278)</f>
        <v/>
      </c>
      <c r="K278" s="4" t="inlineStr">
        <is>
          <t>標準PURGEで概ね可</t>
        </is>
      </c>
      <c r="L278" s="3" t="inlineStr">
        <is>
          <t>Owen Wengerd (ManuSoft)</t>
        </is>
      </c>
      <c r="M278" s="3" t="inlineStr">
        <is>
          <t>ManuSoft</t>
        </is>
      </c>
      <c r="N278" s="6" t="inlineStr">
        <is>
          <t>開く</t>
        </is>
      </c>
    </row>
    <row r="279">
      <c r="A279" s="2">
        <f>RANK(J279,$J$2:$J$697)</f>
        <v/>
      </c>
      <c r="B279" s="3" t="inlineStr">
        <is>
          <t>文字・テキスト</t>
        </is>
      </c>
      <c r="C279" s="3" t="inlineStr">
        <is>
          <t>-</t>
        </is>
      </c>
      <c r="D279" s="4" t="inlineStr">
        <is>
          <t>TextFunctions.lsp</t>
        </is>
      </c>
      <c r="E279" s="4" t="inlineStr">
        <is>
          <t>文字スタイルを一括変更</t>
        </is>
      </c>
      <c r="F279" s="2" t="n">
        <v>9</v>
      </c>
      <c r="G279" s="2" t="n">
        <v>5</v>
      </c>
      <c r="H279" s="2" t="n">
        <v>10</v>
      </c>
      <c r="I279" s="2" t="n">
        <v>18</v>
      </c>
      <c r="J279" s="5">
        <f>SUM(F279:I279)</f>
        <v/>
      </c>
      <c r="K279" s="4" t="inlineStr">
        <is>
          <t>スタイル一括変更は標準でも可</t>
        </is>
      </c>
      <c r="L279" s="3" t="inlineStr">
        <is>
          <t>JTB World (Jimmy Bergmark)</t>
        </is>
      </c>
      <c r="M279" s="3" t="inlineStr">
        <is>
          <t>JTB World</t>
        </is>
      </c>
      <c r="N279" s="6" t="inlineStr">
        <is>
          <t>開く</t>
        </is>
      </c>
    </row>
    <row r="280">
      <c r="A280" s="2">
        <f>RANK(J280,$J$2:$J$697)</f>
        <v/>
      </c>
      <c r="B280" s="3" t="inlineStr">
        <is>
          <t>LISP開発用の部品</t>
        </is>
      </c>
      <c r="C280" s="3" t="inlineStr">
        <is>
          <t>-</t>
        </is>
      </c>
      <c r="D280" s="4" t="inlineStr">
        <is>
          <t>UnFormat String</t>
        </is>
      </c>
      <c r="E280" s="4" t="inlineStr">
        <is>
          <t>MTEXT書式除去関数</t>
        </is>
      </c>
      <c r="F280" s="2" t="n">
        <v>15</v>
      </c>
      <c r="G280" s="2" t="n">
        <v>12</v>
      </c>
      <c r="H280" s="2" t="n">
        <v>6</v>
      </c>
      <c r="I280" s="2" t="n">
        <v>9</v>
      </c>
      <c r="J280" s="5">
        <f>SUM(F280:I280)</f>
        <v/>
      </c>
      <c r="K280" s="4" t="inlineStr">
        <is>
          <t>MTEXT書式除去</t>
        </is>
      </c>
      <c r="L280" s="3" t="inlineStr">
        <is>
          <t>Lee Mac</t>
        </is>
      </c>
      <c r="M280" s="3" t="inlineStr">
        <is>
          <t>Lee Mac Programming</t>
        </is>
      </c>
      <c r="N280" s="6" t="inlineStr">
        <is>
          <t>開く</t>
        </is>
      </c>
    </row>
    <row r="281">
      <c r="A281" s="2">
        <f>RANK(J281,$J$2:$J$697)</f>
        <v/>
      </c>
      <c r="B281" s="3" t="inlineStr">
        <is>
          <t>ブロック・属性</t>
        </is>
      </c>
      <c r="C281" s="3" t="inlineStr">
        <is>
          <t>XMINSERT</t>
        </is>
      </c>
      <c r="D281" s="4" t="inlineStr">
        <is>
          <t>XMINSERT</t>
        </is>
      </c>
      <c r="E281" s="4" t="inlineStr">
        <is>
          <t>MINSERTを分解</t>
        </is>
      </c>
      <c r="F281" s="2" t="n">
        <v>18</v>
      </c>
      <c r="G281" s="2" t="n">
        <v>10</v>
      </c>
      <c r="H281" s="2" t="n">
        <v>6</v>
      </c>
      <c r="I281" s="2" t="n">
        <v>8</v>
      </c>
      <c r="J281" s="5">
        <f>SUM(F281:I281)</f>
        <v/>
      </c>
      <c r="K281" s="4" t="inlineStr">
        <is>
          <t>MINSERT分解は稀な作業</t>
        </is>
      </c>
      <c r="L281" s="3" t="inlineStr">
        <is>
          <t>Jeffery P. Sanders</t>
        </is>
      </c>
      <c r="M281" s="3" t="inlineStr">
        <is>
          <t>JefferyPSanders.com</t>
        </is>
      </c>
      <c r="N281" s="6" t="inlineStr">
        <is>
          <t>開く</t>
        </is>
      </c>
    </row>
    <row r="282">
      <c r="A282" s="2">
        <f>RANK(J282,$J$2:$J$697)</f>
        <v/>
      </c>
      <c r="B282" s="3" t="inlineStr">
        <is>
          <t>表示・UCS・ビュー</t>
        </is>
      </c>
      <c r="C282" s="3" t="inlineStr">
        <is>
          <t>zoome</t>
        </is>
      </c>
      <c r="D282" s="4" t="inlineStr">
        <is>
          <t>zoome.lsp</t>
        </is>
      </c>
      <c r="E282" s="4" t="inlineStr">
        <is>
          <t>全ビューポートで範囲ズーム</t>
        </is>
      </c>
      <c r="F282" s="2" t="n">
        <v>13</v>
      </c>
      <c r="G282" s="2" t="n">
        <v>6</v>
      </c>
      <c r="H282" s="2" t="n">
        <v>8</v>
      </c>
      <c r="I282" s="2" t="n">
        <v>15</v>
      </c>
      <c r="J282" s="5">
        <f>SUM(F282:I282)</f>
        <v/>
      </c>
      <c r="K282" s="4" t="inlineStr">
        <is>
          <t>全VPで範囲ズーム</t>
        </is>
      </c>
      <c r="L282" s="3" t="inlineStr">
        <is>
          <t>JTB World (Jimmy Bergmark)</t>
        </is>
      </c>
      <c r="M282" s="3" t="inlineStr">
        <is>
          <t>JTB World</t>
        </is>
      </c>
      <c r="N282" s="6" t="inlineStr">
        <is>
          <t>開く</t>
        </is>
      </c>
    </row>
    <row r="283">
      <c r="A283" s="2">
        <f>RANK(J283,$J$2:$J$697)</f>
        <v/>
      </c>
      <c r="B283" s="3" t="inlineStr">
        <is>
          <t>ブロック・属性</t>
        </is>
      </c>
      <c r="C283" s="3" t="inlineStr">
        <is>
          <t>BLMENU / BLIB / INBL</t>
        </is>
      </c>
      <c r="D283" s="4" t="inlineStr">
        <is>
          <t>Blk_Lib (Block Library)</t>
        </is>
      </c>
      <c r="E283" s="4" t="inlineStr">
        <is>
          <t>スライド付ブロックライブラリ管理</t>
        </is>
      </c>
      <c r="F283" s="2" t="n">
        <v>6</v>
      </c>
      <c r="G283" s="2" t="n">
        <v>8</v>
      </c>
      <c r="H283" s="2" t="n">
        <v>10</v>
      </c>
      <c r="I283" s="2" t="n">
        <v>17</v>
      </c>
      <c r="J283" s="5">
        <f>SUM(F283:I283)</f>
        <v/>
      </c>
      <c r="K283" s="4" t="inlineStr">
        <is>
          <t>標準ブロックパレットで代替</t>
        </is>
      </c>
      <c r="L283" s="3" t="inlineStr">
        <is>
          <t>Terry Miller</t>
        </is>
      </c>
      <c r="M283" s="3" t="inlineStr">
        <is>
          <t>AutoLISP Exchange</t>
        </is>
      </c>
      <c r="N283" s="6" t="inlineStr">
        <is>
          <t>開く</t>
        </is>
      </c>
    </row>
    <row r="284">
      <c r="A284" s="2">
        <f>RANK(J284,$J$2:$J$697)</f>
        <v/>
      </c>
      <c r="B284" s="3" t="inlineStr">
        <is>
          <t>座標・測量・土木</t>
        </is>
      </c>
      <c r="C284" s="3" t="inlineStr">
        <is>
          <t>CHANGENT</t>
        </is>
      </c>
      <c r="D284" s="4" t="inlineStr">
        <is>
          <t>CHAINAGE.LSP</t>
        </is>
      </c>
      <c r="E284" s="4" t="inlineStr">
        <is>
          <t>線形の接点マークを作図</t>
        </is>
      </c>
      <c r="F284" s="2" t="n">
        <v>15</v>
      </c>
      <c r="G284" s="2" t="n">
        <v>9</v>
      </c>
      <c r="H284" s="2" t="n">
        <v>10</v>
      </c>
      <c r="I284" s="2" t="n">
        <v>7</v>
      </c>
      <c r="J284" s="5">
        <f>SUM(F284:I284)</f>
        <v/>
      </c>
      <c r="K284" s="4" t="inlineStr">
        <is>
          <t>線形の接点マーク作図</t>
        </is>
      </c>
      <c r="L284" s="3" t="inlineStr">
        <is>
          <t>Giles Darling</t>
        </is>
      </c>
      <c r="M284" s="3" t="inlineStr">
        <is>
          <t>gilesdarling.me.uk</t>
        </is>
      </c>
      <c r="N284" s="6" t="inlineStr">
        <is>
          <t>開く</t>
        </is>
      </c>
    </row>
    <row r="285">
      <c r="A285" s="2">
        <f>RANK(J285,$J$2:$J$697)</f>
        <v/>
      </c>
      <c r="B285" s="3" t="inlineStr">
        <is>
          <t>作図</t>
        </is>
      </c>
      <c r="C285" s="3" t="inlineStr">
        <is>
          <t>ctan</t>
        </is>
      </c>
      <c r="D285" s="4" t="inlineStr">
        <is>
          <t>Circle Tangents</t>
        </is>
      </c>
      <c r="E285" s="4" t="inlineStr">
        <is>
          <t>2円の接線を動的作図</t>
        </is>
      </c>
      <c r="F285" s="2" t="n">
        <v>11</v>
      </c>
      <c r="G285" s="2" t="n">
        <v>14</v>
      </c>
      <c r="H285" s="2" t="n">
        <v>6</v>
      </c>
      <c r="I285" s="2" t="n">
        <v>10</v>
      </c>
      <c r="J285" s="5">
        <f>SUM(F285:I285)</f>
        <v/>
      </c>
      <c r="K285" s="4" t="inlineStr">
        <is>
          <t>接線スナップで概ね可</t>
        </is>
      </c>
      <c r="L285" s="3" t="inlineStr">
        <is>
          <t>Lee Mac</t>
        </is>
      </c>
      <c r="M285" s="3" t="inlineStr">
        <is>
          <t>Lee Mac Programming</t>
        </is>
      </c>
      <c r="N285" s="6" t="inlineStr">
        <is>
          <t>開く</t>
        </is>
      </c>
    </row>
    <row r="286">
      <c r="A286" s="2">
        <f>RANK(J286,$J$2:$J$697)</f>
        <v/>
      </c>
      <c r="B286" s="3" t="inlineStr">
        <is>
          <t>画層</t>
        </is>
      </c>
      <c r="C286" s="3" t="inlineStr">
        <is>
          <t>CBLFIX</t>
        </is>
      </c>
      <c r="D286" s="4" t="inlineStr">
        <is>
          <t>ColorByLayerFix.lsp</t>
        </is>
      </c>
      <c r="E286" s="4" t="inlineStr">
        <is>
          <t>全図形をByLayerに修正</t>
        </is>
      </c>
      <c r="F286" s="2" t="n">
        <v>6</v>
      </c>
      <c r="G286" s="2" t="n">
        <v>5</v>
      </c>
      <c r="H286" s="2" t="n">
        <v>10</v>
      </c>
      <c r="I286" s="2" t="n">
        <v>20</v>
      </c>
      <c r="J286" s="5">
        <f>SUM(F286:I286)</f>
        <v/>
      </c>
      <c r="K286" s="4" t="inlineStr">
        <is>
          <t>SETBYLAYERで代替可</t>
        </is>
      </c>
      <c r="L286" s="3" t="inlineStr">
        <is>
          <t>CADAuthority</t>
        </is>
      </c>
      <c r="M286" s="3" t="inlineStr">
        <is>
          <t>CAD Authority</t>
        </is>
      </c>
      <c r="N286" s="6" t="inlineStr">
        <is>
          <t>開く</t>
        </is>
      </c>
    </row>
    <row r="287">
      <c r="A287" s="2">
        <f>RANK(J287,$J$2:$J$697)</f>
        <v/>
      </c>
      <c r="B287" s="3" t="inlineStr">
        <is>
          <t>LISP開発用の部品</t>
        </is>
      </c>
      <c r="C287" s="3" t="inlineStr">
        <is>
          <t>-</t>
        </is>
      </c>
      <c r="D287" s="4" t="inlineStr">
        <is>
          <t>Convex Hull</t>
        </is>
      </c>
      <c r="E287" s="4" t="inlineStr">
        <is>
          <t>凸包計算関数</t>
        </is>
      </c>
      <c r="F287" s="2" t="n">
        <v>17</v>
      </c>
      <c r="G287" s="2" t="n">
        <v>14</v>
      </c>
      <c r="H287" s="2" t="n">
        <v>4</v>
      </c>
      <c r="I287" s="2" t="n">
        <v>6</v>
      </c>
      <c r="J287" s="5">
        <f>SUM(F287:I287)</f>
        <v/>
      </c>
      <c r="K287" s="4" t="inlineStr">
        <is>
          <t>凸包アルゴリズム</t>
        </is>
      </c>
      <c r="L287" s="3" t="inlineStr">
        <is>
          <t>Lee Mac</t>
        </is>
      </c>
      <c r="M287" s="3" t="inlineStr">
        <is>
          <t>Lee Mac Programming</t>
        </is>
      </c>
      <c r="N287" s="6" t="inlineStr">
        <is>
          <t>開く</t>
        </is>
      </c>
    </row>
    <row r="288">
      <c r="A288" s="2">
        <f>RANK(J288,$J$2:$J$697)</f>
        <v/>
      </c>
      <c r="B288" s="3" t="inlineStr">
        <is>
          <t>座標・測量・土木</t>
        </is>
      </c>
      <c r="C288" s="3" t="inlineStr">
        <is>
          <t>-</t>
        </is>
      </c>
      <c r="D288" s="4" t="inlineStr">
        <is>
          <t>Distance and Bearing Label (distbear.zip)</t>
        </is>
      </c>
      <c r="E288" s="4" t="inlineStr">
        <is>
          <t>線分の距離・方位ラベル作成</t>
        </is>
      </c>
      <c r="F288" s="2" t="n">
        <v>13</v>
      </c>
      <c r="G288" s="2" t="n">
        <v>7</v>
      </c>
      <c r="H288" s="2" t="n">
        <v>12</v>
      </c>
      <c r="I288" s="2" t="n">
        <v>9</v>
      </c>
      <c r="J288" s="5">
        <f>SUM(F288:I288)</f>
        <v/>
      </c>
      <c r="K288" s="4" t="inlineStr">
        <is>
          <t>線分の距離・方位ラベル</t>
        </is>
      </c>
      <c r="L288" s="3" t="inlineStr"/>
      <c r="M288" s="3" t="inlineStr">
        <is>
          <t>draftsperson.net</t>
        </is>
      </c>
      <c r="N288" s="6" t="inlineStr">
        <is>
          <t>開く</t>
        </is>
      </c>
    </row>
    <row r="289">
      <c r="A289" s="2">
        <f>RANK(J289,$J$2:$J$697)</f>
        <v/>
      </c>
      <c r="B289" s="3" t="inlineStr">
        <is>
          <t>引出線・注記</t>
        </is>
      </c>
      <c r="C289" s="3" t="inlineStr">
        <is>
          <t>DL</t>
        </is>
      </c>
      <c r="D289" s="4" t="inlineStr">
        <is>
          <t>DL</t>
        </is>
      </c>
      <c r="E289" s="4" t="inlineStr">
        <is>
          <t>文字に揃えた引出線を作図</t>
        </is>
      </c>
      <c r="F289" s="2" t="n">
        <v>10</v>
      </c>
      <c r="G289" s="2" t="n">
        <v>9</v>
      </c>
      <c r="H289" s="2" t="n">
        <v>8</v>
      </c>
      <c r="I289" s="2" t="n">
        <v>14</v>
      </c>
      <c r="J289" s="5">
        <f>SUM(F289:I289)</f>
        <v/>
      </c>
      <c r="K289" s="4" t="inlineStr">
        <is>
          <t>MLEADERで概ね代替</t>
        </is>
      </c>
      <c r="L289" s="3" t="inlineStr">
        <is>
          <t>Terry Miller</t>
        </is>
      </c>
      <c r="M289" s="3" t="inlineStr">
        <is>
          <t>AutoLISP Exchange</t>
        </is>
      </c>
      <c r="N289" s="6" t="inlineStr">
        <is>
          <t>開く</t>
        </is>
      </c>
    </row>
    <row r="290">
      <c r="A290" s="2">
        <f>RANK(J290,$J$2:$J$697)</f>
        <v/>
      </c>
      <c r="B290" s="3" t="inlineStr">
        <is>
          <t>画層</t>
        </is>
      </c>
      <c r="C290" s="3" t="inlineStr">
        <is>
          <t>dlf</t>
        </is>
      </c>
      <c r="D290" s="4" t="inlineStr">
        <is>
          <t>DLF.lsp</t>
        </is>
      </c>
      <c r="E290" s="4" t="inlineStr">
        <is>
          <t>画層フィルタを削除</t>
        </is>
      </c>
      <c r="F290" s="2" t="n">
        <v>12</v>
      </c>
      <c r="G290" s="2" t="n">
        <v>7</v>
      </c>
      <c r="H290" s="2" t="n">
        <v>8</v>
      </c>
      <c r="I290" s="2" t="n">
        <v>14</v>
      </c>
      <c r="J290" s="5">
        <f>SUM(F290:I290)</f>
        <v/>
      </c>
      <c r="K290" s="4" t="inlineStr">
        <is>
          <t>画層フィルタ削除、標準手間</t>
        </is>
      </c>
      <c r="L290" s="3" t="inlineStr">
        <is>
          <t>JTB World (Jimmy Bergmark)</t>
        </is>
      </c>
      <c r="M290" s="3" t="inlineStr">
        <is>
          <t>JTB World</t>
        </is>
      </c>
      <c r="N290" s="6" t="inlineStr">
        <is>
          <t>開く</t>
        </is>
      </c>
    </row>
    <row r="291">
      <c r="A291" s="2">
        <f>RANK(J291,$J$2:$J$697)</f>
        <v/>
      </c>
      <c r="B291" s="3" t="inlineStr">
        <is>
          <t>ハッチ・面積・長さ集計</t>
        </is>
      </c>
      <c r="C291" s="3" t="inlineStr">
        <is>
          <t>hatchbase</t>
        </is>
      </c>
      <c r="D291" s="4" t="inlineStr">
        <is>
          <t>HatchBase.lsp</t>
        </is>
      </c>
      <c r="E291" s="4" t="inlineStr">
        <is>
          <t>ハッチ基点を一括変更</t>
        </is>
      </c>
      <c r="F291" s="2" t="n">
        <v>10</v>
      </c>
      <c r="G291" s="2" t="n">
        <v>8</v>
      </c>
      <c r="H291" s="2" t="n">
        <v>10</v>
      </c>
      <c r="I291" s="2" t="n">
        <v>13</v>
      </c>
      <c r="J291" s="5">
        <f>SUM(F291:I291)</f>
        <v/>
      </c>
      <c r="K291" s="4" t="inlineStr">
        <is>
          <t>ハッチ原点一括変更の手間削減</t>
        </is>
      </c>
      <c r="L291" s="3" t="inlineStr">
        <is>
          <t>JTB World (Jimmy Bergmark)</t>
        </is>
      </c>
      <c r="M291" s="3" t="inlineStr">
        <is>
          <t>JTB World</t>
        </is>
      </c>
      <c r="N291" s="6" t="inlineStr">
        <is>
          <t>開く</t>
        </is>
      </c>
    </row>
    <row r="292">
      <c r="A292" s="2">
        <f>RANK(J292,$J$2:$J$697)</f>
        <v/>
      </c>
      <c r="B292" s="3" t="inlineStr">
        <is>
          <t>LISP開発用の部品</t>
        </is>
      </c>
      <c r="C292" s="3" t="inlineStr">
        <is>
          <t>-</t>
        </is>
      </c>
      <c r="D292" s="4" t="inlineStr">
        <is>
          <t>List Box with Filter</t>
        </is>
      </c>
      <c r="E292" s="4" t="inlineStr">
        <is>
          <t>フィルタ付リストボックス関数</t>
        </is>
      </c>
      <c r="F292" s="2" t="n">
        <v>14</v>
      </c>
      <c r="G292" s="2" t="n">
        <v>14</v>
      </c>
      <c r="H292" s="2" t="n">
        <v>5</v>
      </c>
      <c r="I292" s="2" t="n">
        <v>8</v>
      </c>
      <c r="J292" s="5">
        <f>SUM(F292:I292)</f>
        <v/>
      </c>
      <c r="K292" s="4" t="inlineStr">
        <is>
          <t>フィルタ付リスト選択</t>
        </is>
      </c>
      <c r="L292" s="3" t="inlineStr">
        <is>
          <t>Lee Mac</t>
        </is>
      </c>
      <c r="M292" s="3" t="inlineStr">
        <is>
          <t>Lee Mac Programming</t>
        </is>
      </c>
      <c r="N292" s="6" t="inlineStr">
        <is>
          <t>開く</t>
        </is>
      </c>
    </row>
    <row r="293">
      <c r="A293" s="2">
        <f>RANK(J293,$J$2:$J$697)</f>
        <v/>
      </c>
      <c r="B293" s="3" t="inlineStr">
        <is>
          <t>LISP開発用の部品</t>
        </is>
      </c>
      <c r="C293" s="3" t="inlineStr">
        <is>
          <t>-</t>
        </is>
      </c>
      <c r="D293" s="4" t="inlineStr">
        <is>
          <t>MD5 Cryptographic Hash Function</t>
        </is>
      </c>
      <c r="E293" s="4" t="inlineStr">
        <is>
          <t>MD5ハッシュ関数</t>
        </is>
      </c>
      <c r="F293" s="2" t="n">
        <v>19</v>
      </c>
      <c r="G293" s="2" t="n">
        <v>16</v>
      </c>
      <c r="H293" s="2" t="n">
        <v>3</v>
      </c>
      <c r="I293" s="2" t="n">
        <v>3</v>
      </c>
      <c r="J293" s="5">
        <f>SUM(F293:I293)</f>
        <v/>
      </c>
      <c r="K293" s="4" t="inlineStr">
        <is>
          <t>MD5をLISPで実装</t>
        </is>
      </c>
      <c r="L293" s="3" t="inlineStr">
        <is>
          <t>Lee Mac</t>
        </is>
      </c>
      <c r="M293" s="3" t="inlineStr">
        <is>
          <t>Lee Mac Programming</t>
        </is>
      </c>
      <c r="N293" s="6" t="inlineStr">
        <is>
          <t>開く</t>
        </is>
      </c>
    </row>
    <row r="294">
      <c r="A294" s="2">
        <f>RANK(J294,$J$2:$J$697)</f>
        <v/>
      </c>
      <c r="B294" s="3" t="inlineStr">
        <is>
          <t>構造・鉄骨・機械</t>
        </is>
      </c>
      <c r="C294" s="3" t="inlineStr">
        <is>
          <t>-</t>
        </is>
      </c>
      <c r="D294" s="4" t="inlineStr">
        <is>
          <t>Mechanical Lisp Collection (Mech2lsp.zip)</t>
        </is>
      </c>
      <c r="E294" s="4" t="inlineStr">
        <is>
          <t>機械製図用(穴・ねじ穴)集</t>
        </is>
      </c>
      <c r="F294" s="2" t="n">
        <v>12</v>
      </c>
      <c r="G294" s="2" t="n">
        <v>7</v>
      </c>
      <c r="H294" s="2" t="n">
        <v>12</v>
      </c>
      <c r="I294" s="2" t="n">
        <v>10</v>
      </c>
      <c r="J294" s="5">
        <f>SUM(F294:I294)</f>
        <v/>
      </c>
      <c r="K294" s="4" t="inlineStr">
        <is>
          <t>穴・ねじ穴の定型作図</t>
        </is>
      </c>
      <c r="L294" s="3" t="inlineStr"/>
      <c r="M294" s="3" t="inlineStr">
        <is>
          <t>draftsperson.net</t>
        </is>
      </c>
      <c r="N294" s="6" t="inlineStr">
        <is>
          <t>開く</t>
        </is>
      </c>
    </row>
    <row r="295">
      <c r="A295" s="2">
        <f>RANK(J295,$J$2:$J$697)</f>
        <v/>
      </c>
      <c r="B295" s="3" t="inlineStr">
        <is>
          <t>画層</t>
        </is>
      </c>
      <c r="C295" s="3" t="inlineStr">
        <is>
          <t>REMF</t>
        </is>
      </c>
      <c r="D295" s="4" t="inlineStr">
        <is>
          <t>REMF</t>
        </is>
      </c>
      <c r="E295" s="4" t="inlineStr">
        <is>
          <t>画層フィルタを一括削除</t>
        </is>
      </c>
      <c r="F295" s="2" t="n">
        <v>12</v>
      </c>
      <c r="G295" s="2" t="n">
        <v>7</v>
      </c>
      <c r="H295" s="2" t="n">
        <v>8</v>
      </c>
      <c r="I295" s="2" t="n">
        <v>14</v>
      </c>
      <c r="J295" s="5">
        <f>SUM(F295:I295)</f>
        <v/>
      </c>
      <c r="K295" s="4" t="inlineStr">
        <is>
          <t>フィルタ一括削除、重い図面</t>
        </is>
      </c>
      <c r="L295" s="3" t="inlineStr">
        <is>
          <t>Jeffery P. Sanders</t>
        </is>
      </c>
      <c r="M295" s="3" t="inlineStr">
        <is>
          <t>JefferyPSanders.com</t>
        </is>
      </c>
      <c r="N295" s="6" t="inlineStr">
        <is>
          <t>開く</t>
        </is>
      </c>
    </row>
    <row r="296">
      <c r="A296" s="2">
        <f>RANK(J296,$J$2:$J$697)</f>
        <v/>
      </c>
      <c r="B296" s="3" t="inlineStr">
        <is>
          <t>印刷・レイアウト・図枠</t>
        </is>
      </c>
      <c r="C296" s="3" t="inlineStr">
        <is>
          <t>-</t>
        </is>
      </c>
      <c r="D296" s="4" t="inlineStr">
        <is>
          <t>Remove Sheet Set association</t>
        </is>
      </c>
      <c r="E296" s="4" t="inlineStr">
        <is>
          <t>シートセット関連付けを解除</t>
        </is>
      </c>
      <c r="F296" s="2" t="n">
        <v>15</v>
      </c>
      <c r="G296" s="2" t="n">
        <v>9</v>
      </c>
      <c r="H296" s="2" t="n">
        <v>8</v>
      </c>
      <c r="I296" s="2" t="n">
        <v>9</v>
      </c>
      <c r="J296" s="5">
        <f>SUM(F296:I296)</f>
        <v/>
      </c>
      <c r="K296" s="4" t="inlineStr">
        <is>
          <t>SSM関連付け解除は標準無</t>
        </is>
      </c>
      <c r="L296" s="3" t="inlineStr">
        <is>
          <t>JTB World (Jimmy Bergmark)</t>
        </is>
      </c>
      <c r="M296" s="3" t="inlineStr">
        <is>
          <t>JTB World</t>
        </is>
      </c>
      <c r="N296" s="6" t="inlineStr">
        <is>
          <t>開く</t>
        </is>
      </c>
    </row>
    <row r="297">
      <c r="A297" s="2">
        <f>RANK(J297,$J$2:$J$697)</f>
        <v/>
      </c>
      <c r="B297" s="3" t="inlineStr">
        <is>
          <t>文字・テキスト</t>
        </is>
      </c>
      <c r="C297" s="3" t="inlineStr">
        <is>
          <t>CurveText</t>
        </is>
      </c>
      <c r="D297" s="4" t="inlineStr">
        <is>
          <t>Slinky Text</t>
        </is>
      </c>
      <c r="E297" s="4" t="inlineStr">
        <is>
          <t>文字を曲線形状に配置</t>
        </is>
      </c>
      <c r="F297" s="2" t="n">
        <v>14</v>
      </c>
      <c r="G297" s="2" t="n">
        <v>17</v>
      </c>
      <c r="H297" s="2" t="n">
        <v>4</v>
      </c>
      <c r="I297" s="2" t="n">
        <v>6</v>
      </c>
      <c r="J297" s="5">
        <f>SUM(F297:I297)</f>
        <v/>
      </c>
      <c r="K297" s="4" t="inlineStr">
        <is>
          <t>曲線形状文字は装飾的</t>
        </is>
      </c>
      <c r="L297" s="3" t="inlineStr">
        <is>
          <t>Lee Mac</t>
        </is>
      </c>
      <c r="M297" s="3" t="inlineStr">
        <is>
          <t>Lee Mac Programming</t>
        </is>
      </c>
      <c r="N297" s="6" t="inlineStr">
        <is>
          <t>開く</t>
        </is>
      </c>
    </row>
    <row r="298">
      <c r="A298" s="2">
        <f>RANK(J298,$J$2:$J$697)</f>
        <v/>
      </c>
      <c r="B298" s="3" t="inlineStr">
        <is>
          <t>文字・テキスト</t>
        </is>
      </c>
      <c r="C298" s="3" t="inlineStr">
        <is>
          <t>t2w</t>
        </is>
      </c>
      <c r="D298" s="4" t="inlineStr">
        <is>
          <t>Text to Words</t>
        </is>
      </c>
      <c r="E298" s="4" t="inlineStr">
        <is>
          <t>文字を単語ごとに分割</t>
        </is>
      </c>
      <c r="F298" s="2" t="n">
        <v>15</v>
      </c>
      <c r="G298" s="2" t="n">
        <v>10</v>
      </c>
      <c r="H298" s="2" t="n">
        <v>6</v>
      </c>
      <c r="I298" s="2" t="n">
        <v>10</v>
      </c>
      <c r="J298" s="5">
        <f>SUM(F298:I298)</f>
        <v/>
      </c>
      <c r="K298" s="4" t="inlineStr">
        <is>
          <t>単語分割は標準にない</t>
        </is>
      </c>
      <c r="L298" s="3" t="inlineStr">
        <is>
          <t>Lee Mac</t>
        </is>
      </c>
      <c r="M298" s="3" t="inlineStr">
        <is>
          <t>Lee Mac Programming</t>
        </is>
      </c>
      <c r="N298" s="6" t="inlineStr">
        <is>
          <t>開く</t>
        </is>
      </c>
    </row>
    <row r="299">
      <c r="A299" s="2">
        <f>RANK(J299,$J$2:$J$697)</f>
        <v/>
      </c>
      <c r="B299" s="3" t="inlineStr">
        <is>
          <t>建築</t>
        </is>
      </c>
      <c r="C299" s="3" t="inlineStr">
        <is>
          <t>-</t>
        </is>
      </c>
      <c r="D299" s="4" t="inlineStr">
        <is>
          <t>Wall Section (wallsect.rar)</t>
        </is>
      </c>
      <c r="E299" s="4" t="inlineStr">
        <is>
          <t>壁断面を作図</t>
        </is>
      </c>
      <c r="F299" s="2" t="n">
        <v>13</v>
      </c>
      <c r="G299" s="2" t="n">
        <v>8</v>
      </c>
      <c r="H299" s="2" t="n">
        <v>11</v>
      </c>
      <c r="I299" s="2" t="n">
        <v>9</v>
      </c>
      <c r="J299" s="5">
        <f>SUM(F299:I299)</f>
        <v/>
      </c>
      <c r="K299" s="4" t="inlineStr">
        <is>
          <t>断面構成を自動作図</t>
        </is>
      </c>
      <c r="L299" s="3" t="inlineStr"/>
      <c r="M299" s="3" t="inlineStr">
        <is>
          <t>draftsperson.net</t>
        </is>
      </c>
      <c r="N299" s="6" t="inlineStr">
        <is>
          <t>開く</t>
        </is>
      </c>
    </row>
    <row r="300">
      <c r="A300" s="2">
        <f>RANK(J300,$J$2:$J$697)</f>
        <v/>
      </c>
      <c r="B300" s="3" t="inlineStr">
        <is>
          <t>建築</t>
        </is>
      </c>
      <c r="C300" s="3" t="inlineStr">
        <is>
          <t>-</t>
        </is>
      </c>
      <c r="D300" s="4" t="inlineStr">
        <is>
          <t>Wall Sections (WallDemo.zip)</t>
        </is>
      </c>
      <c r="E300" s="4" t="inlineStr">
        <is>
          <t>壁断面を作図</t>
        </is>
      </c>
      <c r="F300" s="2" t="n">
        <v>13</v>
      </c>
      <c r="G300" s="2" t="n">
        <v>8</v>
      </c>
      <c r="H300" s="2" t="n">
        <v>11</v>
      </c>
      <c r="I300" s="2" t="n">
        <v>9</v>
      </c>
      <c r="J300" s="5">
        <f>SUM(F300:I300)</f>
        <v/>
      </c>
      <c r="K300" s="4" t="inlineStr">
        <is>
          <t>断面構成を自動作図</t>
        </is>
      </c>
      <c r="L300" s="3" t="inlineStr"/>
      <c r="M300" s="3" t="inlineStr">
        <is>
          <t>draftsperson.net</t>
        </is>
      </c>
      <c r="N300" s="6" t="inlineStr">
        <is>
          <t>開く</t>
        </is>
      </c>
    </row>
    <row r="301">
      <c r="A301" s="2">
        <f>RANK(J301,$J$2:$J$697)</f>
        <v/>
      </c>
      <c r="B301" s="3" t="inlineStr">
        <is>
          <t>文字・テキスト</t>
        </is>
      </c>
      <c r="C301" s="3" t="inlineStr">
        <is>
          <t>AT</t>
        </is>
      </c>
      <c r="D301" s="4" t="inlineStr">
        <is>
          <t>Align Text</t>
        </is>
      </c>
      <c r="E301" s="4" t="inlineStr">
        <is>
          <t>文字を基点で一直線に整列</t>
        </is>
      </c>
      <c r="F301" s="2" t="n">
        <v>6</v>
      </c>
      <c r="G301" s="2" t="n">
        <v>7</v>
      </c>
      <c r="H301" s="2" t="n">
        <v>9</v>
      </c>
      <c r="I301" s="2" t="n">
        <v>18</v>
      </c>
      <c r="J301" s="5">
        <f>SUM(F301:I301)</f>
        <v/>
      </c>
      <c r="K301" s="4" t="inlineStr">
        <is>
          <t>TEXTALIGNで概ね代替</t>
        </is>
      </c>
      <c r="L301" s="3" t="inlineStr">
        <is>
          <t>Lee Mac</t>
        </is>
      </c>
      <c r="M301" s="3" t="inlineStr">
        <is>
          <t>Lee Mac Programming</t>
        </is>
      </c>
      <c r="N301" s="6" t="inlineStr">
        <is>
          <t>開く</t>
        </is>
      </c>
    </row>
    <row r="302">
      <c r="A302" s="2">
        <f>RANK(J302,$J$2:$J$697)</f>
        <v/>
      </c>
      <c r="B302" s="3" t="inlineStr">
        <is>
          <t>作図</t>
        </is>
      </c>
      <c r="C302" s="3" t="inlineStr">
        <is>
          <t>CL / CLRemove</t>
        </is>
      </c>
      <c r="D302" s="4" t="inlineStr">
        <is>
          <t>Associative Centerlines</t>
        </is>
      </c>
      <c r="E302" s="4" t="inlineStr">
        <is>
          <t>円に連動する中心線を作図</t>
        </is>
      </c>
      <c r="F302" s="2" t="n">
        <v>4</v>
      </c>
      <c r="G302" s="2" t="n">
        <v>14</v>
      </c>
      <c r="H302" s="2" t="n">
        <v>10</v>
      </c>
      <c r="I302" s="2" t="n">
        <v>12</v>
      </c>
      <c r="J302" s="5">
        <f>SUM(F302:I302)</f>
        <v/>
      </c>
      <c r="K302" s="4" t="inlineStr">
        <is>
          <t>標準CENTERMARKで代替</t>
        </is>
      </c>
      <c r="L302" s="3" t="inlineStr">
        <is>
          <t>Lee Mac</t>
        </is>
      </c>
      <c r="M302" s="3" t="inlineStr">
        <is>
          <t>Lee Mac Programming</t>
        </is>
      </c>
      <c r="N302" s="6" t="inlineStr">
        <is>
          <t>開く</t>
        </is>
      </c>
    </row>
    <row r="303">
      <c r="A303" s="2">
        <f>RANK(J303,$J$2:$J$697)</f>
        <v/>
      </c>
      <c r="B303" s="3" t="inlineStr">
        <is>
          <t>LISP開発用の部品</t>
        </is>
      </c>
      <c r="C303" s="3" t="inlineStr">
        <is>
          <t>-</t>
        </is>
      </c>
      <c r="D303" s="4" t="inlineStr">
        <is>
          <t>Field Code</t>
        </is>
      </c>
      <c r="E303" s="4" t="inlineStr">
        <is>
          <t>フィールドコード取得関数</t>
        </is>
      </c>
      <c r="F303" s="2" t="n">
        <v>16</v>
      </c>
      <c r="G303" s="2" t="n">
        <v>12</v>
      </c>
      <c r="H303" s="2" t="n">
        <v>5</v>
      </c>
      <c r="I303" s="2" t="n">
        <v>7</v>
      </c>
      <c r="J303" s="5">
        <f>SUM(F303:I303)</f>
        <v/>
      </c>
      <c r="K303" s="4" t="inlineStr">
        <is>
          <t>フィールドコード取得</t>
        </is>
      </c>
      <c r="L303" s="3" t="inlineStr">
        <is>
          <t>Lee Mac</t>
        </is>
      </c>
      <c r="M303" s="3" t="inlineStr">
        <is>
          <t>Lee Mac Programming</t>
        </is>
      </c>
      <c r="N303" s="6" t="inlineStr">
        <is>
          <t>開く</t>
        </is>
      </c>
    </row>
    <row r="304">
      <c r="A304" s="2">
        <f>RANK(J304,$J$2:$J$697)</f>
        <v/>
      </c>
      <c r="B304" s="3" t="inlineStr">
        <is>
          <t>作図</t>
        </is>
      </c>
      <c r="C304" s="3" t="inlineStr">
        <is>
          <t>isopoly</t>
        </is>
      </c>
      <c r="D304" s="4" t="inlineStr">
        <is>
          <t>Isometric Polygon</t>
        </is>
      </c>
      <c r="E304" s="4" t="inlineStr">
        <is>
          <t>等角図用の多角形を作図</t>
        </is>
      </c>
      <c r="F304" s="2" t="n">
        <v>17</v>
      </c>
      <c r="G304" s="2" t="n">
        <v>11</v>
      </c>
      <c r="H304" s="2" t="n">
        <v>6</v>
      </c>
      <c r="I304" s="2" t="n">
        <v>6</v>
      </c>
      <c r="J304" s="5">
        <f>SUM(F304:I304)</f>
        <v/>
      </c>
      <c r="K304" s="4" t="inlineStr">
        <is>
          <t>等角図用途限定</t>
        </is>
      </c>
      <c r="L304" s="3" t="inlineStr">
        <is>
          <t>Lee Mac</t>
        </is>
      </c>
      <c r="M304" s="3" t="inlineStr">
        <is>
          <t>Lee Mac Programming</t>
        </is>
      </c>
      <c r="N304" s="6" t="inlineStr">
        <is>
          <t>開く</t>
        </is>
      </c>
    </row>
    <row r="305">
      <c r="A305" s="2">
        <f>RANK(J305,$J$2:$J$697)</f>
        <v/>
      </c>
      <c r="B305" s="3" t="inlineStr">
        <is>
          <t>線・ポリライン編集</t>
        </is>
      </c>
      <c r="C305" s="3" t="inlineStr">
        <is>
          <t>JOINALL</t>
        </is>
      </c>
      <c r="D305" s="4" t="inlineStr">
        <is>
          <t>JoinAll.lsp</t>
        </is>
      </c>
      <c r="E305" s="4" t="inlineStr">
        <is>
          <t>接する線・円弧を一括ポリライン化</t>
        </is>
      </c>
      <c r="F305" s="2" t="n">
        <v>5</v>
      </c>
      <c r="G305" s="2" t="n">
        <v>6</v>
      </c>
      <c r="H305" s="2" t="n">
        <v>12</v>
      </c>
      <c r="I305" s="2" t="n">
        <v>17</v>
      </c>
      <c r="J305" s="5">
        <f>SUM(F305:I305)</f>
        <v/>
      </c>
      <c r="K305" s="4" t="inlineStr">
        <is>
          <t>JOIN/PEDIT複数で代替</t>
        </is>
      </c>
      <c r="L305" s="3" t="inlineStr">
        <is>
          <t>CADAuthority</t>
        </is>
      </c>
      <c r="M305" s="3" t="inlineStr">
        <is>
          <t>CAD Authority</t>
        </is>
      </c>
      <c r="N305" s="6" t="inlineStr">
        <is>
          <t>開く</t>
        </is>
      </c>
    </row>
    <row r="306">
      <c r="A306" s="2">
        <f>RANK(J306,$J$2:$J$697)</f>
        <v/>
      </c>
      <c r="B306" s="3" t="inlineStr">
        <is>
          <t>文字・テキスト</t>
        </is>
      </c>
      <c r="C306" s="3" t="inlineStr">
        <is>
          <t>tx</t>
        </is>
      </c>
      <c r="D306" s="4" t="inlineStr">
        <is>
          <t>Text Precedence</t>
        </is>
      </c>
      <c r="E306" s="4" t="inlineStr">
        <is>
          <t>文字の下の図形を切り抜き記入</t>
        </is>
      </c>
      <c r="F306" s="2" t="n">
        <v>8</v>
      </c>
      <c r="G306" s="2" t="n">
        <v>10</v>
      </c>
      <c r="H306" s="2" t="n">
        <v>8</v>
      </c>
      <c r="I306" s="2" t="n">
        <v>14</v>
      </c>
      <c r="J306" s="5">
        <f>SUM(F306:I306)</f>
        <v/>
      </c>
      <c r="K306" s="4" t="inlineStr">
        <is>
          <t>背景マスクでほぼ代替</t>
        </is>
      </c>
      <c r="L306" s="3" t="inlineStr">
        <is>
          <t>Mark Beggs</t>
        </is>
      </c>
      <c r="M306" s="3" t="inlineStr">
        <is>
          <t>JTB World</t>
        </is>
      </c>
      <c r="N306" s="6" t="inlineStr">
        <is>
          <t>開く</t>
        </is>
      </c>
    </row>
    <row r="307">
      <c r="A307" s="2">
        <f>RANK(J307,$J$2:$J$697)</f>
        <v/>
      </c>
      <c r="B307" s="3" t="inlineStr">
        <is>
          <t>文字・テキスト</t>
        </is>
      </c>
      <c r="C307" s="3" t="inlineStr">
        <is>
          <t>Text-Box / TB</t>
        </is>
      </c>
      <c r="D307" s="4" t="inlineStr">
        <is>
          <t>Text-Box</t>
        </is>
      </c>
      <c r="E307" s="4" t="inlineStr">
        <is>
          <t>文字を囲む矩形を作図</t>
        </is>
      </c>
      <c r="F307" s="2" t="n">
        <v>8</v>
      </c>
      <c r="G307" s="2" t="n">
        <v>6</v>
      </c>
      <c r="H307" s="2" t="n">
        <v>8</v>
      </c>
      <c r="I307" s="2" t="n">
        <v>18</v>
      </c>
      <c r="J307" s="5">
        <f>SUM(F307:I307)</f>
        <v/>
      </c>
      <c r="K307" s="4" t="inlineStr">
        <is>
          <t>TEXTMASK/枠付き文字で概ね代替</t>
        </is>
      </c>
      <c r="L307" s="3" t="inlineStr">
        <is>
          <t>Terry Miller</t>
        </is>
      </c>
      <c r="M307" s="3" t="inlineStr">
        <is>
          <t>AutoLISP Exchange</t>
        </is>
      </c>
      <c r="N307" s="6" t="inlineStr">
        <is>
          <t>開く</t>
        </is>
      </c>
    </row>
    <row r="308">
      <c r="A308" s="2">
        <f>RANK(J308,$J$2:$J$697)</f>
        <v/>
      </c>
      <c r="B308" s="3" t="inlineStr">
        <is>
          <t>文字・テキスト</t>
        </is>
      </c>
      <c r="C308" s="3" t="inlineStr">
        <is>
          <t>TEXTOUT</t>
        </is>
      </c>
      <c r="D308" s="4" t="inlineStr">
        <is>
          <t>TextOut</t>
        </is>
      </c>
      <c r="E308" s="4" t="inlineStr">
        <is>
          <t>図面の文字をファイル出力</t>
        </is>
      </c>
      <c r="F308" s="2" t="n">
        <v>8</v>
      </c>
      <c r="G308" s="2" t="n">
        <v>6</v>
      </c>
      <c r="H308" s="2" t="n">
        <v>10</v>
      </c>
      <c r="I308" s="2" t="n">
        <v>16</v>
      </c>
      <c r="J308" s="5">
        <f>SUM(F308:I308)</f>
        <v/>
      </c>
      <c r="K308" s="4" t="inlineStr">
        <is>
          <t>DATAEXTRACTIONで概ね代替</t>
        </is>
      </c>
      <c r="L308" s="3" t="inlineStr">
        <is>
          <t>Jeffery P. Sanders</t>
        </is>
      </c>
      <c r="M308" s="3" t="inlineStr">
        <is>
          <t>JefferyPSanders.com</t>
        </is>
      </c>
      <c r="N308" s="6" t="inlineStr">
        <is>
          <t>開く</t>
        </is>
      </c>
    </row>
    <row r="309">
      <c r="A309" s="2">
        <f>RANK(J309,$J$2:$J$697)</f>
        <v/>
      </c>
      <c r="B309" s="3" t="inlineStr">
        <is>
          <t>建築</t>
        </is>
      </c>
      <c r="C309" s="3" t="inlineStr">
        <is>
          <t>-</t>
        </is>
      </c>
      <c r="D309" s="4" t="inlineStr">
        <is>
          <t>2D Door (2DDOOR.LSP)</t>
        </is>
      </c>
      <c r="E309" s="4" t="inlineStr">
        <is>
          <t>2Dドアを平面図に作図</t>
        </is>
      </c>
      <c r="F309" s="2" t="n">
        <v>12</v>
      </c>
      <c r="G309" s="2" t="n">
        <v>6</v>
      </c>
      <c r="H309" s="2" t="n">
        <v>11</v>
      </c>
      <c r="I309" s="2" t="n">
        <v>10</v>
      </c>
      <c r="J309" s="5">
        <f>SUM(F309:I309)</f>
        <v/>
      </c>
      <c r="K309" s="4" t="inlineStr">
        <is>
          <t>動的ブロックで代替可</t>
        </is>
      </c>
      <c r="L309" s="3" t="inlineStr"/>
      <c r="M309" s="3" t="inlineStr">
        <is>
          <t>draftsperson.net</t>
        </is>
      </c>
      <c r="N309" s="6" t="inlineStr">
        <is>
          <t>開く</t>
        </is>
      </c>
    </row>
    <row r="310">
      <c r="A310" s="2">
        <f>RANK(J310,$J$2:$J$697)</f>
        <v/>
      </c>
      <c r="B310" s="3" t="inlineStr">
        <is>
          <t>建築</t>
        </is>
      </c>
      <c r="C310" s="3" t="inlineStr">
        <is>
          <t>-</t>
        </is>
      </c>
      <c r="D310" s="4" t="inlineStr">
        <is>
          <t>2D Window (2DWIN.LSP)</t>
        </is>
      </c>
      <c r="E310" s="4" t="inlineStr">
        <is>
          <t>2D窓を平面図に作図</t>
        </is>
      </c>
      <c r="F310" s="2" t="n">
        <v>12</v>
      </c>
      <c r="G310" s="2" t="n">
        <v>6</v>
      </c>
      <c r="H310" s="2" t="n">
        <v>11</v>
      </c>
      <c r="I310" s="2" t="n">
        <v>10</v>
      </c>
      <c r="J310" s="5">
        <f>SUM(F310:I310)</f>
        <v/>
      </c>
      <c r="K310" s="4" t="inlineStr">
        <is>
          <t>動的ブロックで代替可</t>
        </is>
      </c>
      <c r="L310" s="3" t="inlineStr"/>
      <c r="M310" s="3" t="inlineStr">
        <is>
          <t>draftsperson.net</t>
        </is>
      </c>
      <c r="N310" s="6" t="inlineStr">
        <is>
          <t>開く</t>
        </is>
      </c>
    </row>
    <row r="311">
      <c r="A311" s="2">
        <f>RANK(J311,$J$2:$J$697)</f>
        <v/>
      </c>
      <c r="B311" s="3" t="inlineStr">
        <is>
          <t>建築</t>
        </is>
      </c>
      <c r="C311" s="3" t="inlineStr">
        <is>
          <t>-</t>
        </is>
      </c>
      <c r="D311" s="4" t="inlineStr">
        <is>
          <t>Architectural LISP Set (archlisp.zip)</t>
        </is>
      </c>
      <c r="E311" s="4" t="inlineStr">
        <is>
          <t>建築用LISP集(ドア・天井等)</t>
        </is>
      </c>
      <c r="F311" s="2" t="n">
        <v>11</v>
      </c>
      <c r="G311" s="2" t="n">
        <v>6</v>
      </c>
      <c r="H311" s="2" t="n">
        <v>12</v>
      </c>
      <c r="I311" s="2" t="n">
        <v>10</v>
      </c>
      <c r="J311" s="5">
        <f>SUM(F311:I311)</f>
        <v/>
      </c>
      <c r="K311" s="4" t="inlineStr">
        <is>
          <t>建築要素の作図集</t>
        </is>
      </c>
      <c r="L311" s="3" t="inlineStr"/>
      <c r="M311" s="3" t="inlineStr">
        <is>
          <t>draftsperson.net</t>
        </is>
      </c>
      <c r="N311" s="6" t="inlineStr">
        <is>
          <t>開く</t>
        </is>
      </c>
    </row>
    <row r="312">
      <c r="A312" s="2">
        <f>RANK(J312,$J$2:$J$697)</f>
        <v/>
      </c>
      <c r="B312" s="3" t="inlineStr">
        <is>
          <t>引出線・注記</t>
        </is>
      </c>
      <c r="C312" s="3" t="inlineStr">
        <is>
          <t>ARROW</t>
        </is>
      </c>
      <c r="D312" s="4" t="inlineStr">
        <is>
          <t>ArrowHead.lsp</t>
        </is>
      </c>
      <c r="E312" s="4" t="inlineStr">
        <is>
          <t>線に方向矢印を付加</t>
        </is>
      </c>
      <c r="F312" s="2" t="n">
        <v>12</v>
      </c>
      <c r="G312" s="2" t="n">
        <v>8</v>
      </c>
      <c r="H312" s="2" t="n">
        <v>7</v>
      </c>
      <c r="I312" s="2" t="n">
        <v>12</v>
      </c>
      <c r="J312" s="5">
        <f>SUM(F312:I312)</f>
        <v/>
      </c>
      <c r="K312" s="4" t="inlineStr">
        <is>
          <t>線に方向矢印、標準手間</t>
        </is>
      </c>
      <c r="L312" s="3" t="inlineStr">
        <is>
          <t>CADAuthority</t>
        </is>
      </c>
      <c r="M312" s="3" t="inlineStr">
        <is>
          <t>CAD Authority</t>
        </is>
      </c>
      <c r="N312" s="6" t="inlineStr">
        <is>
          <t>開く</t>
        </is>
      </c>
    </row>
    <row r="313">
      <c r="A313" s="2">
        <f>RANK(J313,$J$2:$J$697)</f>
        <v/>
      </c>
      <c r="B313" s="3" t="inlineStr">
        <is>
          <t>構造・鉄骨・機械</t>
        </is>
      </c>
      <c r="C313" s="3" t="inlineStr">
        <is>
          <t>-</t>
        </is>
      </c>
      <c r="D313" s="4" t="inlineStr">
        <is>
          <t>Autoweld (autoweld.zip)</t>
        </is>
      </c>
      <c r="E313" s="4" t="inlineStr">
        <is>
          <t>溶接記号を作図(メニュー付)</t>
        </is>
      </c>
      <c r="F313" s="2" t="n">
        <v>12</v>
      </c>
      <c r="G313" s="2" t="n">
        <v>7</v>
      </c>
      <c r="H313" s="2" t="n">
        <v>12</v>
      </c>
      <c r="I313" s="2" t="n">
        <v>8</v>
      </c>
      <c r="J313" s="5">
        <f>SUM(F313:I313)</f>
        <v/>
      </c>
      <c r="K313" s="4" t="inlineStr">
        <is>
          <t>溶接記号の作図補助</t>
        </is>
      </c>
      <c r="L313" s="3" t="inlineStr"/>
      <c r="M313" s="3" t="inlineStr">
        <is>
          <t>draftsperson.net</t>
        </is>
      </c>
      <c r="N313" s="6" t="inlineStr">
        <is>
          <t>開く</t>
        </is>
      </c>
    </row>
    <row r="314">
      <c r="A314" s="2">
        <f>RANK(J314,$J$2:$J$697)</f>
        <v/>
      </c>
      <c r="B314" s="3" t="inlineStr">
        <is>
          <t>構造・鉄骨・機械</t>
        </is>
      </c>
      <c r="C314" s="3" t="inlineStr">
        <is>
          <t>-</t>
        </is>
      </c>
      <c r="D314" s="4" t="inlineStr">
        <is>
          <t>AWelds 4 (awelds4.zip)</t>
        </is>
      </c>
      <c r="E314" s="4" t="inlineStr">
        <is>
          <t>溶接記号を作図(メニュー付)</t>
        </is>
      </c>
      <c r="F314" s="2" t="n">
        <v>12</v>
      </c>
      <c r="G314" s="2" t="n">
        <v>7</v>
      </c>
      <c r="H314" s="2" t="n">
        <v>12</v>
      </c>
      <c r="I314" s="2" t="n">
        <v>8</v>
      </c>
      <c r="J314" s="5">
        <f>SUM(F314:I314)</f>
        <v/>
      </c>
      <c r="K314" s="4" t="inlineStr">
        <is>
          <t>溶接記号の作図補助</t>
        </is>
      </c>
      <c r="L314" s="3" t="inlineStr"/>
      <c r="M314" s="3" t="inlineStr">
        <is>
          <t>draftsperson.net</t>
        </is>
      </c>
      <c r="N314" s="6" t="inlineStr">
        <is>
          <t>開く</t>
        </is>
      </c>
    </row>
    <row r="315">
      <c r="A315" s="2">
        <f>RANK(J315,$J$2:$J$697)</f>
        <v/>
      </c>
      <c r="B315" s="3" t="inlineStr">
        <is>
          <t>座標・測量・土木</t>
        </is>
      </c>
      <c r="C315" s="3" t="inlineStr">
        <is>
          <t>-</t>
        </is>
      </c>
      <c r="D315" s="4" t="inlineStr">
        <is>
          <t>Bearing and Distance Note (civil.zip)</t>
        </is>
      </c>
      <c r="E315" s="4" t="inlineStr">
        <is>
          <t>2点間の方位・距離を注記</t>
        </is>
      </c>
      <c r="F315" s="2" t="n">
        <v>12</v>
      </c>
      <c r="G315" s="2" t="n">
        <v>7</v>
      </c>
      <c r="H315" s="2" t="n">
        <v>11</v>
      </c>
      <c r="I315" s="2" t="n">
        <v>9</v>
      </c>
      <c r="J315" s="5">
        <f>SUM(F315:I315)</f>
        <v/>
      </c>
      <c r="K315" s="4" t="inlineStr">
        <is>
          <t>方位・距離注記</t>
        </is>
      </c>
      <c r="L315" s="3" t="inlineStr"/>
      <c r="M315" s="3" t="inlineStr">
        <is>
          <t>draftsperson.net</t>
        </is>
      </c>
      <c r="N315" s="6" t="inlineStr">
        <is>
          <t>開く</t>
        </is>
      </c>
    </row>
    <row r="316">
      <c r="A316" s="2">
        <f>RANK(J316,$J$2:$J$697)</f>
        <v/>
      </c>
      <c r="B316" s="3" t="inlineStr">
        <is>
          <t>文字・テキスト</t>
        </is>
      </c>
      <c r="C316" s="3" t="inlineStr">
        <is>
          <t>BT</t>
        </is>
      </c>
      <c r="D316" s="4" t="inlineStr">
        <is>
          <t>Box Text</t>
        </is>
      </c>
      <c r="E316" s="4" t="inlineStr">
        <is>
          <t>文字を矩形で囲む</t>
        </is>
      </c>
      <c r="F316" s="2" t="n">
        <v>7</v>
      </c>
      <c r="G316" s="2" t="n">
        <v>6</v>
      </c>
      <c r="H316" s="2" t="n">
        <v>8</v>
      </c>
      <c r="I316" s="2" t="n">
        <v>18</v>
      </c>
      <c r="J316" s="5">
        <f>SUM(F316:I316)</f>
        <v/>
      </c>
      <c r="K316" s="4" t="inlineStr">
        <is>
          <t>TEXTMASK等で概ね代替</t>
        </is>
      </c>
      <c r="L316" s="3" t="inlineStr">
        <is>
          <t>Lee Mac</t>
        </is>
      </c>
      <c r="M316" s="3" t="inlineStr">
        <is>
          <t>Lee Mac Programming</t>
        </is>
      </c>
      <c r="N316" s="6" t="inlineStr">
        <is>
          <t>開く</t>
        </is>
      </c>
    </row>
    <row r="317">
      <c r="A317" s="2">
        <f>RANK(J317,$J$2:$J$697)</f>
        <v/>
      </c>
      <c r="B317" s="3" t="inlineStr">
        <is>
          <t>ブロック・属性</t>
        </is>
      </c>
      <c r="C317" s="3" t="inlineStr">
        <is>
          <t>BURSTALL</t>
        </is>
      </c>
      <c r="D317" s="4" t="inlineStr">
        <is>
          <t>BurstAll.lsp</t>
        </is>
      </c>
      <c r="E317" s="4" t="inlineStr">
        <is>
          <t>属性を文字化して分解</t>
        </is>
      </c>
      <c r="F317" s="2" t="n">
        <v>5</v>
      </c>
      <c r="G317" s="2" t="n">
        <v>6</v>
      </c>
      <c r="H317" s="2" t="n">
        <v>12</v>
      </c>
      <c r="I317" s="2" t="n">
        <v>16</v>
      </c>
      <c r="J317" s="5">
        <f>SUM(F317:I317)</f>
        <v/>
      </c>
      <c r="K317" s="4" t="inlineStr">
        <is>
          <t>標準BURSTで代替可</t>
        </is>
      </c>
      <c r="L317" s="3" t="inlineStr">
        <is>
          <t>CADAuthority</t>
        </is>
      </c>
      <c r="M317" s="3" t="inlineStr">
        <is>
          <t>CAD Authority</t>
        </is>
      </c>
      <c r="N317" s="6" t="inlineStr">
        <is>
          <t>開く</t>
        </is>
      </c>
    </row>
    <row r="318">
      <c r="A318" s="2">
        <f>RANK(J318,$J$2:$J$697)</f>
        <v/>
      </c>
      <c r="B318" s="3" t="inlineStr">
        <is>
          <t>構造・鉄骨・機械</t>
        </is>
      </c>
      <c r="C318" s="3" t="inlineStr">
        <is>
          <t>ch</t>
        </is>
      </c>
      <c r="D318" s="4" t="inlineStr">
        <is>
          <t>Chain</t>
        </is>
      </c>
      <c r="E318" s="4" t="inlineStr">
        <is>
          <t>チェーン形状を作図</t>
        </is>
      </c>
      <c r="F318" s="2" t="n">
        <v>15</v>
      </c>
      <c r="G318" s="2" t="n">
        <v>11</v>
      </c>
      <c r="H318" s="2" t="n">
        <v>7</v>
      </c>
      <c r="I318" s="2" t="n">
        <v>6</v>
      </c>
      <c r="J318" s="5">
        <f>SUM(F318:I318)</f>
        <v/>
      </c>
      <c r="K318" s="4" t="inlineStr">
        <is>
          <t>チェーン形状を自動生成</t>
        </is>
      </c>
      <c r="L318" s="3" t="inlineStr">
        <is>
          <t>Mark Beggs</t>
        </is>
      </c>
      <c r="M318" s="3" t="inlineStr">
        <is>
          <t>JTB World</t>
        </is>
      </c>
      <c r="N318" s="6" t="inlineStr">
        <is>
          <t>開く</t>
        </is>
      </c>
    </row>
    <row r="319">
      <c r="A319" s="2">
        <f>RANK(J319,$J$2:$J$697)</f>
        <v/>
      </c>
      <c r="B319" s="3" t="inlineStr">
        <is>
          <t>構造・鉄骨・機械</t>
        </is>
      </c>
      <c r="C319" s="3" t="inlineStr">
        <is>
          <t>CHAIN</t>
        </is>
      </c>
      <c r="D319" s="4" t="inlineStr">
        <is>
          <t>CHAIN</t>
        </is>
      </c>
      <c r="E319" s="4" t="inlineStr">
        <is>
          <t>点指定でチェーンを作図</t>
        </is>
      </c>
      <c r="F319" s="2" t="n">
        <v>15</v>
      </c>
      <c r="G319" s="2" t="n">
        <v>11</v>
      </c>
      <c r="H319" s="2" t="n">
        <v>7</v>
      </c>
      <c r="I319" s="2" t="n">
        <v>6</v>
      </c>
      <c r="J319" s="5">
        <f>SUM(F319:I319)</f>
        <v/>
      </c>
      <c r="K319" s="4" t="inlineStr">
        <is>
          <t>チェーン形状を自動生成</t>
        </is>
      </c>
      <c r="L319" s="3" t="inlineStr">
        <is>
          <t>Jeffery P. Sanders</t>
        </is>
      </c>
      <c r="M319" s="3" t="inlineStr">
        <is>
          <t>JefferyPSanders.com</t>
        </is>
      </c>
      <c r="N319" s="6" t="inlineStr">
        <is>
          <t>開く</t>
        </is>
      </c>
    </row>
    <row r="320">
      <c r="A320" s="2">
        <f>RANK(J320,$J$2:$J$697)</f>
        <v/>
      </c>
      <c r="B320" s="3" t="inlineStr">
        <is>
          <t>座標・測量・土木</t>
        </is>
      </c>
      <c r="C320" s="3" t="inlineStr">
        <is>
          <t>CHXSECT</t>
        </is>
      </c>
      <c r="D320" s="4" t="inlineStr">
        <is>
          <t>CHAINAGE.LSP</t>
        </is>
      </c>
      <c r="E320" s="4" t="inlineStr">
        <is>
          <t>指定点に横断線を作図</t>
        </is>
      </c>
      <c r="F320" s="2" t="n">
        <v>14</v>
      </c>
      <c r="G320" s="2" t="n">
        <v>8</v>
      </c>
      <c r="H320" s="2" t="n">
        <v>9</v>
      </c>
      <c r="I320" s="2" t="n">
        <v>8</v>
      </c>
      <c r="J320" s="5">
        <f>SUM(F320:I320)</f>
        <v/>
      </c>
      <c r="K320" s="4" t="inlineStr">
        <is>
          <t>横断線を作図</t>
        </is>
      </c>
      <c r="L320" s="3" t="inlineStr">
        <is>
          <t>Giles Darling</t>
        </is>
      </c>
      <c r="M320" s="3" t="inlineStr">
        <is>
          <t>gilesdarling.me.uk</t>
        </is>
      </c>
      <c r="N320" s="6" t="inlineStr">
        <is>
          <t>開く</t>
        </is>
      </c>
    </row>
    <row r="321">
      <c r="A321" s="2">
        <f>RANK(J321,$J$2:$J$697)</f>
        <v/>
      </c>
      <c r="B321" s="3" t="inlineStr">
        <is>
          <t>LISP開発用の部品</t>
        </is>
      </c>
      <c r="C321" s="3" t="inlineStr">
        <is>
          <t>-</t>
        </is>
      </c>
      <c r="D321" s="4" t="inlineStr">
        <is>
          <t>Get Anonymous References</t>
        </is>
      </c>
      <c r="E321" s="4" t="inlineStr">
        <is>
          <t>匿名ブロック参照取得関数</t>
        </is>
      </c>
      <c r="F321" s="2" t="n">
        <v>15</v>
      </c>
      <c r="G321" s="2" t="n">
        <v>12</v>
      </c>
      <c r="H321" s="2" t="n">
        <v>5</v>
      </c>
      <c r="I321" s="2" t="n">
        <v>7</v>
      </c>
      <c r="J321" s="5">
        <f>SUM(F321:I321)</f>
        <v/>
      </c>
      <c r="K321" s="4" t="inlineStr">
        <is>
          <t>匿名ブロック参照取得</t>
        </is>
      </c>
      <c r="L321" s="3" t="inlineStr">
        <is>
          <t>Lee Mac</t>
        </is>
      </c>
      <c r="M321" s="3" t="inlineStr">
        <is>
          <t>Lee Mac Programming</t>
        </is>
      </c>
      <c r="N321" s="6" t="inlineStr">
        <is>
          <t>開く</t>
        </is>
      </c>
    </row>
    <row r="322">
      <c r="A322" s="2">
        <f>RANK(J322,$J$2:$J$697)</f>
        <v/>
      </c>
      <c r="B322" s="3" t="inlineStr">
        <is>
          <t>LISP開発用の部品</t>
        </is>
      </c>
      <c r="C322" s="3" t="inlineStr">
        <is>
          <t>-</t>
        </is>
      </c>
      <c r="D322" s="4" t="inlineStr">
        <is>
          <t>Get Files Dialog</t>
        </is>
      </c>
      <c r="E322" s="4" t="inlineStr">
        <is>
          <t>複数ファイル選択ダイアログ関数</t>
        </is>
      </c>
      <c r="F322" s="2" t="n">
        <v>15</v>
      </c>
      <c r="G322" s="2" t="n">
        <v>11</v>
      </c>
      <c r="H322" s="2" t="n">
        <v>5</v>
      </c>
      <c r="I322" s="2" t="n">
        <v>8</v>
      </c>
      <c r="J322" s="5">
        <f>SUM(F322:I322)</f>
        <v/>
      </c>
      <c r="K322" s="4" t="inlineStr">
        <is>
          <t>複数ファイル選択</t>
        </is>
      </c>
      <c r="L322" s="3" t="inlineStr">
        <is>
          <t>Lee Mac</t>
        </is>
      </c>
      <c r="M322" s="3" t="inlineStr">
        <is>
          <t>Lee Mac Programming</t>
        </is>
      </c>
      <c r="N322" s="6" t="inlineStr">
        <is>
          <t>開く</t>
        </is>
      </c>
    </row>
    <row r="323">
      <c r="A323" s="2">
        <f>RANK(J323,$J$2:$J$697)</f>
        <v/>
      </c>
      <c r="B323" s="3" t="inlineStr">
        <is>
          <t>LISP開発用の部品</t>
        </is>
      </c>
      <c r="C323" s="3" t="inlineStr">
        <is>
          <t>-</t>
        </is>
      </c>
      <c r="D323" s="4" t="inlineStr">
        <is>
          <t>Get True Content</t>
        </is>
      </c>
      <c r="E323" s="4" t="inlineStr">
        <is>
          <t>書式除去した文字取得関数</t>
        </is>
      </c>
      <c r="F323" s="2" t="n">
        <v>14</v>
      </c>
      <c r="G323" s="2" t="n">
        <v>12</v>
      </c>
      <c r="H323" s="2" t="n">
        <v>5</v>
      </c>
      <c r="I323" s="2" t="n">
        <v>8</v>
      </c>
      <c r="J323" s="5">
        <f>SUM(F323:I323)</f>
        <v/>
      </c>
      <c r="K323" s="4" t="inlineStr">
        <is>
          <t>書式除去した文字取得</t>
        </is>
      </c>
      <c r="L323" s="3" t="inlineStr">
        <is>
          <t>Lee Mac</t>
        </is>
      </c>
      <c r="M323" s="3" t="inlineStr">
        <is>
          <t>Lee Mac Programming</t>
        </is>
      </c>
      <c r="N323" s="6" t="inlineStr">
        <is>
          <t>開く</t>
        </is>
      </c>
    </row>
    <row r="324">
      <c r="A324" s="2">
        <f>RANK(J324,$J$2:$J$697)</f>
        <v/>
      </c>
      <c r="B324" s="3" t="inlineStr">
        <is>
          <t>画層</t>
        </is>
      </c>
      <c r="C324" s="3" t="inlineStr">
        <is>
          <t>layers-erase</t>
        </is>
      </c>
      <c r="D324" s="4" t="inlineStr">
        <is>
          <t>layers-erase.LSP</t>
        </is>
      </c>
      <c r="E324" s="4" t="inlineStr">
        <is>
          <t>凍結・非表示画層を削除</t>
        </is>
      </c>
      <c r="F324" s="2" t="n">
        <v>10</v>
      </c>
      <c r="G324" s="2" t="n">
        <v>7</v>
      </c>
      <c r="H324" s="2" t="n">
        <v>8</v>
      </c>
      <c r="I324" s="2" t="n">
        <v>14</v>
      </c>
      <c r="J324" s="5">
        <f>SUM(F324:I324)</f>
        <v/>
      </c>
      <c r="K324" s="4" t="inlineStr">
        <is>
          <t>凍結非表示画層の図形削除</t>
        </is>
      </c>
      <c r="L324" s="3" t="inlineStr">
        <is>
          <t>JTB World (Jimmy Bergmark)</t>
        </is>
      </c>
      <c r="M324" s="3" t="inlineStr">
        <is>
          <t>JTB World</t>
        </is>
      </c>
      <c r="N324" s="6" t="inlineStr">
        <is>
          <t>開く</t>
        </is>
      </c>
    </row>
    <row r="325">
      <c r="A325" s="2">
        <f>RANK(J325,$J$2:$J$697)</f>
        <v/>
      </c>
      <c r="B325" s="3" t="inlineStr">
        <is>
          <t>画層</t>
        </is>
      </c>
      <c r="C325" s="3" t="inlineStr">
        <is>
          <t>LSTOG</t>
        </is>
      </c>
      <c r="D325" s="4" t="inlineStr">
        <is>
          <t>LayerStateToggle.lsp</t>
        </is>
      </c>
      <c r="E325" s="4" t="inlineStr">
        <is>
          <t>画層状態を切替</t>
        </is>
      </c>
      <c r="F325" s="2" t="n">
        <v>8</v>
      </c>
      <c r="G325" s="2" t="n">
        <v>7</v>
      </c>
      <c r="H325" s="2" t="n">
        <v>8</v>
      </c>
      <c r="I325" s="2" t="n">
        <v>16</v>
      </c>
      <c r="J325" s="5">
        <f>SUM(F325:I325)</f>
        <v/>
      </c>
      <c r="K325" s="4" t="inlineStr">
        <is>
          <t>画層状態管理で概ね代替</t>
        </is>
      </c>
      <c r="L325" s="3" t="inlineStr">
        <is>
          <t>CADAuthority</t>
        </is>
      </c>
      <c r="M325" s="3" t="inlineStr">
        <is>
          <t>CAD Authority</t>
        </is>
      </c>
      <c r="N325" s="6" t="inlineStr">
        <is>
          <t>開く</t>
        </is>
      </c>
    </row>
    <row r="326">
      <c r="A326" s="2">
        <f>RANK(J326,$J$2:$J$697)</f>
        <v/>
      </c>
      <c r="B326" s="3" t="inlineStr">
        <is>
          <t>ブロック・属性</t>
        </is>
      </c>
      <c r="C326" s="3" t="inlineStr">
        <is>
          <t>-</t>
        </is>
      </c>
      <c r="D326" s="4" t="inlineStr">
        <is>
          <t>MAKEBLOK.LSP</t>
        </is>
      </c>
      <c r="E326" s="4" t="inlineStr">
        <is>
          <t>選択図形を無名ブロック化</t>
        </is>
      </c>
      <c r="F326" s="2" t="n">
        <v>8</v>
      </c>
      <c r="G326" s="2" t="n">
        <v>8</v>
      </c>
      <c r="H326" s="2" t="n">
        <v>10</v>
      </c>
      <c r="I326" s="2" t="n">
        <v>13</v>
      </c>
      <c r="J326" s="5">
        <f>SUM(F326:I326)</f>
        <v/>
      </c>
      <c r="K326" s="4" t="inlineStr">
        <is>
          <t>PASTEBLOCKで近い</t>
        </is>
      </c>
      <c r="L326" s="3" t="inlineStr">
        <is>
          <t>Owen Wengerd (ManuSoft)</t>
        </is>
      </c>
      <c r="M326" s="3" t="inlineStr">
        <is>
          <t>ManuSoft</t>
        </is>
      </c>
      <c r="N326" s="6" t="inlineStr">
        <is>
          <t>開く</t>
        </is>
      </c>
    </row>
    <row r="327">
      <c r="A327" s="2">
        <f>RANK(J327,$J$2:$J$697)</f>
        <v/>
      </c>
      <c r="B327" s="3" t="inlineStr">
        <is>
          <t>印刷・レイアウト・図枠</t>
        </is>
      </c>
      <c r="C327" s="3" t="inlineStr">
        <is>
          <t>ms2ps</t>
        </is>
      </c>
      <c r="D327" s="4" t="inlineStr">
        <is>
          <t>Modelspace to Paperspace</t>
        </is>
      </c>
      <c r="E327" s="4" t="inlineStr">
        <is>
          <t>モデル図形を紙空間へ移動</t>
        </is>
      </c>
      <c r="F327" s="2" t="n">
        <v>8</v>
      </c>
      <c r="G327" s="2" t="n">
        <v>7</v>
      </c>
      <c r="H327" s="2" t="n">
        <v>9</v>
      </c>
      <c r="I327" s="2" t="n">
        <v>15</v>
      </c>
      <c r="J327" s="5">
        <f>SUM(F327:I327)</f>
        <v/>
      </c>
      <c r="K327" s="4" t="inlineStr">
        <is>
          <t>標準CHSPACEで代替可</t>
        </is>
      </c>
      <c r="L327" s="3" t="inlineStr">
        <is>
          <t>Lee Mac</t>
        </is>
      </c>
      <c r="M327" s="3" t="inlineStr">
        <is>
          <t>Lee Mac Programming</t>
        </is>
      </c>
      <c r="N327" s="6" t="inlineStr">
        <is>
          <t>開く</t>
        </is>
      </c>
    </row>
    <row r="328">
      <c r="A328" s="2">
        <f>RANK(J328,$J$2:$J$697)</f>
        <v/>
      </c>
      <c r="B328" s="3" t="inlineStr">
        <is>
          <t>表・Excel連携</t>
        </is>
      </c>
      <c r="C328" s="3" t="inlineStr">
        <is>
          <t>NUM</t>
        </is>
      </c>
      <c r="D328" s="4" t="inlineStr">
        <is>
          <t>Num.lsp</t>
        </is>
      </c>
      <c r="E328" s="4" t="inlineStr">
        <is>
          <t>チャート用の数値を自動作成</t>
        </is>
      </c>
      <c r="F328" s="2" t="n">
        <v>12</v>
      </c>
      <c r="G328" s="2" t="n">
        <v>10</v>
      </c>
      <c r="H328" s="2" t="n">
        <v>9</v>
      </c>
      <c r="I328" s="2" t="n">
        <v>8</v>
      </c>
      <c r="J328" s="5">
        <f>SUM(F328:I328)</f>
        <v/>
      </c>
      <c r="K328" s="4" t="inlineStr">
        <is>
          <t>チャート用数値の自動作成</t>
        </is>
      </c>
      <c r="L328" s="3" t="inlineStr">
        <is>
          <t>Jeffery P. Sanders</t>
        </is>
      </c>
      <c r="M328" s="3" t="inlineStr">
        <is>
          <t>JefferyPSanders.com</t>
        </is>
      </c>
      <c r="N328" s="6" t="inlineStr">
        <is>
          <t>開く</t>
        </is>
      </c>
    </row>
    <row r="329">
      <c r="A329" s="2">
        <f>RANK(J329,$J$2:$J$697)</f>
        <v/>
      </c>
      <c r="B329" s="3" t="inlineStr">
        <is>
          <t>線・ポリライン編集</t>
        </is>
      </c>
      <c r="C329" s="3" t="inlineStr">
        <is>
          <t>ptaper</t>
        </is>
      </c>
      <c r="D329" s="4" t="inlineStr">
        <is>
          <t>Polyline Taper</t>
        </is>
      </c>
      <c r="E329" s="4" t="inlineStr">
        <is>
          <t>ポリラインをテーパー幅に</t>
        </is>
      </c>
      <c r="F329" s="2" t="n">
        <v>14</v>
      </c>
      <c r="G329" s="2" t="n">
        <v>11</v>
      </c>
      <c r="H329" s="2" t="n">
        <v>6</v>
      </c>
      <c r="I329" s="2" t="n">
        <v>8</v>
      </c>
      <c r="J329" s="5">
        <f>SUM(F329:I329)</f>
        <v/>
      </c>
      <c r="K329" s="4" t="inlineStr">
        <is>
          <t>テーパー幅は稀な用途</t>
        </is>
      </c>
      <c r="L329" s="3" t="inlineStr">
        <is>
          <t>Lee Mac</t>
        </is>
      </c>
      <c r="M329" s="3" t="inlineStr">
        <is>
          <t>Lee Mac Programming</t>
        </is>
      </c>
      <c r="N329" s="6" t="inlineStr">
        <is>
          <t>開く</t>
        </is>
      </c>
    </row>
    <row r="330">
      <c r="A330" s="2">
        <f>RANK(J330,$J$2:$J$697)</f>
        <v/>
      </c>
      <c r="B330" s="3" t="inlineStr">
        <is>
          <t>構造・鉄骨・機械</t>
        </is>
      </c>
      <c r="C330" s="3" t="inlineStr">
        <is>
          <t>-</t>
        </is>
      </c>
      <c r="D330" s="4" t="inlineStr">
        <is>
          <t>Steel Stair Pans (ssp_v25.zip)</t>
        </is>
      </c>
      <c r="E330" s="4" t="inlineStr">
        <is>
          <t>鋼製階段の段板を作図</t>
        </is>
      </c>
      <c r="F330" s="2" t="n">
        <v>15</v>
      </c>
      <c r="G330" s="2" t="n">
        <v>9</v>
      </c>
      <c r="H330" s="2" t="n">
        <v>10</v>
      </c>
      <c r="I330" s="2" t="n">
        <v>5</v>
      </c>
      <c r="J330" s="5">
        <f>SUM(F330:I330)</f>
        <v/>
      </c>
      <c r="K330" s="4" t="inlineStr">
        <is>
          <t>鋼製段板の専用作図</t>
        </is>
      </c>
      <c r="L330" s="3" t="inlineStr"/>
      <c r="M330" s="3" t="inlineStr">
        <is>
          <t>draftsperson.net</t>
        </is>
      </c>
      <c r="N330" s="6" t="inlineStr">
        <is>
          <t>開く</t>
        </is>
      </c>
    </row>
    <row r="331">
      <c r="A331" s="2">
        <f>RANK(J331,$J$2:$J$697)</f>
        <v/>
      </c>
      <c r="B331" s="3" t="inlineStr">
        <is>
          <t>表・Excel連携</t>
        </is>
      </c>
      <c r="C331" s="3" t="inlineStr">
        <is>
          <t>-</t>
        </is>
      </c>
      <c r="D331" s="4" t="inlineStr">
        <is>
          <t>TABLES.ZIP</t>
        </is>
      </c>
      <c r="E331" s="4" t="inlineStr">
        <is>
          <t>カスタム表を定義・挿入</t>
        </is>
      </c>
      <c r="F331" s="2" t="n">
        <v>9</v>
      </c>
      <c r="G331" s="2" t="n">
        <v>9</v>
      </c>
      <c r="H331" s="2" t="n">
        <v>9</v>
      </c>
      <c r="I331" s="2" t="n">
        <v>12</v>
      </c>
      <c r="J331" s="5">
        <f>SUM(F331:I331)</f>
        <v/>
      </c>
      <c r="K331" s="4" t="inlineStr">
        <is>
          <t>標準TABLEで代替可</t>
        </is>
      </c>
      <c r="L331" s="3" t="inlineStr">
        <is>
          <t>Owen Wengerd (ManuSoft)</t>
        </is>
      </c>
      <c r="M331" s="3" t="inlineStr">
        <is>
          <t>ManuSoft</t>
        </is>
      </c>
      <c r="N331" s="6" t="inlineStr">
        <is>
          <t>開く</t>
        </is>
      </c>
    </row>
    <row r="332">
      <c r="A332" s="2">
        <f>RANK(J332,$J$2:$J$697)</f>
        <v/>
      </c>
      <c r="B332" s="3" t="inlineStr">
        <is>
          <t>文字・テキスト</t>
        </is>
      </c>
      <c r="C332" s="3" t="inlineStr">
        <is>
          <t>th</t>
        </is>
      </c>
      <c r="D332" s="4" t="inlineStr">
        <is>
          <t>TextHeight.lsp</t>
        </is>
      </c>
      <c r="E332" s="4" t="inlineStr">
        <is>
          <t>基点を保ち文字高さ変更</t>
        </is>
      </c>
      <c r="F332" s="2" t="n">
        <v>8</v>
      </c>
      <c r="G332" s="2" t="n">
        <v>6</v>
      </c>
      <c r="H332" s="2" t="n">
        <v>7</v>
      </c>
      <c r="I332" s="2" t="n">
        <v>18</v>
      </c>
      <c r="J332" s="5">
        <f>SUM(F332:I332)</f>
        <v/>
      </c>
      <c r="K332" s="4" t="inlineStr">
        <is>
          <t>基点保持はSCALETEXTで代替</t>
        </is>
      </c>
      <c r="L332" s="3" t="inlineStr">
        <is>
          <t>JTB World (Jimmy Bergmark)</t>
        </is>
      </c>
      <c r="M332" s="3" t="inlineStr">
        <is>
          <t>JTB World</t>
        </is>
      </c>
      <c r="N332" s="6" t="inlineStr">
        <is>
          <t>開く</t>
        </is>
      </c>
    </row>
    <row r="333">
      <c r="A333" s="2">
        <f>RANK(J333,$J$2:$J$697)</f>
        <v/>
      </c>
      <c r="B333" s="3" t="inlineStr">
        <is>
          <t>座標・測量・土木</t>
        </is>
      </c>
      <c r="C333" s="3" t="inlineStr">
        <is>
          <t>TPOPDELTHIN</t>
        </is>
      </c>
      <c r="D333" s="4" t="inlineStr">
        <is>
          <t>TOPOPROCESS.LSP</t>
        </is>
      </c>
      <c r="E333" s="4" t="inlineStr">
        <is>
          <t>扁平な三角形を削除</t>
        </is>
      </c>
      <c r="F333" s="2" t="n">
        <v>15</v>
      </c>
      <c r="G333" s="2" t="n">
        <v>10</v>
      </c>
      <c r="H333" s="2" t="n">
        <v>8</v>
      </c>
      <c r="I333" s="2" t="n">
        <v>6</v>
      </c>
      <c r="J333" s="5">
        <f>SUM(F333:I333)</f>
        <v/>
      </c>
      <c r="K333" s="4" t="inlineStr">
        <is>
          <t>扁平三角形の削除</t>
        </is>
      </c>
      <c r="L333" s="3" t="inlineStr">
        <is>
          <t>Giles Darling</t>
        </is>
      </c>
      <c r="M333" s="3" t="inlineStr">
        <is>
          <t>gilesdarling.me.uk</t>
        </is>
      </c>
      <c r="N333" s="6" t="inlineStr">
        <is>
          <t>開く</t>
        </is>
      </c>
    </row>
    <row r="334">
      <c r="A334" s="2">
        <f>RANK(J334,$J$2:$J$697)</f>
        <v/>
      </c>
      <c r="B334" s="3" t="inlineStr">
        <is>
          <t>3D</t>
        </is>
      </c>
      <c r="C334" s="3" t="inlineStr">
        <is>
          <t>ZFIX</t>
        </is>
      </c>
      <c r="D334" s="4" t="inlineStr">
        <is>
          <t>Z-BufferFix.lsp</t>
        </is>
      </c>
      <c r="E334" s="4" t="inlineStr">
        <is>
          <t>Zファイティングのちらつき解消</t>
        </is>
      </c>
      <c r="F334" s="2" t="n">
        <v>12</v>
      </c>
      <c r="G334" s="2" t="n">
        <v>12</v>
      </c>
      <c r="H334" s="2" t="n">
        <v>7</v>
      </c>
      <c r="I334" s="2" t="n">
        <v>8</v>
      </c>
      <c r="J334" s="5">
        <f>SUM(F334:I334)</f>
        <v/>
      </c>
      <c r="K334" s="4" t="inlineStr">
        <is>
          <t>Zファイティング対策</t>
        </is>
      </c>
      <c r="L334" s="3" t="inlineStr">
        <is>
          <t>CADAuthority</t>
        </is>
      </c>
      <c r="M334" s="3" t="inlineStr">
        <is>
          <t>CAD Authority</t>
        </is>
      </c>
      <c r="N334" s="6" t="inlineStr">
        <is>
          <t>開く</t>
        </is>
      </c>
    </row>
    <row r="335">
      <c r="A335" s="2">
        <f>RANK(J335,$J$2:$J$697)</f>
        <v/>
      </c>
      <c r="B335" s="3" t="inlineStr">
        <is>
          <t>ブロック・属性</t>
        </is>
      </c>
      <c r="C335" s="3" t="inlineStr">
        <is>
          <t>AttCol</t>
        </is>
      </c>
      <c r="D335" s="4" t="inlineStr">
        <is>
          <t>Attribute Colour</t>
        </is>
      </c>
      <c r="E335" s="4" t="inlineStr">
        <is>
          <t>属性の色を一括変更</t>
        </is>
      </c>
      <c r="F335" s="2" t="n">
        <v>10</v>
      </c>
      <c r="G335" s="2" t="n">
        <v>7</v>
      </c>
      <c r="H335" s="2" t="n">
        <v>9</v>
      </c>
      <c r="I335" s="2" t="n">
        <v>12</v>
      </c>
      <c r="J335" s="5">
        <f>SUM(F335:I335)</f>
        <v/>
      </c>
      <c r="K335" s="4" t="inlineStr">
        <is>
          <t>BATTMANで色変更可</t>
        </is>
      </c>
      <c r="L335" s="3" t="inlineStr">
        <is>
          <t>Lee Mac</t>
        </is>
      </c>
      <c r="M335" s="3" t="inlineStr">
        <is>
          <t>Lee Mac Programming</t>
        </is>
      </c>
      <c r="N335" s="6" t="inlineStr">
        <is>
          <t>開く</t>
        </is>
      </c>
    </row>
    <row r="336">
      <c r="A336" s="2">
        <f>RANK(J336,$J$2:$J$697)</f>
        <v/>
      </c>
      <c r="B336" s="3" t="inlineStr">
        <is>
          <t>引出線・注記</t>
        </is>
      </c>
      <c r="C336" s="3" t="inlineStr">
        <is>
          <t>-</t>
        </is>
      </c>
      <c r="D336" s="4" t="inlineStr">
        <is>
          <t>Box, Delta and Note Symbols (symbols.zip)</t>
        </is>
      </c>
      <c r="E336" s="4" t="inlineStr">
        <is>
          <t>四角・三角・丸記号と引出線</t>
        </is>
      </c>
      <c r="F336" s="2" t="n">
        <v>10</v>
      </c>
      <c r="G336" s="2" t="n">
        <v>8</v>
      </c>
      <c r="H336" s="2" t="n">
        <v>8</v>
      </c>
      <c r="I336" s="2" t="n">
        <v>12</v>
      </c>
      <c r="J336" s="5">
        <f>SUM(F336:I336)</f>
        <v/>
      </c>
      <c r="K336" s="4" t="inlineStr">
        <is>
          <t>改訂記号等、ブロックで代替</t>
        </is>
      </c>
      <c r="L336" s="3" t="inlineStr"/>
      <c r="M336" s="3" t="inlineStr">
        <is>
          <t>draftsperson.net</t>
        </is>
      </c>
      <c r="N336" s="6" t="inlineStr">
        <is>
          <t>開く</t>
        </is>
      </c>
    </row>
    <row r="337">
      <c r="A337" s="2">
        <f>RANK(J337,$J$2:$J$697)</f>
        <v/>
      </c>
      <c r="B337" s="3" t="inlineStr">
        <is>
          <t>建築</t>
        </is>
      </c>
      <c r="C337" s="3" t="inlineStr">
        <is>
          <t>-</t>
        </is>
      </c>
      <c r="D337" s="4" t="inlineStr">
        <is>
          <t>Building Entities (Building.rar)</t>
        </is>
      </c>
      <c r="E337" s="4" t="inlineStr">
        <is>
          <t>ドア・窓など建築要素を作図</t>
        </is>
      </c>
      <c r="F337" s="2" t="n">
        <v>11</v>
      </c>
      <c r="G337" s="2" t="n">
        <v>6</v>
      </c>
      <c r="H337" s="2" t="n">
        <v>11</v>
      </c>
      <c r="I337" s="2" t="n">
        <v>10</v>
      </c>
      <c r="J337" s="5">
        <f>SUM(F337:I337)</f>
        <v/>
      </c>
      <c r="K337" s="4" t="inlineStr">
        <is>
          <t>動的ブロックで代替可</t>
        </is>
      </c>
      <c r="L337" s="3" t="inlineStr"/>
      <c r="M337" s="3" t="inlineStr">
        <is>
          <t>draftsperson.net</t>
        </is>
      </c>
      <c r="N337" s="6" t="inlineStr">
        <is>
          <t>開く</t>
        </is>
      </c>
    </row>
    <row r="338">
      <c r="A338" s="2">
        <f>RANK(J338,$J$2:$J$697)</f>
        <v/>
      </c>
      <c r="B338" s="3" t="inlineStr">
        <is>
          <t>座標・測量・土木</t>
        </is>
      </c>
      <c r="C338" s="3" t="inlineStr">
        <is>
          <t>CHMARK</t>
        </is>
      </c>
      <c r="D338" s="4" t="inlineStr">
        <is>
          <t>CHAINAGE.LSP</t>
        </is>
      </c>
      <c r="E338" s="4" t="inlineStr">
        <is>
          <t>指定点に測点マーク作図</t>
        </is>
      </c>
      <c r="F338" s="2" t="n">
        <v>13</v>
      </c>
      <c r="G338" s="2" t="n">
        <v>8</v>
      </c>
      <c r="H338" s="2" t="n">
        <v>9</v>
      </c>
      <c r="I338" s="2" t="n">
        <v>8</v>
      </c>
      <c r="J338" s="5">
        <f>SUM(F338:I338)</f>
        <v/>
      </c>
      <c r="K338" s="4" t="inlineStr">
        <is>
          <t>測点マークを作図</t>
        </is>
      </c>
      <c r="L338" s="3" t="inlineStr">
        <is>
          <t>Giles Darling</t>
        </is>
      </c>
      <c r="M338" s="3" t="inlineStr">
        <is>
          <t>gilesdarling.me.uk</t>
        </is>
      </c>
      <c r="N338" s="6" t="inlineStr">
        <is>
          <t>開く</t>
        </is>
      </c>
    </row>
    <row r="339">
      <c r="A339" s="2">
        <f>RANK(J339,$J$2:$J$697)</f>
        <v/>
      </c>
      <c r="B339" s="3" t="inlineStr">
        <is>
          <t>LISP開発用の部品</t>
        </is>
      </c>
      <c r="C339" s="3" t="inlineStr">
        <is>
          <t>-</t>
        </is>
      </c>
      <c r="D339" s="4" t="inlineStr">
        <is>
          <t>Copy Block Definition</t>
        </is>
      </c>
      <c r="E339" s="4" t="inlineStr">
        <is>
          <t>ブロック定義コピー関数</t>
        </is>
      </c>
      <c r="F339" s="2" t="n">
        <v>14</v>
      </c>
      <c r="G339" s="2" t="n">
        <v>12</v>
      </c>
      <c r="H339" s="2" t="n">
        <v>5</v>
      </c>
      <c r="I339" s="2" t="n">
        <v>7</v>
      </c>
      <c r="J339" s="5">
        <f>SUM(F339:I339)</f>
        <v/>
      </c>
      <c r="K339" s="4" t="inlineStr">
        <is>
          <t>ブロック定義を複製</t>
        </is>
      </c>
      <c r="L339" s="3" t="inlineStr">
        <is>
          <t>Lee Mac</t>
        </is>
      </c>
      <c r="M339" s="3" t="inlineStr">
        <is>
          <t>Lee Mac Programming</t>
        </is>
      </c>
      <c r="N339" s="6" t="inlineStr">
        <is>
          <t>開く</t>
        </is>
      </c>
    </row>
    <row r="340">
      <c r="A340" s="2">
        <f>RANK(J340,$J$2:$J$697)</f>
        <v/>
      </c>
      <c r="B340" s="3" t="inlineStr">
        <is>
          <t>線・ポリライン編集</t>
        </is>
      </c>
      <c r="C340" s="3" t="inlineStr">
        <is>
          <t>CC</t>
        </is>
      </c>
      <c r="D340" s="4" t="inlineStr">
        <is>
          <t>CopyC</t>
        </is>
      </c>
      <c r="E340" s="4" t="inlineStr">
        <is>
          <t>距離・角度指定で連続コピー</t>
        </is>
      </c>
      <c r="F340" s="2" t="n">
        <v>7</v>
      </c>
      <c r="G340" s="2" t="n">
        <v>7</v>
      </c>
      <c r="H340" s="2" t="n">
        <v>10</v>
      </c>
      <c r="I340" s="2" t="n">
        <v>14</v>
      </c>
      <c r="J340" s="5">
        <f>SUM(F340:I340)</f>
        <v/>
      </c>
      <c r="K340" s="4" t="inlineStr">
        <is>
          <t>COPYの距離角度入力で可</t>
        </is>
      </c>
      <c r="L340" s="3" t="inlineStr">
        <is>
          <t>Jeffery P. Sanders</t>
        </is>
      </c>
      <c r="M340" s="3" t="inlineStr">
        <is>
          <t>JefferyPSanders.com</t>
        </is>
      </c>
      <c r="N340" s="6" t="inlineStr">
        <is>
          <t>開く</t>
        </is>
      </c>
    </row>
    <row r="341">
      <c r="A341" s="2">
        <f>RANK(J341,$J$2:$J$697)</f>
        <v/>
      </c>
      <c r="B341" s="3" t="inlineStr">
        <is>
          <t>LISP開発用の部品</t>
        </is>
      </c>
      <c r="C341" s="3" t="inlineStr">
        <is>
          <t>-</t>
        </is>
      </c>
      <c r="D341" s="4" t="inlineStr">
        <is>
          <t>Entity to Point List</t>
        </is>
      </c>
      <c r="E341" s="4" t="inlineStr">
        <is>
          <t>図形を点リスト化する関数</t>
        </is>
      </c>
      <c r="F341" s="2" t="n">
        <v>14</v>
      </c>
      <c r="G341" s="2" t="n">
        <v>11</v>
      </c>
      <c r="H341" s="2" t="n">
        <v>5</v>
      </c>
      <c r="I341" s="2" t="n">
        <v>8</v>
      </c>
      <c r="J341" s="5">
        <f>SUM(F341:I341)</f>
        <v/>
      </c>
      <c r="K341" s="4" t="inlineStr">
        <is>
          <t>曲線を点列化</t>
        </is>
      </c>
      <c r="L341" s="3" t="inlineStr">
        <is>
          <t>Lee Mac</t>
        </is>
      </c>
      <c r="M341" s="3" t="inlineStr">
        <is>
          <t>Lee Mac Programming</t>
        </is>
      </c>
      <c r="N341" s="6" t="inlineStr">
        <is>
          <t>開く</t>
        </is>
      </c>
    </row>
    <row r="342">
      <c r="A342" s="2">
        <f>RANK(J342,$J$2:$J$697)</f>
        <v/>
      </c>
      <c r="B342" s="3" t="inlineStr">
        <is>
          <t>文字・テキスト</t>
        </is>
      </c>
      <c r="C342" s="3" t="inlineStr">
        <is>
          <t>TXT</t>
        </is>
      </c>
      <c r="D342" s="4" t="inlineStr">
        <is>
          <t>mstxt.lsp</t>
        </is>
      </c>
      <c r="E342" s="4" t="inlineStr">
        <is>
          <t>複数種の文字を順に編集</t>
        </is>
      </c>
      <c r="F342" s="2" t="n">
        <v>8</v>
      </c>
      <c r="G342" s="2" t="n">
        <v>6</v>
      </c>
      <c r="H342" s="2" t="n">
        <v>8</v>
      </c>
      <c r="I342" s="2" t="n">
        <v>16</v>
      </c>
      <c r="J342" s="5">
        <f>SUM(F342:I342)</f>
        <v/>
      </c>
      <c r="K342" s="4" t="inlineStr">
        <is>
          <t>連続編集、ささやかな利便</t>
        </is>
      </c>
      <c r="L342" s="3" t="inlineStr">
        <is>
          <t>JTB World (Jimmy Bergmark)</t>
        </is>
      </c>
      <c r="M342" s="3" t="inlineStr">
        <is>
          <t>JTB World</t>
        </is>
      </c>
      <c r="N342" s="6" t="inlineStr">
        <is>
          <t>開く</t>
        </is>
      </c>
    </row>
    <row r="343">
      <c r="A343" s="2">
        <f>RANK(J343,$J$2:$J$697)</f>
        <v/>
      </c>
      <c r="B343" s="3" t="inlineStr">
        <is>
          <t>線・ポリライン編集</t>
        </is>
      </c>
      <c r="C343" s="3" t="inlineStr">
        <is>
          <t>ML2PL</t>
        </is>
      </c>
      <c r="D343" s="4" t="inlineStr">
        <is>
          <t>Multilines to Polylines</t>
        </is>
      </c>
      <c r="E343" s="4" t="inlineStr">
        <is>
          <t>マルチラインをポリライン化</t>
        </is>
      </c>
      <c r="F343" s="2" t="n">
        <v>12</v>
      </c>
      <c r="G343" s="2" t="n">
        <v>8</v>
      </c>
      <c r="H343" s="2" t="n">
        <v>9</v>
      </c>
      <c r="I343" s="2" t="n">
        <v>9</v>
      </c>
      <c r="J343" s="5">
        <f>SUM(F343:I343)</f>
        <v/>
      </c>
      <c r="K343" s="4" t="inlineStr">
        <is>
          <t>マルチラインのPL化</t>
        </is>
      </c>
      <c r="L343" s="3" t="inlineStr">
        <is>
          <t>Lee Mac</t>
        </is>
      </c>
      <c r="M343" s="3" t="inlineStr">
        <is>
          <t>Lee Mac Programming</t>
        </is>
      </c>
      <c r="N343" s="6" t="inlineStr">
        <is>
          <t>開く</t>
        </is>
      </c>
    </row>
    <row r="344">
      <c r="A344" s="2">
        <f>RANK(J344,$J$2:$J$697)</f>
        <v/>
      </c>
      <c r="B344" s="3" t="inlineStr">
        <is>
          <t>線・ポリライン編集</t>
        </is>
      </c>
      <c r="C344" s="3" t="inlineStr">
        <is>
          <t>OverLapF</t>
        </is>
      </c>
      <c r="D344" s="4" t="inlineStr">
        <is>
          <t>OverLapF</t>
        </is>
      </c>
      <c r="E344" s="4" t="inlineStr">
        <is>
          <t>重複線を結合・削除</t>
        </is>
      </c>
      <c r="F344" s="2" t="n">
        <v>5</v>
      </c>
      <c r="G344" s="2" t="n">
        <v>7</v>
      </c>
      <c r="H344" s="2" t="n">
        <v>11</v>
      </c>
      <c r="I344" s="2" t="n">
        <v>15</v>
      </c>
      <c r="J344" s="5">
        <f>SUM(F344:I344)</f>
        <v/>
      </c>
      <c r="K344" s="4" t="inlineStr">
        <is>
          <t>OVERKILLで代替可</t>
        </is>
      </c>
      <c r="L344" s="3" t="inlineStr">
        <is>
          <t>Jeffery P. Sanders</t>
        </is>
      </c>
      <c r="M344" s="3" t="inlineStr">
        <is>
          <t>JefferyPSanders.com</t>
        </is>
      </c>
      <c r="N344" s="6" t="inlineStr">
        <is>
          <t>開く</t>
        </is>
      </c>
    </row>
    <row r="345">
      <c r="A345" s="2">
        <f>RANK(J345,$J$2:$J$697)</f>
        <v/>
      </c>
      <c r="B345" s="3" t="inlineStr">
        <is>
          <t>線・ポリライン編集</t>
        </is>
      </c>
      <c r="C345" s="3" t="inlineStr">
        <is>
          <t>PolyInfo</t>
        </is>
      </c>
      <c r="D345" s="4" t="inlineStr">
        <is>
          <t>Polyline Information</t>
        </is>
      </c>
      <c r="E345" s="4" t="inlineStr">
        <is>
          <t>ポリライン頂点情報を一覧表示</t>
        </is>
      </c>
      <c r="F345" s="2" t="n">
        <v>9</v>
      </c>
      <c r="G345" s="2" t="n">
        <v>8</v>
      </c>
      <c r="H345" s="2" t="n">
        <v>9</v>
      </c>
      <c r="I345" s="2" t="n">
        <v>12</v>
      </c>
      <c r="J345" s="5">
        <f>SUM(F345:I345)</f>
        <v/>
      </c>
      <c r="K345" s="4" t="inlineStr">
        <is>
          <t>LISTで代替可</t>
        </is>
      </c>
      <c r="L345" s="3" t="inlineStr">
        <is>
          <t>Lee Mac</t>
        </is>
      </c>
      <c r="M345" s="3" t="inlineStr">
        <is>
          <t>Lee Mac Programming</t>
        </is>
      </c>
      <c r="N345" s="6" t="inlineStr">
        <is>
          <t>開く</t>
        </is>
      </c>
    </row>
    <row r="346">
      <c r="A346" s="2">
        <f>RANK(J346,$J$2:$J$697)</f>
        <v/>
      </c>
      <c r="B346" s="3" t="inlineStr">
        <is>
          <t>外部参照・図面管理・一括処理</t>
        </is>
      </c>
      <c r="C346" s="3" t="inlineStr">
        <is>
          <t>purge-point / purge-all-point 他</t>
        </is>
      </c>
      <c r="D346" s="4" t="inlineStr">
        <is>
          <t>Purge-Point.lsp</t>
        </is>
      </c>
      <c r="E346" s="4" t="inlineStr">
        <is>
          <t>POINT5等の不要オブジェクト削除</t>
        </is>
      </c>
      <c r="F346" s="2" t="n">
        <v>15</v>
      </c>
      <c r="G346" s="2" t="n">
        <v>8</v>
      </c>
      <c r="H346" s="2" t="n">
        <v>7</v>
      </c>
      <c r="I346" s="2" t="n">
        <v>8</v>
      </c>
      <c r="J346" s="5">
        <f>SUM(F346:I346)</f>
        <v/>
      </c>
      <c r="K346" s="4" t="inlineStr">
        <is>
          <t>POINT5等の不要物削除</t>
        </is>
      </c>
      <c r="L346" s="3" t="inlineStr">
        <is>
          <t>JTB World (Jimmy Bergmark)</t>
        </is>
      </c>
      <c r="M346" s="3" t="inlineStr">
        <is>
          <t>JTB World</t>
        </is>
      </c>
      <c r="N346" s="6" t="inlineStr">
        <is>
          <t>開く</t>
        </is>
      </c>
    </row>
    <row r="347">
      <c r="A347" s="2">
        <f>RANK(J347,$J$2:$J$697)</f>
        <v/>
      </c>
      <c r="B347" s="3" t="inlineStr">
        <is>
          <t>ブロック・属性</t>
        </is>
      </c>
      <c r="C347" s="3" t="inlineStr">
        <is>
          <t>SafeX</t>
        </is>
      </c>
      <c r="D347" s="4" t="inlineStr">
        <is>
          <t>SafeX</t>
        </is>
      </c>
      <c r="E347" s="4" t="inlineStr">
        <is>
          <t>属性を文字に残してブロック分解</t>
        </is>
      </c>
      <c r="F347" s="2" t="n">
        <v>5</v>
      </c>
      <c r="G347" s="2" t="n">
        <v>7</v>
      </c>
      <c r="H347" s="2" t="n">
        <v>11</v>
      </c>
      <c r="I347" s="2" t="n">
        <v>15</v>
      </c>
      <c r="J347" s="5">
        <f>SUM(F347:I347)</f>
        <v/>
      </c>
      <c r="K347" s="4" t="inlineStr">
        <is>
          <t>標準BURSTで代替可</t>
        </is>
      </c>
      <c r="L347" s="3" t="inlineStr">
        <is>
          <t>Jeffery P. Sanders</t>
        </is>
      </c>
      <c r="M347" s="3" t="inlineStr">
        <is>
          <t>JefferyPSanders.com</t>
        </is>
      </c>
      <c r="N347" s="6" t="inlineStr">
        <is>
          <t>開く</t>
        </is>
      </c>
    </row>
    <row r="348">
      <c r="A348" s="2">
        <f>RANK(J348,$J$2:$J$697)</f>
        <v/>
      </c>
      <c r="B348" s="3" t="inlineStr">
        <is>
          <t>LISP開発用の部品</t>
        </is>
      </c>
      <c r="C348" s="3" t="inlineStr">
        <is>
          <t>Search / Sea</t>
        </is>
      </c>
      <c r="D348" s="4" t="inlineStr">
        <is>
          <t>Search</t>
        </is>
      </c>
      <c r="E348" s="4" t="inlineStr">
        <is>
          <t>フォルダ内ファイルを文字検索</t>
        </is>
      </c>
      <c r="F348" s="2" t="n">
        <v>13</v>
      </c>
      <c r="G348" s="2" t="n">
        <v>9</v>
      </c>
      <c r="H348" s="2" t="n">
        <v>7</v>
      </c>
      <c r="I348" s="2" t="n">
        <v>9</v>
      </c>
      <c r="J348" s="5">
        <f>SUM(F348:I348)</f>
        <v/>
      </c>
      <c r="K348" s="4" t="inlineStr">
        <is>
          <t>ファイル内文字検索</t>
        </is>
      </c>
      <c r="L348" s="3" t="inlineStr">
        <is>
          <t>Terry Miller</t>
        </is>
      </c>
      <c r="M348" s="3" t="inlineStr">
        <is>
          <t>AutoLISP Exchange</t>
        </is>
      </c>
      <c r="N348" s="6" t="inlineStr">
        <is>
          <t>開く</t>
        </is>
      </c>
    </row>
    <row r="349">
      <c r="A349" s="2">
        <f>RANK(J349,$J$2:$J$697)</f>
        <v/>
      </c>
      <c r="B349" s="3" t="inlineStr">
        <is>
          <t>作図</t>
        </is>
      </c>
      <c r="C349" s="3" t="inlineStr">
        <is>
          <t>-</t>
        </is>
      </c>
      <c r="D349" s="4" t="inlineStr">
        <is>
          <t>Slot with Rounded Ends (slot1.zip)</t>
        </is>
      </c>
      <c r="E349" s="4" t="inlineStr">
        <is>
          <t>両端丸の長穴を作図</t>
        </is>
      </c>
      <c r="F349" s="2" t="n">
        <v>13</v>
      </c>
      <c r="G349" s="2" t="n">
        <v>6</v>
      </c>
      <c r="H349" s="2" t="n">
        <v>10</v>
      </c>
      <c r="I349" s="2" t="n">
        <v>9</v>
      </c>
      <c r="J349" s="5">
        <f>SUM(F349:I349)</f>
        <v/>
      </c>
      <c r="K349" s="4" t="inlineStr">
        <is>
          <t>長穴作図の定型化</t>
        </is>
      </c>
      <c r="L349" s="3" t="inlineStr"/>
      <c r="M349" s="3" t="inlineStr">
        <is>
          <t>draftsperson.net</t>
        </is>
      </c>
      <c r="N349" s="6" t="inlineStr">
        <is>
          <t>開く</t>
        </is>
      </c>
    </row>
    <row r="350">
      <c r="A350" s="2">
        <f>RANK(J350,$J$2:$J$697)</f>
        <v/>
      </c>
      <c r="B350" s="3" t="inlineStr">
        <is>
          <t>構造・鉄骨・機械</t>
        </is>
      </c>
      <c r="C350" s="3" t="inlineStr">
        <is>
          <t>SS</t>
        </is>
      </c>
      <c r="D350" s="4" t="inlineStr">
        <is>
          <t>Steel Shapes (SS) (Steel.rar)</t>
        </is>
      </c>
      <c r="E350" s="4" t="inlineStr">
        <is>
          <t>鋼材形状をダイアログで作図</t>
        </is>
      </c>
      <c r="F350" s="2" t="n">
        <v>13</v>
      </c>
      <c r="G350" s="2" t="n">
        <v>7</v>
      </c>
      <c r="H350" s="2" t="n">
        <v>11</v>
      </c>
      <c r="I350" s="2" t="n">
        <v>7</v>
      </c>
      <c r="J350" s="5">
        <f>SUM(F350:I350)</f>
        <v/>
      </c>
      <c r="K350" s="4" t="inlineStr">
        <is>
          <t>ダイアログで鋼材選択</t>
        </is>
      </c>
      <c r="L350" s="3" t="inlineStr"/>
      <c r="M350" s="3" t="inlineStr">
        <is>
          <t>draftsperson.net</t>
        </is>
      </c>
      <c r="N350" s="6" t="inlineStr">
        <is>
          <t>開く</t>
        </is>
      </c>
    </row>
    <row r="351">
      <c r="A351" s="2">
        <f>RANK(J351,$J$2:$J$697)</f>
        <v/>
      </c>
      <c r="B351" s="3" t="inlineStr">
        <is>
          <t>文字・テキスト</t>
        </is>
      </c>
      <c r="C351" s="3" t="inlineStr">
        <is>
          <t>strike / strike2 / strike3</t>
        </is>
      </c>
      <c r="D351" s="4" t="inlineStr">
        <is>
          <t>Strikethrough Text</t>
        </is>
      </c>
      <c r="E351" s="4" t="inlineStr">
        <is>
          <t>文字に取消線・下線を追加</t>
        </is>
      </c>
      <c r="F351" s="2" t="n">
        <v>11</v>
      </c>
      <c r="G351" s="2" t="n">
        <v>9</v>
      </c>
      <c r="H351" s="2" t="n">
        <v>6</v>
      </c>
      <c r="I351" s="2" t="n">
        <v>12</v>
      </c>
      <c r="J351" s="5">
        <f>SUM(F351:I351)</f>
        <v/>
      </c>
      <c r="K351" s="4" t="inlineStr">
        <is>
          <t>MTEXT書式で代替可</t>
        </is>
      </c>
      <c r="L351" s="3" t="inlineStr">
        <is>
          <t>Lee Mac</t>
        </is>
      </c>
      <c r="M351" s="3" t="inlineStr">
        <is>
          <t>Lee Mac Programming</t>
        </is>
      </c>
      <c r="N351" s="6" t="inlineStr">
        <is>
          <t>開く</t>
        </is>
      </c>
    </row>
    <row r="352">
      <c r="A352" s="2">
        <f>RANK(J352,$J$2:$J$697)</f>
        <v/>
      </c>
      <c r="B352" s="3" t="inlineStr">
        <is>
          <t>文字・テキスト</t>
        </is>
      </c>
      <c r="C352" s="3" t="inlineStr">
        <is>
          <t>TCount</t>
        </is>
      </c>
      <c r="D352" s="4" t="inlineStr">
        <is>
          <t>Text Counter</t>
        </is>
      </c>
      <c r="E352" s="4" t="inlineStr">
        <is>
          <t>文字に連番を付加</t>
        </is>
      </c>
      <c r="F352" s="2" t="n">
        <v>6</v>
      </c>
      <c r="G352" s="2" t="n">
        <v>6</v>
      </c>
      <c r="H352" s="2" t="n">
        <v>10</v>
      </c>
      <c r="I352" s="2" t="n">
        <v>16</v>
      </c>
      <c r="J352" s="5">
        <f>SUM(F352:I352)</f>
        <v/>
      </c>
      <c r="K352" s="4" t="inlineStr">
        <is>
          <t>Express TCOUNTで代替可</t>
        </is>
      </c>
      <c r="L352" s="3" t="inlineStr">
        <is>
          <t>Lee Mac</t>
        </is>
      </c>
      <c r="M352" s="3" t="inlineStr">
        <is>
          <t>Lee Mac Programming</t>
        </is>
      </c>
      <c r="N352" s="6" t="inlineStr">
        <is>
          <t>開く</t>
        </is>
      </c>
    </row>
    <row r="353">
      <c r="A353" s="2">
        <f>RANK(J353,$J$2:$J$697)</f>
        <v/>
      </c>
      <c r="B353" s="3" t="inlineStr">
        <is>
          <t>文字・テキスト</t>
        </is>
      </c>
      <c r="C353" s="3" t="inlineStr">
        <is>
          <t>TEXTIN</t>
        </is>
      </c>
      <c r="D353" s="4" t="inlineStr">
        <is>
          <t>TextIn</t>
        </is>
      </c>
      <c r="E353" s="4" t="inlineStr">
        <is>
          <t>テキストファイルを図面に記入</t>
        </is>
      </c>
      <c r="F353" s="2" t="n">
        <v>8</v>
      </c>
      <c r="G353" s="2" t="n">
        <v>6</v>
      </c>
      <c r="H353" s="2" t="n">
        <v>10</v>
      </c>
      <c r="I353" s="2" t="n">
        <v>14</v>
      </c>
      <c r="J353" s="5">
        <f>SUM(F353:I353)</f>
        <v/>
      </c>
      <c r="K353" s="4" t="inlineStr">
        <is>
          <t>MTEXT取込で概ね代替</t>
        </is>
      </c>
      <c r="L353" s="3" t="inlineStr">
        <is>
          <t>Jeffery P. Sanders</t>
        </is>
      </c>
      <c r="M353" s="3" t="inlineStr">
        <is>
          <t>JefferyPSanders.com</t>
        </is>
      </c>
      <c r="N353" s="6" t="inlineStr">
        <is>
          <t>開く</t>
        </is>
      </c>
    </row>
    <row r="354">
      <c r="A354" s="2">
        <f>RANK(J354,$J$2:$J$697)</f>
        <v/>
      </c>
      <c r="B354" s="3" t="inlineStr">
        <is>
          <t>構造・鉄骨・機械</t>
        </is>
      </c>
      <c r="C354" s="3" t="inlineStr">
        <is>
          <t>-</t>
        </is>
      </c>
      <c r="D354" s="4" t="inlineStr">
        <is>
          <t>Truss Types (truss2.zip)</t>
        </is>
      </c>
      <c r="E354" s="4" t="inlineStr">
        <is>
          <t>各種形式のトラスを作図</t>
        </is>
      </c>
      <c r="F354" s="2" t="n">
        <v>13</v>
      </c>
      <c r="G354" s="2" t="n">
        <v>7</v>
      </c>
      <c r="H354" s="2" t="n">
        <v>10</v>
      </c>
      <c r="I354" s="2" t="n">
        <v>8</v>
      </c>
      <c r="J354" s="5">
        <f>SUM(F354:I354)</f>
        <v/>
      </c>
      <c r="K354" s="4" t="inlineStr">
        <is>
          <t>各形式トラスを生成</t>
        </is>
      </c>
      <c r="L354" s="3" t="inlineStr"/>
      <c r="M354" s="3" t="inlineStr">
        <is>
          <t>draftsperson.net</t>
        </is>
      </c>
      <c r="N354" s="6" t="inlineStr">
        <is>
          <t>開く</t>
        </is>
      </c>
    </row>
    <row r="355">
      <c r="A355" s="2">
        <f>RANK(J355,$J$2:$J$697)</f>
        <v/>
      </c>
      <c r="B355" s="3" t="inlineStr">
        <is>
          <t>外部参照・図面管理・一括処理</t>
        </is>
      </c>
      <c r="C355" s="3" t="inlineStr">
        <is>
          <t>-</t>
        </is>
      </c>
      <c r="D355" s="4" t="inlineStr">
        <is>
          <t>XrefRename.lsp</t>
        </is>
      </c>
      <c r="E355" s="4" t="inlineStr">
        <is>
          <t>外部参照名とパスを変更</t>
        </is>
      </c>
      <c r="F355" s="2" t="n">
        <v>10</v>
      </c>
      <c r="G355" s="2" t="n">
        <v>7</v>
      </c>
      <c r="H355" s="2" t="n">
        <v>8</v>
      </c>
      <c r="I355" s="2" t="n">
        <v>13</v>
      </c>
      <c r="J355" s="5">
        <f>SUM(F355:I355)</f>
        <v/>
      </c>
      <c r="K355" s="4" t="inlineStr">
        <is>
          <t>外部参照名・パス変更</t>
        </is>
      </c>
      <c r="L355" s="3" t="inlineStr">
        <is>
          <t>JTB World (Jimmy Bergmark)</t>
        </is>
      </c>
      <c r="M355" s="3" t="inlineStr">
        <is>
          <t>JTB World</t>
        </is>
      </c>
      <c r="N355" s="6" t="inlineStr">
        <is>
          <t>開く</t>
        </is>
      </c>
    </row>
    <row r="356">
      <c r="A356" s="2">
        <f>RANK(J356,$J$2:$J$697)</f>
        <v/>
      </c>
      <c r="B356" s="3" t="inlineStr">
        <is>
          <t>線・ポリライン編集</t>
        </is>
      </c>
      <c r="C356" s="3" t="inlineStr">
        <is>
          <t>FILLET (再定義)</t>
        </is>
      </c>
      <c r="D356" s="4" t="inlineStr">
        <is>
          <t>3DFILLET.LSP</t>
        </is>
      </c>
      <c r="E356" s="4" t="inlineStr">
        <is>
          <t>非UCS平面の線もフィレット</t>
        </is>
      </c>
      <c r="F356" s="2" t="n">
        <v>13</v>
      </c>
      <c r="G356" s="2" t="n">
        <v>10</v>
      </c>
      <c r="H356" s="2" t="n">
        <v>6</v>
      </c>
      <c r="I356" s="2" t="n">
        <v>8</v>
      </c>
      <c r="J356" s="5">
        <f>SUM(F356:I356)</f>
        <v/>
      </c>
      <c r="K356" s="4" t="inlineStr">
        <is>
          <t>3D用途限定</t>
        </is>
      </c>
      <c r="L356" s="3" t="inlineStr">
        <is>
          <t>Owen Wengerd (ManuSoft)</t>
        </is>
      </c>
      <c r="M356" s="3" t="inlineStr">
        <is>
          <t>ManuSoft</t>
        </is>
      </c>
      <c r="N356" s="6" t="inlineStr">
        <is>
          <t>開く</t>
        </is>
      </c>
    </row>
    <row r="357">
      <c r="A357" s="2">
        <f>RANK(J357,$J$2:$J$697)</f>
        <v/>
      </c>
      <c r="B357" s="3" t="inlineStr">
        <is>
          <t>構造・鉄骨・機械</t>
        </is>
      </c>
      <c r="C357" s="3" t="inlineStr">
        <is>
          <t>-</t>
        </is>
      </c>
      <c r="D357" s="4" t="inlineStr">
        <is>
          <t>AISC Steel Shapes (steel2.zip)</t>
        </is>
      </c>
      <c r="E357" s="4" t="inlineStr">
        <is>
          <t>AISC鋼材断面を作図</t>
        </is>
      </c>
      <c r="F357" s="2" t="n">
        <v>14</v>
      </c>
      <c r="G357" s="2" t="n">
        <v>6</v>
      </c>
      <c r="H357" s="2" t="n">
        <v>12</v>
      </c>
      <c r="I357" s="2" t="n">
        <v>5</v>
      </c>
      <c r="J357" s="5">
        <f>SUM(F357:I357)</f>
        <v/>
      </c>
      <c r="K357" s="4" t="inlineStr">
        <is>
          <t>米国規格限定の鋼材</t>
        </is>
      </c>
      <c r="L357" s="3" t="inlineStr"/>
      <c r="M357" s="3" t="inlineStr">
        <is>
          <t>draftsperson.net</t>
        </is>
      </c>
      <c r="N357" s="6" t="inlineStr">
        <is>
          <t>開く</t>
        </is>
      </c>
    </row>
    <row r="358">
      <c r="A358" s="2">
        <f>RANK(J358,$J$2:$J$697)</f>
        <v/>
      </c>
      <c r="B358" s="3" t="inlineStr">
        <is>
          <t>引出線・注記</t>
        </is>
      </c>
      <c r="C358" s="3" t="inlineStr">
        <is>
          <t>-</t>
        </is>
      </c>
      <c r="D358" s="4" t="inlineStr">
        <is>
          <t>Arc Leader (arcl.lsp)</t>
        </is>
      </c>
      <c r="E358" s="4" t="inlineStr">
        <is>
          <t>円弧状の引出線を作図</t>
        </is>
      </c>
      <c r="F358" s="2" t="n">
        <v>12</v>
      </c>
      <c r="G358" s="2" t="n">
        <v>10</v>
      </c>
      <c r="H358" s="2" t="n">
        <v>5</v>
      </c>
      <c r="I358" s="2" t="n">
        <v>10</v>
      </c>
      <c r="J358" s="5">
        <f>SUM(F358:I358)</f>
        <v/>
      </c>
      <c r="K358" s="4" t="inlineStr">
        <is>
          <t>円弧引出線は用途限定</t>
        </is>
      </c>
      <c r="L358" s="3" t="inlineStr"/>
      <c r="M358" s="3" t="inlineStr">
        <is>
          <t>draftsperson.net</t>
        </is>
      </c>
      <c r="N358" s="6" t="inlineStr">
        <is>
          <t>開く</t>
        </is>
      </c>
    </row>
    <row r="359">
      <c r="A359" s="2">
        <f>RANK(J359,$J$2:$J$697)</f>
        <v/>
      </c>
      <c r="B359" s="3" t="inlineStr">
        <is>
          <t>ブロック・属性</t>
        </is>
      </c>
      <c r="C359" s="3" t="inlineStr">
        <is>
          <t>-</t>
        </is>
      </c>
      <c r="D359" s="4" t="inlineStr">
        <is>
          <t>Blocks to ByLayer (bylaybk.zip)</t>
        </is>
      </c>
      <c r="E359" s="4" t="inlineStr">
        <is>
          <t>ブロック定義をBYLAYER化</t>
        </is>
      </c>
      <c r="F359" s="2" t="n">
        <v>5</v>
      </c>
      <c r="G359" s="2" t="n">
        <v>6</v>
      </c>
      <c r="H359" s="2" t="n">
        <v>11</v>
      </c>
      <c r="I359" s="2" t="n">
        <v>15</v>
      </c>
      <c r="J359" s="5">
        <f>SUM(F359:I359)</f>
        <v/>
      </c>
      <c r="K359" s="4" t="inlineStr">
        <is>
          <t>標準SETBYLAYERで代替</t>
        </is>
      </c>
      <c r="L359" s="3" t="inlineStr"/>
      <c r="M359" s="3" t="inlineStr">
        <is>
          <t>draftsperson.net</t>
        </is>
      </c>
      <c r="N359" s="6" t="inlineStr">
        <is>
          <t>開く</t>
        </is>
      </c>
    </row>
    <row r="360">
      <c r="A360" s="2">
        <f>RANK(J360,$J$2:$J$697)</f>
        <v/>
      </c>
      <c r="B360" s="3" t="inlineStr">
        <is>
          <t>線・ポリライン編集</t>
        </is>
      </c>
      <c r="C360" s="3" t="inlineStr">
        <is>
          <t>-</t>
        </is>
      </c>
      <c r="D360" s="4" t="inlineStr">
        <is>
          <t>Break at Intersection (BK.LSP)</t>
        </is>
      </c>
      <c r="E360" s="4" t="inlineStr">
        <is>
          <t>交点で線を切断</t>
        </is>
      </c>
      <c r="F360" s="2" t="n">
        <v>7</v>
      </c>
      <c r="G360" s="2" t="n">
        <v>6</v>
      </c>
      <c r="H360" s="2" t="n">
        <v>10</v>
      </c>
      <c r="I360" s="2" t="n">
        <v>14</v>
      </c>
      <c r="J360" s="5">
        <f>SUM(F360:I360)</f>
        <v/>
      </c>
      <c r="K360" s="4" t="inlineStr">
        <is>
          <t>BREAKATPOINTで代替可</t>
        </is>
      </c>
      <c r="L360" s="3" t="inlineStr"/>
      <c r="M360" s="3" t="inlineStr">
        <is>
          <t>draftsperson.net</t>
        </is>
      </c>
      <c r="N360" s="6" t="inlineStr">
        <is>
          <t>開く</t>
        </is>
      </c>
    </row>
    <row r="361">
      <c r="A361" s="2">
        <f>RANK(J361,$J$2:$J$697)</f>
        <v/>
      </c>
      <c r="B361" s="3" t="inlineStr">
        <is>
          <t>座標・測量・土木</t>
        </is>
      </c>
      <c r="C361" s="3" t="inlineStr">
        <is>
          <t>CHEGMENT</t>
        </is>
      </c>
      <c r="D361" s="4" t="inlineStr">
        <is>
          <t>CHAINAGE.LSP</t>
        </is>
      </c>
      <c r="E361" s="4" t="inlineStr">
        <is>
          <t>直線長・半径を注記</t>
        </is>
      </c>
      <c r="F361" s="2" t="n">
        <v>13</v>
      </c>
      <c r="G361" s="2" t="n">
        <v>8</v>
      </c>
      <c r="H361" s="2" t="n">
        <v>9</v>
      </c>
      <c r="I361" s="2" t="n">
        <v>7</v>
      </c>
      <c r="J361" s="5">
        <f>SUM(F361:I361)</f>
        <v/>
      </c>
      <c r="K361" s="4" t="inlineStr">
        <is>
          <t>直線長・半径注記</t>
        </is>
      </c>
      <c r="L361" s="3" t="inlineStr">
        <is>
          <t>Giles Darling</t>
        </is>
      </c>
      <c r="M361" s="3" t="inlineStr">
        <is>
          <t>gilesdarling.me.uk</t>
        </is>
      </c>
      <c r="N361" s="6" t="inlineStr">
        <is>
          <t>開く</t>
        </is>
      </c>
    </row>
    <row r="362">
      <c r="A362" s="2">
        <f>RANK(J362,$J$2:$J$697)</f>
        <v/>
      </c>
      <c r="B362" s="3" t="inlineStr">
        <is>
          <t>LISP開発用の部品</t>
        </is>
      </c>
      <c r="C362" s="3" t="inlineStr">
        <is>
          <t>Dcl_Tiles / DclT</t>
        </is>
      </c>
      <c r="D362" s="4" t="inlineStr">
        <is>
          <t>Dcl_Tiles</t>
        </is>
      </c>
      <c r="E362" s="4" t="inlineStr">
        <is>
          <t>DCLダイアログ制御関数集</t>
        </is>
      </c>
      <c r="F362" s="2" t="n">
        <v>14</v>
      </c>
      <c r="G362" s="2" t="n">
        <v>10</v>
      </c>
      <c r="H362" s="2" t="n">
        <v>6</v>
      </c>
      <c r="I362" s="2" t="n">
        <v>7</v>
      </c>
      <c r="J362" s="5">
        <f>SUM(F362:I362)</f>
        <v/>
      </c>
      <c r="K362" s="4" t="inlineStr">
        <is>
          <t>DCL制御の汎用関数</t>
        </is>
      </c>
      <c r="L362" s="3" t="inlineStr">
        <is>
          <t>Terry Miller</t>
        </is>
      </c>
      <c r="M362" s="3" t="inlineStr">
        <is>
          <t>AutoLISP Exchange</t>
        </is>
      </c>
      <c r="N362" s="6" t="inlineStr">
        <is>
          <t>開く</t>
        </is>
      </c>
    </row>
    <row r="363">
      <c r="A363" s="2">
        <f>RANK(J363,$J$2:$J$697)</f>
        <v/>
      </c>
      <c r="B363" s="3" t="inlineStr">
        <is>
          <t>外部参照・図面管理・一括処理</t>
        </is>
      </c>
      <c r="C363" s="3" t="inlineStr">
        <is>
          <t>DWGVER</t>
        </is>
      </c>
      <c r="D363" s="4" t="inlineStr">
        <is>
          <t>DrawingVersion.lsp</t>
        </is>
      </c>
      <c r="E363" s="4" t="inlineStr">
        <is>
          <t>日付・パスのスタンプ記入</t>
        </is>
      </c>
      <c r="F363" s="2" t="n">
        <v>8</v>
      </c>
      <c r="G363" s="2" t="n">
        <v>7</v>
      </c>
      <c r="H363" s="2" t="n">
        <v>8</v>
      </c>
      <c r="I363" s="2" t="n">
        <v>14</v>
      </c>
      <c r="J363" s="5">
        <f>SUM(F363:I363)</f>
        <v/>
      </c>
      <c r="K363" s="4" t="inlineStr">
        <is>
          <t>フィールドで日付・パス可</t>
        </is>
      </c>
      <c r="L363" s="3" t="inlineStr">
        <is>
          <t>CADAuthority</t>
        </is>
      </c>
      <c r="M363" s="3" t="inlineStr">
        <is>
          <t>CAD Authority</t>
        </is>
      </c>
      <c r="N363" s="6" t="inlineStr">
        <is>
          <t>開く</t>
        </is>
      </c>
    </row>
    <row r="364">
      <c r="A364" s="2">
        <f>RANK(J364,$J$2:$J$697)</f>
        <v/>
      </c>
      <c r="B364" s="3" t="inlineStr">
        <is>
          <t>外部参照・図面管理・一括処理</t>
        </is>
      </c>
      <c r="C364" s="3" t="inlineStr">
        <is>
          <t>-</t>
        </is>
      </c>
      <c r="D364" s="4" t="inlineStr">
        <is>
          <t>DWGguard TNT (DWGguardTNT.zip)</t>
        </is>
      </c>
      <c r="E364" s="4" t="inlineStr">
        <is>
          <t>図面の変更を防止</t>
        </is>
      </c>
      <c r="F364" s="2" t="n">
        <v>12</v>
      </c>
      <c r="G364" s="2" t="n">
        <v>12</v>
      </c>
      <c r="H364" s="2" t="n">
        <v>5</v>
      </c>
      <c r="I364" s="2" t="n">
        <v>8</v>
      </c>
      <c r="J364" s="5">
        <f>SUM(F364:I364)</f>
        <v/>
      </c>
      <c r="K364" s="4" t="inlineStr">
        <is>
          <t>変更防止、実効性は限定</t>
        </is>
      </c>
      <c r="L364" s="3" t="inlineStr"/>
      <c r="M364" s="3" t="inlineStr">
        <is>
          <t>draftsperson.net</t>
        </is>
      </c>
      <c r="N364" s="6" t="inlineStr">
        <is>
          <t>開く</t>
        </is>
      </c>
    </row>
    <row r="365">
      <c r="A365" s="2">
        <f>RANK(J365,$J$2:$J$697)</f>
        <v/>
      </c>
      <c r="B365" s="3" t="inlineStr">
        <is>
          <t>線・ポリライン編集</t>
        </is>
      </c>
      <c r="C365" s="3" t="inlineStr">
        <is>
          <t>DynOff</t>
        </is>
      </c>
      <c r="D365" s="4" t="inlineStr">
        <is>
          <t>Dynamic Offset</t>
        </is>
      </c>
      <c r="E365" s="4" t="inlineStr">
        <is>
          <t>動的プレビュー付きオフセット</t>
        </is>
      </c>
      <c r="F365" s="2" t="n">
        <v>5</v>
      </c>
      <c r="G365" s="2" t="n">
        <v>11</v>
      </c>
      <c r="H365" s="2" t="n">
        <v>6</v>
      </c>
      <c r="I365" s="2" t="n">
        <v>15</v>
      </c>
      <c r="J365" s="5">
        <f>SUM(F365:I365)</f>
        <v/>
      </c>
      <c r="K365" s="4" t="inlineStr">
        <is>
          <t>標準OFFSETにプレビュー有</t>
        </is>
      </c>
      <c r="L365" s="3" t="inlineStr">
        <is>
          <t>Lee Mac</t>
        </is>
      </c>
      <c r="M365" s="3" t="inlineStr">
        <is>
          <t>Lee Mac Programming</t>
        </is>
      </c>
      <c r="N365" s="6" t="inlineStr">
        <is>
          <t>開く</t>
        </is>
      </c>
    </row>
    <row r="366">
      <c r="A366" s="2">
        <f>RANK(J366,$J$2:$J$697)</f>
        <v/>
      </c>
      <c r="B366" s="3" t="inlineStr">
        <is>
          <t>印刷・レイアウト・図枠</t>
        </is>
      </c>
      <c r="C366" s="3" t="inlineStr">
        <is>
          <t>getvpscale</t>
        </is>
      </c>
      <c r="D366" s="4" t="inlineStr">
        <is>
          <t>getvpscale.lsp</t>
        </is>
      </c>
      <c r="E366" s="4" t="inlineStr">
        <is>
          <t>ビューポート尺度を取得</t>
        </is>
      </c>
      <c r="F366" s="2" t="n">
        <v>9</v>
      </c>
      <c r="G366" s="2" t="n">
        <v>6</v>
      </c>
      <c r="H366" s="2" t="n">
        <v>7</v>
      </c>
      <c r="I366" s="2" t="n">
        <v>15</v>
      </c>
      <c r="J366" s="5">
        <f>SUM(F366:I366)</f>
        <v/>
      </c>
      <c r="K366" s="4" t="inlineStr">
        <is>
          <t>VP尺度取得の関数</t>
        </is>
      </c>
      <c r="L366" s="3" t="inlineStr">
        <is>
          <t>JTB World (Jimmy Bergmark)</t>
        </is>
      </c>
      <c r="M366" s="3" t="inlineStr">
        <is>
          <t>JTB World</t>
        </is>
      </c>
      <c r="N366" s="6" t="inlineStr">
        <is>
          <t>開く</t>
        </is>
      </c>
    </row>
    <row r="367">
      <c r="A367" s="2">
        <f>RANK(J367,$J$2:$J$697)</f>
        <v/>
      </c>
      <c r="B367" s="3" t="inlineStr">
        <is>
          <t>その他</t>
        </is>
      </c>
      <c r="C367" s="3" t="inlineStr">
        <is>
          <t>GREY</t>
        </is>
      </c>
      <c r="D367" s="4" t="inlineStr">
        <is>
          <t>GreyScaleDraw.lsp</t>
        </is>
      </c>
      <c r="E367" s="4" t="inlineStr">
        <is>
          <t>図形をグレースケール化</t>
        </is>
      </c>
      <c r="F367" s="2" t="n">
        <v>11</v>
      </c>
      <c r="G367" s="2" t="n">
        <v>10</v>
      </c>
      <c r="H367" s="2" t="n">
        <v>7</v>
      </c>
      <c r="I367" s="2" t="n">
        <v>9</v>
      </c>
      <c r="J367" s="5">
        <f>SUM(F367:I367)</f>
        <v/>
      </c>
      <c r="K367" s="4" t="inlineStr">
        <is>
          <t>印刷スタイルで一部可</t>
        </is>
      </c>
      <c r="L367" s="3" t="inlineStr">
        <is>
          <t>CADAuthority</t>
        </is>
      </c>
      <c r="M367" s="3" t="inlineStr">
        <is>
          <t>CAD Authority</t>
        </is>
      </c>
      <c r="N367" s="6" t="inlineStr">
        <is>
          <t>開く</t>
        </is>
      </c>
    </row>
    <row r="368">
      <c r="A368" s="2">
        <f>RANK(J368,$J$2:$J$697)</f>
        <v/>
      </c>
      <c r="B368" s="3" t="inlineStr">
        <is>
          <t>画層</t>
        </is>
      </c>
      <c r="C368" s="3" t="inlineStr">
        <is>
          <t>LISO</t>
        </is>
      </c>
      <c r="D368" s="4" t="inlineStr">
        <is>
          <t>LayerIsoPro.lsp</t>
        </is>
      </c>
      <c r="E368" s="4" t="inlineStr">
        <is>
          <t>他画層をフェードして画層分離</t>
        </is>
      </c>
      <c r="F368" s="2" t="n">
        <v>6</v>
      </c>
      <c r="G368" s="2" t="n">
        <v>7</v>
      </c>
      <c r="H368" s="2" t="n">
        <v>6</v>
      </c>
      <c r="I368" s="2" t="n">
        <v>18</v>
      </c>
      <c r="J368" s="5">
        <f>SUM(F368:I368)</f>
        <v/>
      </c>
      <c r="K368" s="4" t="inlineStr">
        <is>
          <t>LAYISO(フェード)で代替可</t>
        </is>
      </c>
      <c r="L368" s="3" t="inlineStr">
        <is>
          <t>CADAuthority</t>
        </is>
      </c>
      <c r="M368" s="3" t="inlineStr">
        <is>
          <t>CAD Authority</t>
        </is>
      </c>
      <c r="N368" s="6" t="inlineStr">
        <is>
          <t>開く</t>
        </is>
      </c>
    </row>
    <row r="369">
      <c r="A369" s="2">
        <f>RANK(J369,$J$2:$J$697)</f>
        <v/>
      </c>
      <c r="B369" s="3" t="inlineStr">
        <is>
          <t>その他</t>
        </is>
      </c>
      <c r="C369" s="3" t="inlineStr">
        <is>
          <t>-</t>
        </is>
      </c>
      <c r="D369" s="4" t="inlineStr">
        <is>
          <t>Lisput Utilities (lisput.zip)</t>
        </is>
      </c>
      <c r="E369" s="4" t="inlineStr">
        <is>
          <t>切断・画層・集計等ツール集</t>
        </is>
      </c>
      <c r="F369" s="2" t="n">
        <v>8</v>
      </c>
      <c r="G369" s="2" t="n">
        <v>7</v>
      </c>
      <c r="H369" s="2" t="n">
        <v>10</v>
      </c>
      <c r="I369" s="2" t="n">
        <v>12</v>
      </c>
      <c r="J369" s="5">
        <f>SUM(F369:I369)</f>
        <v/>
      </c>
      <c r="K369" s="4" t="inlineStr">
        <is>
          <t>旧式ツール集</t>
        </is>
      </c>
      <c r="L369" s="3" t="inlineStr"/>
      <c r="M369" s="3" t="inlineStr">
        <is>
          <t>draftsperson.net</t>
        </is>
      </c>
      <c r="N369" s="6" t="inlineStr">
        <is>
          <t>開く</t>
        </is>
      </c>
    </row>
    <row r="370">
      <c r="A370" s="2">
        <f>RANK(J370,$J$2:$J$697)</f>
        <v/>
      </c>
      <c r="B370" s="3" t="inlineStr">
        <is>
          <t>作図</t>
        </is>
      </c>
      <c r="C370" s="3" t="inlineStr">
        <is>
          <t>MATCH</t>
        </is>
      </c>
      <c r="D370" s="4" t="inlineStr">
        <is>
          <t>Match</t>
        </is>
      </c>
      <c r="E370" s="4" t="inlineStr">
        <is>
          <t>マッチラインを作図</t>
        </is>
      </c>
      <c r="F370" s="2" t="n">
        <v>12</v>
      </c>
      <c r="G370" s="2" t="n">
        <v>8</v>
      </c>
      <c r="H370" s="2" t="n">
        <v>8</v>
      </c>
      <c r="I370" s="2" t="n">
        <v>9</v>
      </c>
      <c r="J370" s="5">
        <f>SUM(F370:I370)</f>
        <v/>
      </c>
      <c r="K370" s="4" t="inlineStr">
        <is>
          <t>マッチライン作図</t>
        </is>
      </c>
      <c r="L370" s="3" t="inlineStr">
        <is>
          <t>Jeffery P. Sanders</t>
        </is>
      </c>
      <c r="M370" s="3" t="inlineStr">
        <is>
          <t>JefferyPSanders.com</t>
        </is>
      </c>
      <c r="N370" s="6" t="inlineStr">
        <is>
          <t>開く</t>
        </is>
      </c>
    </row>
    <row r="371">
      <c r="A371" s="2">
        <f>RANK(J371,$J$2:$J$697)</f>
        <v/>
      </c>
      <c r="B371" s="3" t="inlineStr">
        <is>
          <t>線・ポリライン編集</t>
        </is>
      </c>
      <c r="C371" s="3" t="inlineStr">
        <is>
          <t>OKL</t>
        </is>
      </c>
      <c r="D371" s="4" t="inlineStr">
        <is>
          <t>OverkillLite.lsp</t>
        </is>
      </c>
      <c r="E371" s="4" t="inlineStr">
        <is>
          <t>重複図形を高速削除</t>
        </is>
      </c>
      <c r="F371" s="2" t="n">
        <v>4</v>
      </c>
      <c r="G371" s="2" t="n">
        <v>5</v>
      </c>
      <c r="H371" s="2" t="n">
        <v>11</v>
      </c>
      <c r="I371" s="2" t="n">
        <v>17</v>
      </c>
      <c r="J371" s="5">
        <f>SUM(F371:I371)</f>
        <v/>
      </c>
      <c r="K371" s="4" t="inlineStr">
        <is>
          <t>標準OVERKILLで代替</t>
        </is>
      </c>
      <c r="L371" s="3" t="inlineStr">
        <is>
          <t>CADAuthority</t>
        </is>
      </c>
      <c r="M371" s="3" t="inlineStr">
        <is>
          <t>CAD Authority</t>
        </is>
      </c>
      <c r="N371" s="6" t="inlineStr">
        <is>
          <t>開く</t>
        </is>
      </c>
    </row>
    <row r="372">
      <c r="A372" s="2">
        <f>RANK(J372,$J$2:$J$697)</f>
        <v/>
      </c>
      <c r="B372" s="3" t="inlineStr">
        <is>
          <t>印刷・レイアウト・図枠</t>
        </is>
      </c>
      <c r="C372" s="3" t="inlineStr">
        <is>
          <t>-</t>
        </is>
      </c>
      <c r="D372" s="4" t="inlineStr">
        <is>
          <t>pagesetup.lsp</t>
        </is>
      </c>
      <c r="E372" s="4" t="inlineStr">
        <is>
          <t>ページ設定関連ルーチン</t>
        </is>
      </c>
      <c r="F372" s="2" t="n">
        <v>8</v>
      </c>
      <c r="G372" s="2" t="n">
        <v>7</v>
      </c>
      <c r="H372" s="2" t="n">
        <v>8</v>
      </c>
      <c r="I372" s="2" t="n">
        <v>14</v>
      </c>
      <c r="J372" s="5">
        <f>SUM(F372:I372)</f>
        <v/>
      </c>
      <c r="K372" s="4" t="inlineStr">
        <is>
          <t>ページ設定の関数群</t>
        </is>
      </c>
      <c r="L372" s="3" t="inlineStr">
        <is>
          <t>JTB World (Jimmy Bergmark)</t>
        </is>
      </c>
      <c r="M372" s="3" t="inlineStr">
        <is>
          <t>JTB World</t>
        </is>
      </c>
      <c r="N372" s="6" t="inlineStr">
        <is>
          <t>開く</t>
        </is>
      </c>
    </row>
    <row r="373">
      <c r="A373" s="2">
        <f>RANK(J373,$J$2:$J$697)</f>
        <v/>
      </c>
      <c r="B373" s="3" t="inlineStr">
        <is>
          <t>その他</t>
        </is>
      </c>
      <c r="C373" s="3" t="inlineStr">
        <is>
          <t>-</t>
        </is>
      </c>
      <c r="D373" s="4" t="inlineStr">
        <is>
          <t>Power Lisp Collection (Power.rar)</t>
        </is>
      </c>
      <c r="E373" s="4" t="inlineStr">
        <is>
          <t>LISP統合パッケージ</t>
        </is>
      </c>
      <c r="F373" s="2" t="n">
        <v>8</v>
      </c>
      <c r="G373" s="2" t="n">
        <v>7</v>
      </c>
      <c r="H373" s="2" t="n">
        <v>10</v>
      </c>
      <c r="I373" s="2" t="n">
        <v>12</v>
      </c>
      <c r="J373" s="5">
        <f>SUM(F373:I373)</f>
        <v/>
      </c>
      <c r="K373" s="4" t="inlineStr">
        <is>
          <t>旧式LISP統合集</t>
        </is>
      </c>
      <c r="L373" s="3" t="inlineStr"/>
      <c r="M373" s="3" t="inlineStr">
        <is>
          <t>draftsperson.net</t>
        </is>
      </c>
      <c r="N373" s="6" t="inlineStr">
        <is>
          <t>開く</t>
        </is>
      </c>
    </row>
    <row r="374">
      <c r="A374" s="2">
        <f>RANK(J374,$J$2:$J$697)</f>
        <v/>
      </c>
      <c r="B374" s="3" t="inlineStr">
        <is>
          <t>外部参照・図面管理・一括処理</t>
        </is>
      </c>
      <c r="C374" s="3" t="inlineStr">
        <is>
          <t>PURGEH</t>
        </is>
      </c>
      <c r="D374" s="4" t="inlineStr">
        <is>
          <t>PurgeHard.lsp</t>
        </is>
      </c>
      <c r="E374" s="4" t="inlineStr">
        <is>
          <t>登録アプリ含め徹底パージ</t>
        </is>
      </c>
      <c r="F374" s="2" t="n">
        <v>6</v>
      </c>
      <c r="G374" s="2" t="n">
        <v>4</v>
      </c>
      <c r="H374" s="2" t="n">
        <v>10</v>
      </c>
      <c r="I374" s="2" t="n">
        <v>17</v>
      </c>
      <c r="J374" s="5">
        <f>SUM(F374:I374)</f>
        <v/>
      </c>
      <c r="K374" s="4" t="inlineStr">
        <is>
          <t>標準PURGEで登録アプリ可</t>
        </is>
      </c>
      <c r="L374" s="3" t="inlineStr">
        <is>
          <t>CADAuthority</t>
        </is>
      </c>
      <c r="M374" s="3" t="inlineStr">
        <is>
          <t>CAD Authority</t>
        </is>
      </c>
      <c r="N374" s="6" t="inlineStr">
        <is>
          <t>開く</t>
        </is>
      </c>
    </row>
    <row r="375">
      <c r="A375" s="2">
        <f>RANK(J375,$J$2:$J$697)</f>
        <v/>
      </c>
      <c r="B375" s="3" t="inlineStr">
        <is>
          <t>外部参照・図面管理・一括処理</t>
        </is>
      </c>
      <c r="C375" s="3" t="inlineStr">
        <is>
          <t>count-layer-states</t>
        </is>
      </c>
      <c r="D375" s="4" t="inlineStr">
        <is>
          <t>purger.lsp</t>
        </is>
      </c>
      <c r="E375" s="4" t="inlineStr">
        <is>
          <t>各種名前削除を静かに実行</t>
        </is>
      </c>
      <c r="F375" s="2" t="n">
        <v>8</v>
      </c>
      <c r="G375" s="2" t="n">
        <v>6</v>
      </c>
      <c r="H375" s="2" t="n">
        <v>9</v>
      </c>
      <c r="I375" s="2" t="n">
        <v>14</v>
      </c>
      <c r="J375" s="5">
        <f>SUM(F375:I375)</f>
        <v/>
      </c>
      <c r="K375" s="4" t="inlineStr">
        <is>
          <t>PURGE静音実行</t>
        </is>
      </c>
      <c r="L375" s="3" t="inlineStr">
        <is>
          <t>JTB World (Jimmy Bergmark)</t>
        </is>
      </c>
      <c r="M375" s="3" t="inlineStr">
        <is>
          <t>JTB World</t>
        </is>
      </c>
      <c r="N375" s="6" t="inlineStr">
        <is>
          <t>開く</t>
        </is>
      </c>
    </row>
    <row r="376">
      <c r="A376" s="2">
        <f>RANK(J376,$J$2:$J$697)</f>
        <v/>
      </c>
      <c r="B376" s="3" t="inlineStr">
        <is>
          <t>線・ポリライン編集</t>
        </is>
      </c>
      <c r="C376" s="3" t="inlineStr">
        <is>
          <t>QM / QMD / QMO / QMOD</t>
        </is>
      </c>
      <c r="D376" s="4" t="inlineStr">
        <is>
          <t>Quick Mirror</t>
        </is>
      </c>
      <c r="E376" s="4" t="inlineStr">
        <is>
          <t>線を軸に素早く鏡像</t>
        </is>
      </c>
      <c r="F376" s="2" t="n">
        <v>6</v>
      </c>
      <c r="G376" s="2" t="n">
        <v>8</v>
      </c>
      <c r="H376" s="2" t="n">
        <v>9</v>
      </c>
      <c r="I376" s="2" t="n">
        <v>14</v>
      </c>
      <c r="J376" s="5">
        <f>SUM(F376:I376)</f>
        <v/>
      </c>
      <c r="K376" s="4" t="inlineStr">
        <is>
          <t>標準MIRRORで十分</t>
        </is>
      </c>
      <c r="L376" s="3" t="inlineStr">
        <is>
          <t>Lee Mac</t>
        </is>
      </c>
      <c r="M376" s="3" t="inlineStr">
        <is>
          <t>Lee Mac Programming</t>
        </is>
      </c>
      <c r="N376" s="6" t="inlineStr">
        <is>
          <t>開く</t>
        </is>
      </c>
    </row>
    <row r="377">
      <c r="A377" s="2">
        <f>RANK(J377,$J$2:$J$697)</f>
        <v/>
      </c>
      <c r="B377" s="3" t="inlineStr">
        <is>
          <t>その他</t>
        </is>
      </c>
      <c r="C377" s="3" t="inlineStr">
        <is>
          <t>SayIt</t>
        </is>
      </c>
      <c r="D377" s="4" t="inlineStr">
        <is>
          <t>SayIt</t>
        </is>
      </c>
      <c r="E377" s="4" t="inlineStr">
        <is>
          <t>AutoCADに音声で話させる</t>
        </is>
      </c>
      <c r="F377" s="2" t="n">
        <v>16</v>
      </c>
      <c r="G377" s="2" t="n">
        <v>16</v>
      </c>
      <c r="H377" s="2" t="n">
        <v>2</v>
      </c>
      <c r="I377" s="2" t="n">
        <v>3</v>
      </c>
      <c r="J377" s="5">
        <f>SUM(F377:I377)</f>
        <v/>
      </c>
      <c r="K377" s="4" t="inlineStr">
        <is>
          <t>音声読上げ</t>
        </is>
      </c>
      <c r="L377" s="3" t="inlineStr">
        <is>
          <t>Terry Miller</t>
        </is>
      </c>
      <c r="M377" s="3" t="inlineStr">
        <is>
          <t>AutoLISP Exchange</t>
        </is>
      </c>
      <c r="N377" s="6" t="inlineStr">
        <is>
          <t>開く</t>
        </is>
      </c>
    </row>
    <row r="378">
      <c r="A378" s="2">
        <f>RANK(J378,$J$2:$J$697)</f>
        <v/>
      </c>
      <c r="B378" s="3" t="inlineStr">
        <is>
          <t>文字・テキスト</t>
        </is>
      </c>
      <c r="C378" s="3" t="inlineStr">
        <is>
          <t>-</t>
        </is>
      </c>
      <c r="D378" s="4" t="inlineStr">
        <is>
          <t>Text Height by Scale (textsize.zip)</t>
        </is>
      </c>
      <c r="E378" s="4" t="inlineStr">
        <is>
          <t>尺度から文字高さを計算</t>
        </is>
      </c>
      <c r="F378" s="2" t="n">
        <v>10</v>
      </c>
      <c r="G378" s="2" t="n">
        <v>6</v>
      </c>
      <c r="H378" s="2" t="n">
        <v>5</v>
      </c>
      <c r="I378" s="2" t="n">
        <v>16</v>
      </c>
      <c r="J378" s="5">
        <f>SUM(F378:I378)</f>
        <v/>
      </c>
      <c r="K378" s="4" t="inlineStr">
        <is>
          <t>注釈尺度で代替可</t>
        </is>
      </c>
      <c r="L378" s="3" t="inlineStr"/>
      <c r="M378" s="3" t="inlineStr">
        <is>
          <t>draftsperson.net</t>
        </is>
      </c>
      <c r="N378" s="6" t="inlineStr">
        <is>
          <t>開く</t>
        </is>
      </c>
    </row>
    <row r="379">
      <c r="A379" s="2">
        <f>RANK(J379,$J$2:$J$697)</f>
        <v/>
      </c>
      <c r="B379" s="3" t="inlineStr">
        <is>
          <t>文字・テキスト</t>
        </is>
      </c>
      <c r="C379" s="3" t="inlineStr">
        <is>
          <t>T2M</t>
        </is>
      </c>
      <c r="D379" s="4" t="inlineStr">
        <is>
          <t>Text2MText Upgraded</t>
        </is>
      </c>
      <c r="E379" s="4" t="inlineStr">
        <is>
          <t>文字をマルチテキスト化</t>
        </is>
      </c>
      <c r="F379" s="2" t="n">
        <v>4</v>
      </c>
      <c r="G379" s="2" t="n">
        <v>5</v>
      </c>
      <c r="H379" s="2" t="n">
        <v>8</v>
      </c>
      <c r="I379" s="2" t="n">
        <v>20</v>
      </c>
      <c r="J379" s="5">
        <f>SUM(F379:I379)</f>
        <v/>
      </c>
      <c r="K379" s="4" t="inlineStr">
        <is>
          <t>TXT2MTXTで代替可</t>
        </is>
      </c>
      <c r="L379" s="3" t="inlineStr">
        <is>
          <t>Lee Mac</t>
        </is>
      </c>
      <c r="M379" s="3" t="inlineStr">
        <is>
          <t>Lee Mac Programming</t>
        </is>
      </c>
      <c r="N379" s="6" t="inlineStr">
        <is>
          <t>開く</t>
        </is>
      </c>
    </row>
    <row r="380">
      <c r="A380" s="2">
        <f>RANK(J380,$J$2:$J$697)</f>
        <v/>
      </c>
      <c r="B380" s="3" t="inlineStr">
        <is>
          <t>文字・テキスト</t>
        </is>
      </c>
      <c r="C380" s="3" t="inlineStr">
        <is>
          <t>TXTALIGN</t>
        </is>
      </c>
      <c r="D380" s="4" t="inlineStr">
        <is>
          <t>TextAlignment.lsp</t>
        </is>
      </c>
      <c r="E380" s="4" t="inlineStr">
        <is>
          <t>文字を基準に整列</t>
        </is>
      </c>
      <c r="F380" s="2" t="n">
        <v>5</v>
      </c>
      <c r="G380" s="2" t="n">
        <v>6</v>
      </c>
      <c r="H380" s="2" t="n">
        <v>8</v>
      </c>
      <c r="I380" s="2" t="n">
        <v>18</v>
      </c>
      <c r="J380" s="5">
        <f>SUM(F380:I380)</f>
        <v/>
      </c>
      <c r="K380" s="4" t="inlineStr">
        <is>
          <t>TEXTALIGNで代替可</t>
        </is>
      </c>
      <c r="L380" s="3" t="inlineStr">
        <is>
          <t>CADAuthority</t>
        </is>
      </c>
      <c r="M380" s="3" t="inlineStr">
        <is>
          <t>CAD Authority</t>
        </is>
      </c>
      <c r="N380" s="6" t="inlineStr">
        <is>
          <t>開く</t>
        </is>
      </c>
    </row>
    <row r="381">
      <c r="A381" s="2">
        <f>RANK(J381,$J$2:$J$697)</f>
        <v/>
      </c>
      <c r="B381" s="3" t="inlineStr">
        <is>
          <t>座標・測量・土木</t>
        </is>
      </c>
      <c r="C381" s="3" t="inlineStr">
        <is>
          <t>TPOPGETTHIN</t>
        </is>
      </c>
      <c r="D381" s="4" t="inlineStr">
        <is>
          <t>TOPOPROCESS.LSP</t>
        </is>
      </c>
      <c r="E381" s="4" t="inlineStr">
        <is>
          <t>三角形の扁平率範囲を取得</t>
        </is>
      </c>
      <c r="F381" s="2" t="n">
        <v>15</v>
      </c>
      <c r="G381" s="2" t="n">
        <v>11</v>
      </c>
      <c r="H381" s="2" t="n">
        <v>6</v>
      </c>
      <c r="I381" s="2" t="n">
        <v>5</v>
      </c>
      <c r="J381" s="5">
        <f>SUM(F381:I381)</f>
        <v/>
      </c>
      <c r="K381" s="4" t="inlineStr">
        <is>
          <t>扁平三角形の抽出</t>
        </is>
      </c>
      <c r="L381" s="3" t="inlineStr">
        <is>
          <t>Giles Darling</t>
        </is>
      </c>
      <c r="M381" s="3" t="inlineStr">
        <is>
          <t>gilesdarling.me.uk</t>
        </is>
      </c>
      <c r="N381" s="6" t="inlineStr">
        <is>
          <t>開く</t>
        </is>
      </c>
    </row>
    <row r="382">
      <c r="A382" s="2">
        <f>RANK(J382,$J$2:$J$697)</f>
        <v/>
      </c>
      <c r="B382" s="3" t="inlineStr">
        <is>
          <t>座標・測量・土木</t>
        </is>
      </c>
      <c r="C382" s="3" t="inlineStr">
        <is>
          <t>TPOPMULZ</t>
        </is>
      </c>
      <c r="D382" s="4" t="inlineStr">
        <is>
          <t>TOPOPROCESS.LSP</t>
        </is>
      </c>
      <c r="E382" s="4" t="inlineStr">
        <is>
          <t>点のZ値を倍率変換</t>
        </is>
      </c>
      <c r="F382" s="2" t="n">
        <v>15</v>
      </c>
      <c r="G382" s="2" t="n">
        <v>8</v>
      </c>
      <c r="H382" s="2" t="n">
        <v>7</v>
      </c>
      <c r="I382" s="2" t="n">
        <v>7</v>
      </c>
      <c r="J382" s="5">
        <f>SUM(F382:I382)</f>
        <v/>
      </c>
      <c r="K382" s="4" t="inlineStr">
        <is>
          <t>Z値の倍率変換</t>
        </is>
      </c>
      <c r="L382" s="3" t="inlineStr">
        <is>
          <t>Giles Darling</t>
        </is>
      </c>
      <c r="M382" s="3" t="inlineStr">
        <is>
          <t>gilesdarling.me.uk</t>
        </is>
      </c>
      <c r="N382" s="6" t="inlineStr">
        <is>
          <t>開く</t>
        </is>
      </c>
    </row>
    <row r="383">
      <c r="A383" s="2">
        <f>RANK(J383,$J$2:$J$697)</f>
        <v/>
      </c>
      <c r="B383" s="3" t="inlineStr">
        <is>
          <t>LISP開発用の部品</t>
        </is>
      </c>
      <c r="C383" s="3" t="inlineStr">
        <is>
          <t>ViewDcl / Dcl</t>
        </is>
      </c>
      <c r="D383" s="4" t="inlineStr">
        <is>
          <t>ViewDcl</t>
        </is>
      </c>
      <c r="E383" s="4" t="inlineStr">
        <is>
          <t>DCLダイアログをプレビュー</t>
        </is>
      </c>
      <c r="F383" s="2" t="n">
        <v>14</v>
      </c>
      <c r="G383" s="2" t="n">
        <v>11</v>
      </c>
      <c r="H383" s="2" t="n">
        <v>6</v>
      </c>
      <c r="I383" s="2" t="n">
        <v>6</v>
      </c>
      <c r="J383" s="5">
        <f>SUM(F383:I383)</f>
        <v/>
      </c>
      <c r="K383" s="4" t="inlineStr">
        <is>
          <t>DCLを即プレビュー</t>
        </is>
      </c>
      <c r="L383" s="3" t="inlineStr">
        <is>
          <t>Terry Miller</t>
        </is>
      </c>
      <c r="M383" s="3" t="inlineStr">
        <is>
          <t>AutoLISP Exchange</t>
        </is>
      </c>
      <c r="N383" s="6" t="inlineStr">
        <is>
          <t>開く</t>
        </is>
      </c>
    </row>
    <row r="384">
      <c r="A384" s="2">
        <f>RANK(J384,$J$2:$J$697)</f>
        <v/>
      </c>
      <c r="B384" s="3" t="inlineStr">
        <is>
          <t>外部参照・図面管理・一括処理</t>
        </is>
      </c>
      <c r="C384" s="3" t="inlineStr">
        <is>
          <t>xrp</t>
        </is>
      </c>
      <c r="D384" s="4" t="inlineStr">
        <is>
          <t>XrefRepath.lsp</t>
        </is>
      </c>
      <c r="E384" s="4" t="inlineStr">
        <is>
          <t>外部参照を相対パス化</t>
        </is>
      </c>
      <c r="F384" s="2" t="n">
        <v>8</v>
      </c>
      <c r="G384" s="2" t="n">
        <v>6</v>
      </c>
      <c r="H384" s="2" t="n">
        <v>9</v>
      </c>
      <c r="I384" s="2" t="n">
        <v>14</v>
      </c>
      <c r="J384" s="5">
        <f>SUM(F384:I384)</f>
        <v/>
      </c>
      <c r="K384" s="4" t="inlineStr">
        <is>
          <t>相対パスは標準既定</t>
        </is>
      </c>
      <c r="L384" s="3" t="inlineStr">
        <is>
          <t>JTB World (Jimmy Bergmark)</t>
        </is>
      </c>
      <c r="M384" s="3" t="inlineStr">
        <is>
          <t>JTB World</t>
        </is>
      </c>
      <c r="N384" s="6" t="inlineStr">
        <is>
          <t>開く</t>
        </is>
      </c>
    </row>
    <row r="385">
      <c r="A385" s="2">
        <f>RANK(J385,$J$2:$J$697)</f>
        <v/>
      </c>
      <c r="B385" s="3" t="inlineStr">
        <is>
          <t>建築</t>
        </is>
      </c>
      <c r="C385" s="3" t="inlineStr">
        <is>
          <t>-</t>
        </is>
      </c>
      <c r="D385" s="4" t="inlineStr">
        <is>
          <t>2D Door (Door.rar)</t>
        </is>
      </c>
      <c r="E385" s="4" t="inlineStr">
        <is>
          <t>2Dドアを平面図に作図</t>
        </is>
      </c>
      <c r="F385" s="2" t="n">
        <v>11</v>
      </c>
      <c r="G385" s="2" t="n">
        <v>5</v>
      </c>
      <c r="H385" s="2" t="n">
        <v>10</v>
      </c>
      <c r="I385" s="2" t="n">
        <v>10</v>
      </c>
      <c r="J385" s="5">
        <f>SUM(F385:I385)</f>
        <v/>
      </c>
      <c r="K385" s="4" t="inlineStr">
        <is>
          <t>動的ブロックで代替可</t>
        </is>
      </c>
      <c r="L385" s="3" t="inlineStr"/>
      <c r="M385" s="3" t="inlineStr">
        <is>
          <t>draftsperson.net</t>
        </is>
      </c>
      <c r="N385" s="6" t="inlineStr">
        <is>
          <t>開く</t>
        </is>
      </c>
    </row>
    <row r="386">
      <c r="A386" s="2">
        <f>RANK(J386,$J$2:$J$697)</f>
        <v/>
      </c>
      <c r="B386" s="3" t="inlineStr">
        <is>
          <t>その他</t>
        </is>
      </c>
      <c r="C386" s="3" t="inlineStr">
        <is>
          <t>-</t>
        </is>
      </c>
      <c r="D386" s="4" t="inlineStr">
        <is>
          <t>90 LISP Routines (90lsp.zip)</t>
        </is>
      </c>
      <c r="E386" s="4" t="inlineStr">
        <is>
          <t>LISP90本の詰め合わせ</t>
        </is>
      </c>
      <c r="F386" s="2" t="n">
        <v>8</v>
      </c>
      <c r="G386" s="2" t="n">
        <v>6</v>
      </c>
      <c r="H386" s="2" t="n">
        <v>10</v>
      </c>
      <c r="I386" s="2" t="n">
        <v>12</v>
      </c>
      <c r="J386" s="5">
        <f>SUM(F386:I386)</f>
        <v/>
      </c>
      <c r="K386" s="4" t="inlineStr">
        <is>
          <t>旧式ルーチン詰合せ</t>
        </is>
      </c>
      <c r="L386" s="3" t="inlineStr"/>
      <c r="M386" s="3" t="inlineStr">
        <is>
          <t>draftsperson.net</t>
        </is>
      </c>
      <c r="N386" s="6" t="inlineStr">
        <is>
          <t>開く</t>
        </is>
      </c>
    </row>
    <row r="387">
      <c r="A387" s="2">
        <f>RANK(J387,$J$2:$J$697)</f>
        <v/>
      </c>
      <c r="B387" s="3" t="inlineStr">
        <is>
          <t>LISP開発用の部品</t>
        </is>
      </c>
      <c r="C387" s="3" t="inlineStr">
        <is>
          <t>-</t>
        </is>
      </c>
      <c r="D387" s="4" t="inlineStr">
        <is>
          <t>AlgaCAD</t>
        </is>
      </c>
      <c r="E387" s="4" t="inlineStr">
        <is>
          <t>図面変数を埋めるLISPを生成</t>
        </is>
      </c>
      <c r="F387" s="2" t="n">
        <v>13</v>
      </c>
      <c r="G387" s="2" t="n">
        <v>12</v>
      </c>
      <c r="H387" s="2" t="n">
        <v>6</v>
      </c>
      <c r="I387" s="2" t="n">
        <v>5</v>
      </c>
      <c r="J387" s="5">
        <f>SUM(F387:I387)</f>
        <v/>
      </c>
      <c r="K387" s="4" t="inlineStr">
        <is>
          <t>LISPを自動生成</t>
        </is>
      </c>
      <c r="L387" s="3" t="inlineStr">
        <is>
          <t>Jeffery P. Sanders</t>
        </is>
      </c>
      <c r="M387" s="3" t="inlineStr">
        <is>
          <t>JefferyPSanders.com</t>
        </is>
      </c>
      <c r="N387" s="6" t="inlineStr">
        <is>
          <t>開く</t>
        </is>
      </c>
    </row>
    <row r="388">
      <c r="A388" s="2">
        <f>RANK(J388,$J$2:$J$697)</f>
        <v/>
      </c>
      <c r="B388" s="3" t="inlineStr">
        <is>
          <t>LISP開発用の部品</t>
        </is>
      </c>
      <c r="C388" s="3" t="inlineStr">
        <is>
          <t>-</t>
        </is>
      </c>
      <c r="D388" s="4" t="inlineStr">
        <is>
          <t>Apply to Block Objects</t>
        </is>
      </c>
      <c r="E388" s="4" t="inlineStr">
        <is>
          <t>ブロック内図形へ関数適用</t>
        </is>
      </c>
      <c r="F388" s="2" t="n">
        <v>12</v>
      </c>
      <c r="G388" s="2" t="n">
        <v>11</v>
      </c>
      <c r="H388" s="2" t="n">
        <v>5</v>
      </c>
      <c r="I388" s="2" t="n">
        <v>8</v>
      </c>
      <c r="J388" s="5">
        <f>SUM(F388:I388)</f>
        <v/>
      </c>
      <c r="K388" s="4" t="inlineStr">
        <is>
          <t>ブロック内一括適用</t>
        </is>
      </c>
      <c r="L388" s="3" t="inlineStr">
        <is>
          <t>Lee Mac</t>
        </is>
      </c>
      <c r="M388" s="3" t="inlineStr">
        <is>
          <t>Lee Mac Programming</t>
        </is>
      </c>
      <c r="N388" s="6" t="inlineStr">
        <is>
          <t>開く</t>
        </is>
      </c>
    </row>
    <row r="389">
      <c r="A389" s="2">
        <f>RANK(J389,$J$2:$J$697)</f>
        <v/>
      </c>
      <c r="B389" s="3" t="inlineStr">
        <is>
          <t>ブロック・属性</t>
        </is>
      </c>
      <c r="C389" s="3" t="inlineStr">
        <is>
          <t>AttDefToMText</t>
        </is>
      </c>
      <c r="D389" s="4" t="inlineStr">
        <is>
          <t>AttDefToMText.lsp</t>
        </is>
      </c>
      <c r="E389" s="4" t="inlineStr">
        <is>
          <t>属性定義をマルチテキスト化</t>
        </is>
      </c>
      <c r="F389" s="2" t="n">
        <v>8</v>
      </c>
      <c r="G389" s="2" t="n">
        <v>8</v>
      </c>
      <c r="H389" s="2" t="n">
        <v>8</v>
      </c>
      <c r="I389" s="2" t="n">
        <v>12</v>
      </c>
      <c r="J389" s="5">
        <f>SUM(F389:I389)</f>
        <v/>
      </c>
      <c r="K389" s="4" t="inlineStr">
        <is>
          <t>プロパティで複数行化可</t>
        </is>
      </c>
      <c r="L389" s="3" t="inlineStr">
        <is>
          <t>JTB World (Jimmy Bergmark)</t>
        </is>
      </c>
      <c r="M389" s="3" t="inlineStr">
        <is>
          <t>JTB World</t>
        </is>
      </c>
      <c r="N389" s="6" t="inlineStr">
        <is>
          <t>開く</t>
        </is>
      </c>
    </row>
    <row r="390">
      <c r="A390" s="2">
        <f>RANK(J390,$J$2:$J$697)</f>
        <v/>
      </c>
      <c r="B390" s="3" t="inlineStr">
        <is>
          <t>建築</t>
        </is>
      </c>
      <c r="C390" s="3" t="inlineStr">
        <is>
          <t>-</t>
        </is>
      </c>
      <c r="D390" s="4" t="inlineStr">
        <is>
          <t>Batt Insulation (Batt.rar)</t>
        </is>
      </c>
      <c r="E390" s="4" t="inlineStr">
        <is>
          <t>断熱材(バット)記号を作図</t>
        </is>
      </c>
      <c r="F390" s="2" t="n">
        <v>9</v>
      </c>
      <c r="G390" s="2" t="n">
        <v>7</v>
      </c>
      <c r="H390" s="2" t="n">
        <v>10</v>
      </c>
      <c r="I390" s="2" t="n">
        <v>10</v>
      </c>
      <c r="J390" s="5">
        <f>SUM(F390:I390)</f>
        <v/>
      </c>
      <c r="K390" s="4" t="inlineStr">
        <is>
          <t>BATTING線種で概ね代替</t>
        </is>
      </c>
      <c r="L390" s="3" t="inlineStr"/>
      <c r="M390" s="3" t="inlineStr">
        <is>
          <t>draftsperson.net</t>
        </is>
      </c>
      <c r="N390" s="6" t="inlineStr">
        <is>
          <t>開く</t>
        </is>
      </c>
    </row>
    <row r="391">
      <c r="A391" s="2">
        <f>RANK(J391,$J$2:$J$697)</f>
        <v/>
      </c>
      <c r="B391" s="3" t="inlineStr">
        <is>
          <t>建築</t>
        </is>
      </c>
      <c r="C391" s="3" t="inlineStr">
        <is>
          <t>-</t>
        </is>
      </c>
      <c r="D391" s="4" t="inlineStr">
        <is>
          <t>Batt Insulation 3 (Batt3.rar)</t>
        </is>
      </c>
      <c r="E391" s="4" t="inlineStr">
        <is>
          <t>断熱材(バット)記号を作図</t>
        </is>
      </c>
      <c r="F391" s="2" t="n">
        <v>9</v>
      </c>
      <c r="G391" s="2" t="n">
        <v>7</v>
      </c>
      <c r="H391" s="2" t="n">
        <v>10</v>
      </c>
      <c r="I391" s="2" t="n">
        <v>10</v>
      </c>
      <c r="J391" s="5">
        <f>SUM(F391:I391)</f>
        <v/>
      </c>
      <c r="K391" s="4" t="inlineStr">
        <is>
          <t>BATTING線種で概ね代替</t>
        </is>
      </c>
      <c r="L391" s="3" t="inlineStr"/>
      <c r="M391" s="3" t="inlineStr">
        <is>
          <t>draftsperson.net</t>
        </is>
      </c>
      <c r="N391" s="6" t="inlineStr">
        <is>
          <t>開く</t>
        </is>
      </c>
    </row>
    <row r="392">
      <c r="A392" s="2">
        <f>RANK(J392,$J$2:$J$697)</f>
        <v/>
      </c>
      <c r="B392" s="3" t="inlineStr">
        <is>
          <t>ブロック・属性</t>
        </is>
      </c>
      <c r="C392" s="3" t="inlineStr">
        <is>
          <t>-</t>
        </is>
      </c>
      <c r="D392" s="4" t="inlineStr">
        <is>
          <t>Block Extender (BlockExtender.zip)</t>
        </is>
      </c>
      <c r="E392" s="4" t="inlineStr">
        <is>
          <t>ブロック管理ツール(試用版)</t>
        </is>
      </c>
      <c r="F392" s="2" t="n">
        <v>8</v>
      </c>
      <c r="G392" s="2" t="n">
        <v>8</v>
      </c>
      <c r="H392" s="2" t="n">
        <v>8</v>
      </c>
      <c r="I392" s="2" t="n">
        <v>12</v>
      </c>
      <c r="J392" s="5">
        <f>SUM(F392:I392)</f>
        <v/>
      </c>
      <c r="K392" s="4" t="inlineStr">
        <is>
          <t>内容不明の試用版</t>
        </is>
      </c>
      <c r="L392" s="3" t="inlineStr"/>
      <c r="M392" s="3" t="inlineStr">
        <is>
          <t>draftsperson.net</t>
        </is>
      </c>
      <c r="N392" s="6" t="inlineStr">
        <is>
          <t>開く</t>
        </is>
      </c>
    </row>
    <row r="393">
      <c r="A393" s="2">
        <f>RANK(J393,$J$2:$J$697)</f>
        <v/>
      </c>
      <c r="B393" s="3" t="inlineStr">
        <is>
          <t>寸法</t>
        </is>
      </c>
      <c r="C393" s="3" t="inlineStr">
        <is>
          <t>DIMRST</t>
        </is>
      </c>
      <c r="D393" s="4" t="inlineStr">
        <is>
          <t>DimReset.lsp</t>
        </is>
      </c>
      <c r="E393" s="4" t="inlineStr">
        <is>
          <t>上書き寸法値を実測値に戻す</t>
        </is>
      </c>
      <c r="F393" s="2" t="n">
        <v>8</v>
      </c>
      <c r="G393" s="2" t="n">
        <v>5</v>
      </c>
      <c r="H393" s="2" t="n">
        <v>7</v>
      </c>
      <c r="I393" s="2" t="n">
        <v>16</v>
      </c>
      <c r="J393" s="5">
        <f>SUM(F393:I393)</f>
        <v/>
      </c>
      <c r="K393" s="4" t="inlineStr">
        <is>
          <t>寸法値&lt;&gt;入力/プロパティで代替</t>
        </is>
      </c>
      <c r="L393" s="3" t="inlineStr">
        <is>
          <t>CADAuthority</t>
        </is>
      </c>
      <c r="M393" s="3" t="inlineStr">
        <is>
          <t>CAD Authority</t>
        </is>
      </c>
      <c r="N393" s="6" t="inlineStr">
        <is>
          <t>開く</t>
        </is>
      </c>
    </row>
    <row r="394">
      <c r="A394" s="2">
        <f>RANK(J394,$J$2:$J$697)</f>
        <v/>
      </c>
      <c r="B394" s="3" t="inlineStr">
        <is>
          <t>作図</t>
        </is>
      </c>
      <c r="C394" s="3" t="inlineStr">
        <is>
          <t>DGrid / DGridD</t>
        </is>
      </c>
      <c r="D394" s="4" t="inlineStr">
        <is>
          <t>Draw Grid</t>
        </is>
      </c>
      <c r="E394" s="4" t="inlineStr">
        <is>
          <t>格子線を作図</t>
        </is>
      </c>
      <c r="F394" s="2" t="n">
        <v>8</v>
      </c>
      <c r="G394" s="2" t="n">
        <v>7</v>
      </c>
      <c r="H394" s="2" t="n">
        <v>9</v>
      </c>
      <c r="I394" s="2" t="n">
        <v>12</v>
      </c>
      <c r="J394" s="5">
        <f>SUM(F394:I394)</f>
        <v/>
      </c>
      <c r="K394" s="4" t="inlineStr">
        <is>
          <t>ARRAYで代替可</t>
        </is>
      </c>
      <c r="L394" s="3" t="inlineStr">
        <is>
          <t>Lee Mac</t>
        </is>
      </c>
      <c r="M394" s="3" t="inlineStr">
        <is>
          <t>Lee Mac Programming</t>
        </is>
      </c>
      <c r="N394" s="6" t="inlineStr">
        <is>
          <t>開く</t>
        </is>
      </c>
    </row>
    <row r="395">
      <c r="A395" s="2">
        <f>RANK(J395,$J$2:$J$697)</f>
        <v/>
      </c>
      <c r="B395" s="3" t="inlineStr">
        <is>
          <t>LISP開発用の部品</t>
        </is>
      </c>
      <c r="C395" s="3" t="inlineStr">
        <is>
          <t>-</t>
        </is>
      </c>
      <c r="D395" s="4" t="inlineStr">
        <is>
          <t>Dynamic Block Functions</t>
        </is>
      </c>
      <c r="E395" s="4" t="inlineStr">
        <is>
          <t>ダイナミックブロック操作関数</t>
        </is>
      </c>
      <c r="F395" s="2" t="n">
        <v>12</v>
      </c>
      <c r="G395" s="2" t="n">
        <v>9</v>
      </c>
      <c r="H395" s="2" t="n">
        <v>6</v>
      </c>
      <c r="I395" s="2" t="n">
        <v>9</v>
      </c>
      <c r="J395" s="5">
        <f>SUM(F395:I395)</f>
        <v/>
      </c>
      <c r="K395" s="4" t="inlineStr">
        <is>
          <t>動的ブロック属性操作</t>
        </is>
      </c>
      <c r="L395" s="3" t="inlineStr">
        <is>
          <t>Lee Mac</t>
        </is>
      </c>
      <c r="M395" s="3" t="inlineStr">
        <is>
          <t>Lee Mac Programming</t>
        </is>
      </c>
      <c r="N395" s="6" t="inlineStr">
        <is>
          <t>開く</t>
        </is>
      </c>
    </row>
    <row r="396">
      <c r="A396" s="2">
        <f>RANK(J396,$J$2:$J$697)</f>
        <v/>
      </c>
      <c r="B396" s="3" t="inlineStr">
        <is>
          <t>構造・鉄骨・機械</t>
        </is>
      </c>
      <c r="C396" s="3" t="inlineStr">
        <is>
          <t>-</t>
        </is>
      </c>
      <c r="D396" s="4" t="inlineStr">
        <is>
          <t>Floor Joist and Steel Beam (flrjst.zip)</t>
        </is>
      </c>
      <c r="E396" s="4" t="inlineStr">
        <is>
          <t>床根太・鋼製梁を作図</t>
        </is>
      </c>
      <c r="F396" s="2" t="n">
        <v>12</v>
      </c>
      <c r="G396" s="2" t="n">
        <v>6</v>
      </c>
      <c r="H396" s="2" t="n">
        <v>10</v>
      </c>
      <c r="I396" s="2" t="n">
        <v>8</v>
      </c>
      <c r="J396" s="5">
        <f>SUM(F396:I396)</f>
        <v/>
      </c>
      <c r="K396" s="4" t="inlineStr">
        <is>
          <t>梁根太の定型作図</t>
        </is>
      </c>
      <c r="L396" s="3" t="inlineStr"/>
      <c r="M396" s="3" t="inlineStr">
        <is>
          <t>draftsperson.net</t>
        </is>
      </c>
      <c r="N396" s="6" t="inlineStr">
        <is>
          <t>開く</t>
        </is>
      </c>
    </row>
    <row r="397">
      <c r="A397" s="2">
        <f>RANK(J397,$J$2:$J$697)</f>
        <v/>
      </c>
      <c r="B397" s="3" t="inlineStr">
        <is>
          <t>ブロック・属性</t>
        </is>
      </c>
      <c r="C397" s="3" t="inlineStr">
        <is>
          <t>insrot / ax-insrot</t>
        </is>
      </c>
      <c r="D397" s="4" t="inlineStr">
        <is>
          <t>insrot.lsp</t>
        </is>
      </c>
      <c r="E397" s="4" t="inlineStr">
        <is>
          <t>属性付きブロックを回転挿入</t>
        </is>
      </c>
      <c r="F397" s="2" t="n">
        <v>8</v>
      </c>
      <c r="G397" s="2" t="n">
        <v>8</v>
      </c>
      <c r="H397" s="2" t="n">
        <v>8</v>
      </c>
      <c r="I397" s="2" t="n">
        <v>12</v>
      </c>
      <c r="J397" s="5">
        <f>SUM(F397:I397)</f>
        <v/>
      </c>
      <c r="K397" s="4" t="inlineStr">
        <is>
          <t>標準挿入で回転可</t>
        </is>
      </c>
      <c r="L397" s="3" t="inlineStr">
        <is>
          <t>JTB World (Jimmy Bergmark)</t>
        </is>
      </c>
      <c r="M397" s="3" t="inlineStr">
        <is>
          <t>JTB World</t>
        </is>
      </c>
      <c r="N397" s="6" t="inlineStr">
        <is>
          <t>開く</t>
        </is>
      </c>
    </row>
    <row r="398">
      <c r="A398" s="2">
        <f>RANK(J398,$J$2:$J$697)</f>
        <v/>
      </c>
      <c r="B398" s="3" t="inlineStr">
        <is>
          <t>画層</t>
        </is>
      </c>
      <c r="C398" s="3" t="inlineStr">
        <is>
          <t>-</t>
        </is>
      </c>
      <c r="D398" s="4" t="inlineStr">
        <is>
          <t>layer-state.LSP</t>
        </is>
      </c>
      <c r="E398" s="4" t="inlineStr">
        <is>
          <t>状態別に画層を一覧</t>
        </is>
      </c>
      <c r="F398" s="2" t="n">
        <v>12</v>
      </c>
      <c r="G398" s="2" t="n">
        <v>7</v>
      </c>
      <c r="H398" s="2" t="n">
        <v>5</v>
      </c>
      <c r="I398" s="2" t="n">
        <v>12</v>
      </c>
      <c r="J398" s="5">
        <f>SUM(F398:I398)</f>
        <v/>
      </c>
      <c r="K398" s="4" t="inlineStr">
        <is>
          <t>状態別一覧は稀</t>
        </is>
      </c>
      <c r="L398" s="3" t="inlineStr">
        <is>
          <t>JTB World (Jimmy Bergmark)</t>
        </is>
      </c>
      <c r="M398" s="3" t="inlineStr">
        <is>
          <t>JTB World</t>
        </is>
      </c>
      <c r="N398" s="6" t="inlineStr">
        <is>
          <t>開く</t>
        </is>
      </c>
    </row>
    <row r="399">
      <c r="A399" s="2">
        <f>RANK(J399,$J$2:$J$697)</f>
        <v/>
      </c>
      <c r="B399" s="3" t="inlineStr">
        <is>
          <t>画層</t>
        </is>
      </c>
      <c r="C399" s="3" t="inlineStr">
        <is>
          <t>LOCKALL</t>
        </is>
      </c>
      <c r="D399" s="4" t="inlineStr">
        <is>
          <t>LockAllLayers.lsp</t>
        </is>
      </c>
      <c r="E399" s="4" t="inlineStr">
        <is>
          <t>現在画層以外を全ロック</t>
        </is>
      </c>
      <c r="F399" s="2" t="n">
        <v>7</v>
      </c>
      <c r="G399" s="2" t="n">
        <v>5</v>
      </c>
      <c r="H399" s="2" t="n">
        <v>6</v>
      </c>
      <c r="I399" s="2" t="n">
        <v>18</v>
      </c>
      <c r="J399" s="5">
        <f>SUM(F399:I399)</f>
        <v/>
      </c>
      <c r="K399" s="4" t="inlineStr">
        <is>
          <t>LAYLCK/LAYISOロックで代替</t>
        </is>
      </c>
      <c r="L399" s="3" t="inlineStr">
        <is>
          <t>CADAuthority</t>
        </is>
      </c>
      <c r="M399" s="3" t="inlineStr">
        <is>
          <t>CAD Authority</t>
        </is>
      </c>
      <c r="N399" s="6" t="inlineStr">
        <is>
          <t>開く</t>
        </is>
      </c>
    </row>
    <row r="400">
      <c r="A400" s="2">
        <f>RANK(J400,$J$2:$J$697)</f>
        <v/>
      </c>
      <c r="B400" s="3" t="inlineStr">
        <is>
          <t>文字・テキスト</t>
        </is>
      </c>
      <c r="C400" s="3" t="inlineStr">
        <is>
          <t>MIXTXT</t>
        </is>
      </c>
      <c r="D400" s="4" t="inlineStr">
        <is>
          <t>MixTxt</t>
        </is>
      </c>
      <c r="E400" s="4" t="inlineStr">
        <is>
          <t>文字内の単語を入替え</t>
        </is>
      </c>
      <c r="F400" s="2" t="n">
        <v>12</v>
      </c>
      <c r="G400" s="2" t="n">
        <v>9</v>
      </c>
      <c r="H400" s="2" t="n">
        <v>5</v>
      </c>
      <c r="I400" s="2" t="n">
        <v>10</v>
      </c>
      <c r="J400" s="5">
        <f>SUM(F400:I400)</f>
        <v/>
      </c>
      <c r="K400" s="4" t="inlineStr">
        <is>
          <t>単語入替えは用途限定</t>
        </is>
      </c>
      <c r="L400" s="3" t="inlineStr">
        <is>
          <t>Jeffery P. Sanders</t>
        </is>
      </c>
      <c r="M400" s="3" t="inlineStr">
        <is>
          <t>JefferyPSanders.com</t>
        </is>
      </c>
      <c r="N400" s="6" t="inlineStr">
        <is>
          <t>開く</t>
        </is>
      </c>
    </row>
    <row r="401">
      <c r="A401" s="2">
        <f>RANK(J401,$J$2:$J$697)</f>
        <v/>
      </c>
      <c r="B401" s="3" t="inlineStr">
        <is>
          <t>外部参照・図面管理・一括処理</t>
        </is>
      </c>
      <c r="C401" s="3" t="inlineStr">
        <is>
          <t>-</t>
        </is>
      </c>
      <c r="D401" s="4" t="inlineStr">
        <is>
          <t>Purge unreferenced images</t>
        </is>
      </c>
      <c r="E401" s="4" t="inlineStr">
        <is>
          <t>未参照イメージを削除</t>
        </is>
      </c>
      <c r="F401" s="2" t="n">
        <v>10</v>
      </c>
      <c r="G401" s="2" t="n">
        <v>7</v>
      </c>
      <c r="H401" s="2" t="n">
        <v>7</v>
      </c>
      <c r="I401" s="2" t="n">
        <v>12</v>
      </c>
      <c r="J401" s="5">
        <f>SUM(F401:I401)</f>
        <v/>
      </c>
      <c r="K401" s="4" t="inlineStr">
        <is>
          <t>未参照イメージを削除</t>
        </is>
      </c>
      <c r="L401" s="3" t="inlineStr">
        <is>
          <t>JTB World (Jimmy Bergmark)</t>
        </is>
      </c>
      <c r="M401" s="3" t="inlineStr">
        <is>
          <t>JTB World</t>
        </is>
      </c>
      <c r="N401" s="6" t="inlineStr">
        <is>
          <t>開く</t>
        </is>
      </c>
    </row>
    <row r="402">
      <c r="A402" s="2">
        <f>RANK(J402,$J$2:$J$697)</f>
        <v/>
      </c>
      <c r="B402" s="3" t="inlineStr">
        <is>
          <t>文字・テキスト</t>
        </is>
      </c>
      <c r="C402" s="3" t="inlineStr">
        <is>
          <t>RRR</t>
        </is>
      </c>
      <c r="D402" s="4" t="inlineStr">
        <is>
          <t>RRR</t>
        </is>
      </c>
      <c r="E402" s="4" t="inlineStr">
        <is>
          <t>文字の検索と置換</t>
        </is>
      </c>
      <c r="F402" s="2" t="n">
        <v>4</v>
      </c>
      <c r="G402" s="2" t="n">
        <v>4</v>
      </c>
      <c r="H402" s="2" t="n">
        <v>8</v>
      </c>
      <c r="I402" s="2" t="n">
        <v>20</v>
      </c>
      <c r="J402" s="5">
        <f>SUM(F402:I402)</f>
        <v/>
      </c>
      <c r="K402" s="4" t="inlineStr">
        <is>
          <t>FIND/REPLACEで代替可</t>
        </is>
      </c>
      <c r="L402" s="3" t="inlineStr">
        <is>
          <t>Jeffery P. Sanders</t>
        </is>
      </c>
      <c r="M402" s="3" t="inlineStr">
        <is>
          <t>JefferyPSanders.com</t>
        </is>
      </c>
      <c r="N402" s="6" t="inlineStr">
        <is>
          <t>開く</t>
        </is>
      </c>
    </row>
    <row r="403">
      <c r="A403" s="2">
        <f>RANK(J403,$J$2:$J$697)</f>
        <v/>
      </c>
      <c r="B403" s="3" t="inlineStr">
        <is>
          <t>文字・テキスト</t>
        </is>
      </c>
      <c r="C403" s="3" t="inlineStr">
        <is>
          <t>txp</t>
        </is>
      </c>
      <c r="D403" s="4" t="inlineStr">
        <is>
          <t>Text on circle/spline</t>
        </is>
      </c>
      <c r="E403" s="4" t="inlineStr">
        <is>
          <t>円・スプライン沿いに文字記入</t>
        </is>
      </c>
      <c r="F403" s="2" t="n">
        <v>10</v>
      </c>
      <c r="G403" s="2" t="n">
        <v>10</v>
      </c>
      <c r="H403" s="2" t="n">
        <v>6</v>
      </c>
      <c r="I403" s="2" t="n">
        <v>10</v>
      </c>
      <c r="J403" s="5">
        <f>SUM(F403:I403)</f>
        <v/>
      </c>
      <c r="K403" s="4" t="inlineStr">
        <is>
          <t>スプライン沿いは標準にない</t>
        </is>
      </c>
      <c r="L403" s="3" t="inlineStr">
        <is>
          <t>Mark Beggs</t>
        </is>
      </c>
      <c r="M403" s="3" t="inlineStr">
        <is>
          <t>JTB World</t>
        </is>
      </c>
      <c r="N403" s="6" t="inlineStr">
        <is>
          <t>開く</t>
        </is>
      </c>
    </row>
    <row r="404">
      <c r="A404" s="2">
        <f>RANK(J404,$J$2:$J$697)</f>
        <v/>
      </c>
      <c r="B404" s="3" t="inlineStr">
        <is>
          <t>構造・鉄骨・機械</t>
        </is>
      </c>
      <c r="C404" s="3" t="inlineStr">
        <is>
          <t>-</t>
        </is>
      </c>
      <c r="D404" s="4" t="inlineStr">
        <is>
          <t>Truss (Truss.rar)</t>
        </is>
      </c>
      <c r="E404" s="4" t="inlineStr">
        <is>
          <t>トラスを作図</t>
        </is>
      </c>
      <c r="F404" s="2" t="n">
        <v>12</v>
      </c>
      <c r="G404" s="2" t="n">
        <v>6</v>
      </c>
      <c r="H404" s="2" t="n">
        <v>10</v>
      </c>
      <c r="I404" s="2" t="n">
        <v>8</v>
      </c>
      <c r="J404" s="5">
        <f>SUM(F404:I404)</f>
        <v/>
      </c>
      <c r="K404" s="4" t="inlineStr">
        <is>
          <t>トラスの定型作図</t>
        </is>
      </c>
      <c r="L404" s="3" t="inlineStr"/>
      <c r="M404" s="3" t="inlineStr">
        <is>
          <t>draftsperson.net</t>
        </is>
      </c>
      <c r="N404" s="6" t="inlineStr">
        <is>
          <t>開く</t>
        </is>
      </c>
    </row>
    <row r="405">
      <c r="A405" s="2">
        <f>RANK(J405,$J$2:$J$697)</f>
        <v/>
      </c>
      <c r="B405" s="3" t="inlineStr">
        <is>
          <t>建築</t>
        </is>
      </c>
      <c r="C405" s="3" t="inlineStr">
        <is>
          <t>-</t>
        </is>
      </c>
      <c r="D405" s="4" t="inlineStr">
        <is>
          <t>Walls in Plan (walls.zip)</t>
        </is>
      </c>
      <c r="E405" s="4" t="inlineStr">
        <is>
          <t>平面の壁を作図</t>
        </is>
      </c>
      <c r="F405" s="2" t="n">
        <v>10</v>
      </c>
      <c r="G405" s="2" t="n">
        <v>5</v>
      </c>
      <c r="H405" s="2" t="n">
        <v>11</v>
      </c>
      <c r="I405" s="2" t="n">
        <v>10</v>
      </c>
      <c r="J405" s="5">
        <f>SUM(F405:I405)</f>
        <v/>
      </c>
      <c r="K405" s="4" t="inlineStr">
        <is>
          <t>MLINEで代替可</t>
        </is>
      </c>
      <c r="L405" s="3" t="inlineStr"/>
      <c r="M405" s="3" t="inlineStr">
        <is>
          <t>draftsperson.net</t>
        </is>
      </c>
      <c r="N405" s="6" t="inlineStr">
        <is>
          <t>開く</t>
        </is>
      </c>
    </row>
    <row r="406">
      <c r="A406" s="2">
        <f>RANK(J406,$J$2:$J$697)</f>
        <v/>
      </c>
      <c r="B406" s="3" t="inlineStr">
        <is>
          <t>建築</t>
        </is>
      </c>
      <c r="C406" s="3" t="inlineStr">
        <is>
          <t>-</t>
        </is>
      </c>
      <c r="D406" s="4" t="inlineStr">
        <is>
          <t>Window Elevations (windows.zip)</t>
        </is>
      </c>
      <c r="E406" s="4" t="inlineStr">
        <is>
          <t>上げ下げ窓の立面を作図</t>
        </is>
      </c>
      <c r="F406" s="2" t="n">
        <v>12</v>
      </c>
      <c r="G406" s="2" t="n">
        <v>6</v>
      </c>
      <c r="H406" s="2" t="n">
        <v>9</v>
      </c>
      <c r="I406" s="2" t="n">
        <v>9</v>
      </c>
      <c r="J406" s="5">
        <f>SUM(F406:I406)</f>
        <v/>
      </c>
      <c r="K406" s="4" t="inlineStr">
        <is>
          <t>窓ブロックで代替可</t>
        </is>
      </c>
      <c r="L406" s="3" t="inlineStr"/>
      <c r="M406" s="3" t="inlineStr">
        <is>
          <t>draftsperson.net</t>
        </is>
      </c>
      <c r="N406" s="6" t="inlineStr">
        <is>
          <t>開く</t>
        </is>
      </c>
    </row>
    <row r="407">
      <c r="A407" s="2">
        <f>RANK(J407,$J$2:$J$697)</f>
        <v/>
      </c>
      <c r="B407" s="3" t="inlineStr">
        <is>
          <t>外部参照・図面管理・一括処理</t>
        </is>
      </c>
      <c r="C407" s="3" t="inlineStr">
        <is>
          <t>XPATHFIX</t>
        </is>
      </c>
      <c r="D407" s="4" t="inlineStr">
        <is>
          <t>XrefPathFix.lsp</t>
        </is>
      </c>
      <c r="E407" s="4" t="inlineStr">
        <is>
          <t>外部参照パスを相対パス化</t>
        </is>
      </c>
      <c r="F407" s="2" t="n">
        <v>7</v>
      </c>
      <c r="G407" s="2" t="n">
        <v>5</v>
      </c>
      <c r="H407" s="2" t="n">
        <v>9</v>
      </c>
      <c r="I407" s="2" t="n">
        <v>15</v>
      </c>
      <c r="J407" s="5">
        <f>SUM(F407:I407)</f>
        <v/>
      </c>
      <c r="K407" s="4" t="inlineStr">
        <is>
          <t>相対パスは標準既定</t>
        </is>
      </c>
      <c r="L407" s="3" t="inlineStr">
        <is>
          <t>CADAuthority</t>
        </is>
      </c>
      <c r="M407" s="3" t="inlineStr">
        <is>
          <t>CAD Authority</t>
        </is>
      </c>
      <c r="N407" s="6" t="inlineStr">
        <is>
          <t>開く</t>
        </is>
      </c>
    </row>
    <row r="408">
      <c r="A408" s="2">
        <f>RANK(J408,$J$2:$J$697)</f>
        <v/>
      </c>
      <c r="B408" s="3" t="inlineStr">
        <is>
          <t>線・ポリライン編集</t>
        </is>
      </c>
      <c r="C408" s="3" t="inlineStr">
        <is>
          <t>ANGX</t>
        </is>
      </c>
      <c r="D408" s="4" t="inlineStr">
        <is>
          <t>AngX</t>
        </is>
      </c>
      <c r="E408" s="4" t="inlineStr">
        <is>
          <t>線の角度に合わせて回転</t>
        </is>
      </c>
      <c r="F408" s="2" t="n">
        <v>5</v>
      </c>
      <c r="G408" s="2" t="n">
        <v>6</v>
      </c>
      <c r="H408" s="2" t="n">
        <v>9</v>
      </c>
      <c r="I408" s="2" t="n">
        <v>15</v>
      </c>
      <c r="J408" s="5">
        <f>SUM(F408:I408)</f>
        <v/>
      </c>
      <c r="K408" s="4" t="inlineStr">
        <is>
          <t>ROTATE参照で代替</t>
        </is>
      </c>
      <c r="L408" s="3" t="inlineStr">
        <is>
          <t>Jeffery P. Sanders</t>
        </is>
      </c>
      <c r="M408" s="3" t="inlineStr">
        <is>
          <t>JefferyPSanders.com</t>
        </is>
      </c>
      <c r="N408" s="6" t="inlineStr">
        <is>
          <t>開く</t>
        </is>
      </c>
    </row>
    <row r="409">
      <c r="A409" s="2">
        <f>RANK(J409,$J$2:$J$697)</f>
        <v/>
      </c>
      <c r="B409" s="3" t="inlineStr">
        <is>
          <t>線・ポリライン編集</t>
        </is>
      </c>
      <c r="C409" s="3" t="inlineStr">
        <is>
          <t>-</t>
        </is>
      </c>
      <c r="D409" s="4" t="inlineStr">
        <is>
          <t>Arcs to Circles (atc.zip)</t>
        </is>
      </c>
      <c r="E409" s="4" t="inlineStr">
        <is>
          <t>円弧を円に変換</t>
        </is>
      </c>
      <c r="F409" s="2" t="n">
        <v>14</v>
      </c>
      <c r="G409" s="2" t="n">
        <v>7</v>
      </c>
      <c r="H409" s="2" t="n">
        <v>5</v>
      </c>
      <c r="I409" s="2" t="n">
        <v>9</v>
      </c>
      <c r="J409" s="5">
        <f>SUM(F409:I409)</f>
        <v/>
      </c>
      <c r="K409" s="4" t="inlineStr">
        <is>
          <t>円弧→円は稀な作業</t>
        </is>
      </c>
      <c r="L409" s="3" t="inlineStr"/>
      <c r="M409" s="3" t="inlineStr">
        <is>
          <t>draftsperson.net</t>
        </is>
      </c>
      <c r="N409" s="6" t="inlineStr">
        <is>
          <t>開く</t>
        </is>
      </c>
    </row>
    <row r="410">
      <c r="A410" s="2">
        <f>RANK(J410,$J$2:$J$697)</f>
        <v/>
      </c>
      <c r="B410" s="3" t="inlineStr">
        <is>
          <t>ブロック・属性</t>
        </is>
      </c>
      <c r="C410" s="3" t="inlineStr">
        <is>
          <t>-</t>
        </is>
      </c>
      <c r="D410" s="4" t="inlineStr">
        <is>
          <t>Block Report (blkrpt.zip)</t>
        </is>
      </c>
      <c r="E410" s="4" t="inlineStr">
        <is>
          <t>ブロック挿入数をレポート</t>
        </is>
      </c>
      <c r="F410" s="2" t="n">
        <v>5</v>
      </c>
      <c r="G410" s="2" t="n">
        <v>5</v>
      </c>
      <c r="H410" s="2" t="n">
        <v>10</v>
      </c>
      <c r="I410" s="2" t="n">
        <v>15</v>
      </c>
      <c r="J410" s="5">
        <f>SUM(F410:I410)</f>
        <v/>
      </c>
      <c r="K410" s="4" t="inlineStr">
        <is>
          <t>COUNT/BCOUNTで代替可</t>
        </is>
      </c>
      <c r="L410" s="3" t="inlineStr"/>
      <c r="M410" s="3" t="inlineStr">
        <is>
          <t>draftsperson.net</t>
        </is>
      </c>
      <c r="N410" s="6" t="inlineStr">
        <is>
          <t>開く</t>
        </is>
      </c>
    </row>
    <row r="411">
      <c r="A411" s="2">
        <f>RANK(J411,$J$2:$J$697)</f>
        <v/>
      </c>
      <c r="B411" s="3" t="inlineStr">
        <is>
          <t>その他</t>
        </is>
      </c>
      <c r="C411" s="3" t="inlineStr">
        <is>
          <t>-</t>
        </is>
      </c>
      <c r="D411" s="4" t="inlineStr">
        <is>
          <t>BR Tools X (Brtoolsx.lsp)</t>
        </is>
      </c>
      <c r="E411" s="4" t="inlineStr">
        <is>
          <t>文字・点・切断などのツール集</t>
        </is>
      </c>
      <c r="F411" s="2" t="n">
        <v>8</v>
      </c>
      <c r="G411" s="2" t="n">
        <v>6</v>
      </c>
      <c r="H411" s="2" t="n">
        <v>9</v>
      </c>
      <c r="I411" s="2" t="n">
        <v>12</v>
      </c>
      <c r="J411" s="5">
        <f>SUM(F411:I411)</f>
        <v/>
      </c>
      <c r="K411" s="4" t="inlineStr">
        <is>
          <t>旧式ツール集</t>
        </is>
      </c>
      <c r="L411" s="3" t="inlineStr"/>
      <c r="M411" s="3" t="inlineStr">
        <is>
          <t>draftsperson.net</t>
        </is>
      </c>
      <c r="N411" s="6" t="inlineStr">
        <is>
          <t>開く</t>
        </is>
      </c>
    </row>
    <row r="412">
      <c r="A412" s="2">
        <f>RANK(J412,$J$2:$J$697)</f>
        <v/>
      </c>
      <c r="B412" s="3" t="inlineStr">
        <is>
          <t>作図</t>
        </is>
      </c>
      <c r="C412" s="3" t="inlineStr">
        <is>
          <t>CLD</t>
        </is>
      </c>
      <c r="D412" s="4" t="inlineStr">
        <is>
          <t>CenterlineDraw.lsp</t>
        </is>
      </c>
      <c r="E412" s="4" t="inlineStr">
        <is>
          <t>2線間に中心線を作図</t>
        </is>
      </c>
      <c r="F412" s="2" t="n">
        <v>5</v>
      </c>
      <c r="G412" s="2" t="n">
        <v>6</v>
      </c>
      <c r="H412" s="2" t="n">
        <v>9</v>
      </c>
      <c r="I412" s="2" t="n">
        <v>15</v>
      </c>
      <c r="J412" s="5">
        <f>SUM(F412:I412)</f>
        <v/>
      </c>
      <c r="K412" s="4" t="inlineStr">
        <is>
          <t>標準CENTERLINEで代替</t>
        </is>
      </c>
      <c r="L412" s="3" t="inlineStr">
        <is>
          <t>CADAuthority</t>
        </is>
      </c>
      <c r="M412" s="3" t="inlineStr">
        <is>
          <t>CAD Authority</t>
        </is>
      </c>
      <c r="N412" s="6" t="inlineStr">
        <is>
          <t>開く</t>
        </is>
      </c>
    </row>
    <row r="413">
      <c r="A413" s="2">
        <f>RANK(J413,$J$2:$J$697)</f>
        <v/>
      </c>
      <c r="B413" s="3" t="inlineStr">
        <is>
          <t>LISP開発用の部品</t>
        </is>
      </c>
      <c r="C413" s="3" t="inlineStr">
        <is>
          <t>-</t>
        </is>
      </c>
      <c r="D413" s="4" t="inlineStr">
        <is>
          <t>Consistent rtos</t>
        </is>
      </c>
      <c r="E413" s="4" t="inlineStr">
        <is>
          <t>実数文字列変換関数</t>
        </is>
      </c>
      <c r="F413" s="2" t="n">
        <v>13</v>
      </c>
      <c r="G413" s="2" t="n">
        <v>11</v>
      </c>
      <c r="H413" s="2" t="n">
        <v>4</v>
      </c>
      <c r="I413" s="2" t="n">
        <v>7</v>
      </c>
      <c r="J413" s="5">
        <f>SUM(F413:I413)</f>
        <v/>
      </c>
      <c r="K413" s="4" t="inlineStr">
        <is>
          <t>DIMZIN影響を回避</t>
        </is>
      </c>
      <c r="L413" s="3" t="inlineStr">
        <is>
          <t>Lee Mac</t>
        </is>
      </c>
      <c r="M413" s="3" t="inlineStr">
        <is>
          <t>Lee Mac Programming</t>
        </is>
      </c>
      <c r="N413" s="6" t="inlineStr">
        <is>
          <t>開く</t>
        </is>
      </c>
    </row>
    <row r="414">
      <c r="A414" s="2">
        <f>RANK(J414,$J$2:$J$697)</f>
        <v/>
      </c>
      <c r="B414" s="3" t="inlineStr">
        <is>
          <t>LISP開発用の部品</t>
        </is>
      </c>
      <c r="C414" s="3" t="inlineStr">
        <is>
          <t>CREATOR</t>
        </is>
      </c>
      <c r="D414" s="4" t="inlineStr">
        <is>
          <t>CREATOR</t>
        </is>
      </c>
      <c r="E414" s="4" t="inlineStr">
        <is>
          <t>LISPプログラムを自動生成</t>
        </is>
      </c>
      <c r="F414" s="2" t="n">
        <v>12</v>
      </c>
      <c r="G414" s="2" t="n">
        <v>12</v>
      </c>
      <c r="H414" s="2" t="n">
        <v>6</v>
      </c>
      <c r="I414" s="2" t="n">
        <v>5</v>
      </c>
      <c r="J414" s="5">
        <f>SUM(F414:I414)</f>
        <v/>
      </c>
      <c r="K414" s="4" t="inlineStr">
        <is>
          <t>LISPを自動生成</t>
        </is>
      </c>
      <c r="L414" s="3" t="inlineStr">
        <is>
          <t>Jeffery P. Sanders</t>
        </is>
      </c>
      <c r="M414" s="3" t="inlineStr">
        <is>
          <t>JefferyPSanders.com</t>
        </is>
      </c>
      <c r="N414" s="6" t="inlineStr">
        <is>
          <t>開く</t>
        </is>
      </c>
    </row>
    <row r="415">
      <c r="A415" s="2">
        <f>RANK(J415,$J$2:$J$697)</f>
        <v/>
      </c>
      <c r="B415" s="3" t="inlineStr">
        <is>
          <t>ハッチ・面積・長さ集計</t>
        </is>
      </c>
      <c r="C415" s="3" t="inlineStr">
        <is>
          <t>-</t>
        </is>
      </c>
      <c r="D415" s="4" t="inlineStr">
        <is>
          <t>Cumulative Distance (cumdist.lsp)</t>
        </is>
      </c>
      <c r="E415" s="4" t="inlineStr">
        <is>
          <t>複数点の累積距離を計測</t>
        </is>
      </c>
      <c r="F415" s="2" t="n">
        <v>9</v>
      </c>
      <c r="G415" s="2" t="n">
        <v>5</v>
      </c>
      <c r="H415" s="2" t="n">
        <v>8</v>
      </c>
      <c r="I415" s="2" t="n">
        <v>13</v>
      </c>
      <c r="J415" s="5">
        <f>SUM(F415:I415)</f>
        <v/>
      </c>
      <c r="K415" s="4" t="inlineStr">
        <is>
          <t>標準測定で累積距離可能</t>
        </is>
      </c>
      <c r="L415" s="3" t="inlineStr"/>
      <c r="M415" s="3" t="inlineStr">
        <is>
          <t>draftsperson.net</t>
        </is>
      </c>
      <c r="N415" s="6" t="inlineStr">
        <is>
          <t>開く</t>
        </is>
      </c>
    </row>
    <row r="416">
      <c r="A416" s="2">
        <f>RANK(J416,$J$2:$J$697)</f>
        <v/>
      </c>
      <c r="B416" s="3" t="inlineStr">
        <is>
          <t>LISP開発用の部品</t>
        </is>
      </c>
      <c r="C416" s="3" t="inlineStr">
        <is>
          <t>(DWGVer) (DWGtoACAD)</t>
        </is>
      </c>
      <c r="D416" s="4" t="inlineStr">
        <is>
          <t>DWGVER.LSP</t>
        </is>
      </c>
      <c r="E416" s="4" t="inlineStr">
        <is>
          <t>DWGファイルのバージョン判定</t>
        </is>
      </c>
      <c r="F416" s="2" t="n">
        <v>14</v>
      </c>
      <c r="G416" s="2" t="n">
        <v>10</v>
      </c>
      <c r="H416" s="2" t="n">
        <v>5</v>
      </c>
      <c r="I416" s="2" t="n">
        <v>6</v>
      </c>
      <c r="J416" s="5">
        <f>SUM(F416:I416)</f>
        <v/>
      </c>
      <c r="K416" s="4" t="inlineStr">
        <is>
          <t>DWG版をファイルから判定</t>
        </is>
      </c>
      <c r="L416" s="3" t="inlineStr">
        <is>
          <t>Owen Wengerd (ManuSoft)</t>
        </is>
      </c>
      <c r="M416" s="3" t="inlineStr">
        <is>
          <t>ManuSoft</t>
        </is>
      </c>
      <c r="N416" s="6" t="inlineStr">
        <is>
          <t>開く</t>
        </is>
      </c>
    </row>
    <row r="417">
      <c r="A417" s="2">
        <f>RANK(J417,$J$2:$J$697)</f>
        <v/>
      </c>
      <c r="B417" s="3" t="inlineStr">
        <is>
          <t>LISP開発用の部品</t>
        </is>
      </c>
      <c r="C417" s="3" t="inlineStr">
        <is>
          <t>-</t>
        </is>
      </c>
      <c r="D417" s="4" t="inlineStr">
        <is>
          <t>Escape Wildcards</t>
        </is>
      </c>
      <c r="E417" s="4" t="inlineStr">
        <is>
          <t>ワイルドカードエスケープ関数</t>
        </is>
      </c>
      <c r="F417" s="2" t="n">
        <v>13</v>
      </c>
      <c r="G417" s="2" t="n">
        <v>11</v>
      </c>
      <c r="H417" s="2" t="n">
        <v>4</v>
      </c>
      <c r="I417" s="2" t="n">
        <v>7</v>
      </c>
      <c r="J417" s="5">
        <f>SUM(F417:I417)</f>
        <v/>
      </c>
      <c r="K417" s="4" t="inlineStr">
        <is>
          <t>wcmatch特殊文字対策</t>
        </is>
      </c>
      <c r="L417" s="3" t="inlineStr">
        <is>
          <t>Lee Mac</t>
        </is>
      </c>
      <c r="M417" s="3" t="inlineStr">
        <is>
          <t>Lee Mac Programming</t>
        </is>
      </c>
      <c r="N417" s="6" t="inlineStr">
        <is>
          <t>開く</t>
        </is>
      </c>
    </row>
    <row r="418">
      <c r="A418" s="2">
        <f>RANK(J418,$J$2:$J$697)</f>
        <v/>
      </c>
      <c r="B418" s="3" t="inlineStr">
        <is>
          <t>ハッチ・面積・長さ集計</t>
        </is>
      </c>
      <c r="C418" s="3" t="inlineStr">
        <is>
          <t>GA</t>
        </is>
      </c>
      <c r="D418" s="4" t="inlineStr">
        <is>
          <t>GA</t>
        </is>
      </c>
      <c r="E418" s="4" t="inlineStr">
        <is>
          <t>内部指定で面積・周長を取得</t>
        </is>
      </c>
      <c r="F418" s="2" t="n">
        <v>8</v>
      </c>
      <c r="G418" s="2" t="n">
        <v>5</v>
      </c>
      <c r="H418" s="2" t="n">
        <v>8</v>
      </c>
      <c r="I418" s="2" t="n">
        <v>14</v>
      </c>
      <c r="J418" s="5">
        <f>SUM(F418:I418)</f>
        <v/>
      </c>
      <c r="K418" s="4" t="inlineStr">
        <is>
          <t>標準MEASUREGEOM面積で可</t>
        </is>
      </c>
      <c r="L418" s="3" t="inlineStr">
        <is>
          <t>Jeffery P. Sanders</t>
        </is>
      </c>
      <c r="M418" s="3" t="inlineStr">
        <is>
          <t>JefferyPSanders.com</t>
        </is>
      </c>
      <c r="N418" s="6" t="inlineStr">
        <is>
          <t>開く</t>
        </is>
      </c>
    </row>
    <row r="419">
      <c r="A419" s="2">
        <f>RANK(J419,$J$2:$J$697)</f>
        <v/>
      </c>
      <c r="B419" s="3" t="inlineStr">
        <is>
          <t>LISP開発用の部品</t>
        </is>
      </c>
      <c r="C419" s="3" t="inlineStr">
        <is>
          <t>-</t>
        </is>
      </c>
      <c r="D419" s="4" t="inlineStr">
        <is>
          <t>Get Custom Commands</t>
        </is>
      </c>
      <c r="E419" s="4" t="inlineStr">
        <is>
          <t>カスタムコマンド取得関数</t>
        </is>
      </c>
      <c r="F419" s="2" t="n">
        <v>13</v>
      </c>
      <c r="G419" s="2" t="n">
        <v>12</v>
      </c>
      <c r="H419" s="2" t="n">
        <v>4</v>
      </c>
      <c r="I419" s="2" t="n">
        <v>6</v>
      </c>
      <c r="J419" s="5">
        <f>SUM(F419:I419)</f>
        <v/>
      </c>
      <c r="K419" s="4" t="inlineStr">
        <is>
          <t>定義済コマンド一覧</t>
        </is>
      </c>
      <c r="L419" s="3" t="inlineStr">
        <is>
          <t>Lee Mac</t>
        </is>
      </c>
      <c r="M419" s="3" t="inlineStr">
        <is>
          <t>Lee Mac Programming</t>
        </is>
      </c>
      <c r="N419" s="6" t="inlineStr">
        <is>
          <t>開く</t>
        </is>
      </c>
    </row>
    <row r="420">
      <c r="A420" s="2">
        <f>RANK(J420,$J$2:$J$697)</f>
        <v/>
      </c>
      <c r="B420" s="3" t="inlineStr">
        <is>
          <t>その他</t>
        </is>
      </c>
      <c r="C420" s="3" t="inlineStr">
        <is>
          <t>-</t>
        </is>
      </c>
      <c r="D420" s="4" t="inlineStr">
        <is>
          <t>Grab Bag (grabbag.zip)</t>
        </is>
      </c>
      <c r="E420" s="4" t="inlineStr">
        <is>
          <t>画層・文字・ブロック等ツール集</t>
        </is>
      </c>
      <c r="F420" s="2" t="n">
        <v>7</v>
      </c>
      <c r="G420" s="2" t="n">
        <v>6</v>
      </c>
      <c r="H420" s="2" t="n">
        <v>9</v>
      </c>
      <c r="I420" s="2" t="n">
        <v>13</v>
      </c>
      <c r="J420" s="5">
        <f>SUM(F420:I420)</f>
        <v/>
      </c>
      <c r="K420" s="4" t="inlineStr">
        <is>
          <t>旧式ツール集</t>
        </is>
      </c>
      <c r="L420" s="3" t="inlineStr"/>
      <c r="M420" s="3" t="inlineStr">
        <is>
          <t>draftsperson.net</t>
        </is>
      </c>
      <c r="N420" s="6" t="inlineStr">
        <is>
          <t>開く</t>
        </is>
      </c>
    </row>
    <row r="421">
      <c r="A421" s="2">
        <f>RANK(J421,$J$2:$J$697)</f>
        <v/>
      </c>
      <c r="B421" s="3" t="inlineStr">
        <is>
          <t>画層</t>
        </is>
      </c>
      <c r="C421" s="3" t="inlineStr">
        <is>
          <t>llfp</t>
        </is>
      </c>
      <c r="D421" s="4" t="inlineStr">
        <is>
          <t>layer-list.LSP</t>
        </is>
      </c>
      <c r="E421" s="4" t="inlineStr">
        <is>
          <t>画層一覧をファイル出力</t>
        </is>
      </c>
      <c r="F421" s="2" t="n">
        <v>10</v>
      </c>
      <c r="G421" s="2" t="n">
        <v>5</v>
      </c>
      <c r="H421" s="2" t="n">
        <v>6</v>
      </c>
      <c r="I421" s="2" t="n">
        <v>14</v>
      </c>
      <c r="J421" s="5">
        <f>SUM(F421:I421)</f>
        <v/>
      </c>
      <c r="K421" s="4" t="inlineStr">
        <is>
          <t>画層一覧出力、ダイアログは不可</t>
        </is>
      </c>
      <c r="L421" s="3" t="inlineStr">
        <is>
          <t>JTB World (Jimmy Bergmark)</t>
        </is>
      </c>
      <c r="M421" s="3" t="inlineStr">
        <is>
          <t>JTB World</t>
        </is>
      </c>
      <c r="N421" s="6" t="inlineStr">
        <is>
          <t>開く</t>
        </is>
      </c>
    </row>
    <row r="422">
      <c r="A422" s="2">
        <f>RANK(J422,$J$2:$J$697)</f>
        <v/>
      </c>
      <c r="B422" s="3" t="inlineStr">
        <is>
          <t>ブロック・属性</t>
        </is>
      </c>
      <c r="C422" s="3" t="inlineStr">
        <is>
          <t>LIBRARY</t>
        </is>
      </c>
      <c r="D422" s="4" t="inlineStr">
        <is>
          <t>LIBRARY</t>
        </is>
      </c>
      <c r="E422" s="4" t="inlineStr">
        <is>
          <t>スライド付ブロックライブラリ</t>
        </is>
      </c>
      <c r="F422" s="2" t="n">
        <v>5</v>
      </c>
      <c r="G422" s="2" t="n">
        <v>6</v>
      </c>
      <c r="H422" s="2" t="n">
        <v>9</v>
      </c>
      <c r="I422" s="2" t="n">
        <v>15</v>
      </c>
      <c r="J422" s="5">
        <f>SUM(F422:I422)</f>
        <v/>
      </c>
      <c r="K422" s="4" t="inlineStr">
        <is>
          <t>標準ブロックパレットで代替</t>
        </is>
      </c>
      <c r="L422" s="3" t="inlineStr">
        <is>
          <t>Jeffery P. Sanders</t>
        </is>
      </c>
      <c r="M422" s="3" t="inlineStr">
        <is>
          <t>JefferyPSanders.com</t>
        </is>
      </c>
      <c r="N422" s="6" t="inlineStr">
        <is>
          <t>開く</t>
        </is>
      </c>
    </row>
    <row r="423">
      <c r="A423" s="2">
        <f>RANK(J423,$J$2:$J$697)</f>
        <v/>
      </c>
      <c r="B423" s="3" t="inlineStr">
        <is>
          <t>選択・絞り込み</t>
        </is>
      </c>
      <c r="C423" s="3" t="inlineStr">
        <is>
          <t>OBJCNT</t>
        </is>
      </c>
      <c r="D423" s="4" t="inlineStr">
        <is>
          <t>ObjectCounter.lsp</t>
        </is>
      </c>
      <c r="E423" s="4" t="inlineStr">
        <is>
          <t>範囲内の図形数をレポート</t>
        </is>
      </c>
      <c r="F423" s="2" t="n">
        <v>8</v>
      </c>
      <c r="G423" s="2" t="n">
        <v>7</v>
      </c>
      <c r="H423" s="2" t="n">
        <v>6</v>
      </c>
      <c r="I423" s="2" t="n">
        <v>14</v>
      </c>
      <c r="J423" s="5">
        <f>SUM(F423:I423)</f>
        <v/>
      </c>
      <c r="K423" s="4" t="inlineStr">
        <is>
          <t>QSELECT/COUNTで概ね代替</t>
        </is>
      </c>
      <c r="L423" s="3" t="inlineStr">
        <is>
          <t>CADAuthority</t>
        </is>
      </c>
      <c r="M423" s="3" t="inlineStr">
        <is>
          <t>CAD Authority</t>
        </is>
      </c>
      <c r="N423" s="6" t="inlineStr">
        <is>
          <t>開く</t>
        </is>
      </c>
    </row>
    <row r="424">
      <c r="A424" s="2">
        <f>RANK(J424,$J$2:$J$697)</f>
        <v/>
      </c>
      <c r="B424" s="3" t="inlineStr">
        <is>
          <t>線・ポリライン編集</t>
        </is>
      </c>
      <c r="C424" s="3" t="inlineStr">
        <is>
          <t>jf / pljoinfuzz</t>
        </is>
      </c>
      <c r="D424" s="4" t="inlineStr">
        <is>
          <t>pljoinfuzz.lsp</t>
        </is>
      </c>
      <c r="E424" s="4" t="inlineStr">
        <is>
          <t>許容差付きで線を結合</t>
        </is>
      </c>
      <c r="F424" s="2" t="n">
        <v>5</v>
      </c>
      <c r="G424" s="2" t="n">
        <v>7</v>
      </c>
      <c r="H424" s="2" t="n">
        <v>10</v>
      </c>
      <c r="I424" s="2" t="n">
        <v>13</v>
      </c>
      <c r="J424" s="5">
        <f>SUM(F424:I424)</f>
        <v/>
      </c>
      <c r="K424" s="4" t="inlineStr">
        <is>
          <t>PEDIT結合の許容差で可</t>
        </is>
      </c>
      <c r="L424" s="3" t="inlineStr">
        <is>
          <t>JTB World (Jimmy Bergmark)</t>
        </is>
      </c>
      <c r="M424" s="3" t="inlineStr">
        <is>
          <t>JTB World</t>
        </is>
      </c>
      <c r="N424" s="6" t="inlineStr">
        <is>
          <t>開く</t>
        </is>
      </c>
    </row>
    <row r="425">
      <c r="A425" s="2">
        <f>RANK(J425,$J$2:$J$697)</f>
        <v/>
      </c>
      <c r="B425" s="3" t="inlineStr">
        <is>
          <t>LISP開発用の部品</t>
        </is>
      </c>
      <c r="C425" s="3" t="inlineStr">
        <is>
          <t>-</t>
        </is>
      </c>
      <c r="D425" s="4" t="inlineStr">
        <is>
          <t>Read CSV</t>
        </is>
      </c>
      <c r="E425" s="4" t="inlineStr">
        <is>
          <t>CSV読込み関数</t>
        </is>
      </c>
      <c r="F425" s="2" t="n">
        <v>12</v>
      </c>
      <c r="G425" s="2" t="n">
        <v>8</v>
      </c>
      <c r="H425" s="2" t="n">
        <v>6</v>
      </c>
      <c r="I425" s="2" t="n">
        <v>9</v>
      </c>
      <c r="J425" s="5">
        <f>SUM(F425:I425)</f>
        <v/>
      </c>
      <c r="K425" s="4" t="inlineStr">
        <is>
          <t>CSV読込の定番</t>
        </is>
      </c>
      <c r="L425" s="3" t="inlineStr">
        <is>
          <t>Lee Mac</t>
        </is>
      </c>
      <c r="M425" s="3" t="inlineStr">
        <is>
          <t>Lee Mac Programming</t>
        </is>
      </c>
      <c r="N425" s="6" t="inlineStr">
        <is>
          <t>開く</t>
        </is>
      </c>
    </row>
    <row r="426">
      <c r="A426" s="2">
        <f>RANK(J426,$J$2:$J$697)</f>
        <v/>
      </c>
      <c r="B426" s="3" t="inlineStr">
        <is>
          <t>線・ポリライン編集</t>
        </is>
      </c>
      <c r="C426" s="3" t="inlineStr">
        <is>
          <t>-</t>
        </is>
      </c>
      <c r="D426" s="4" t="inlineStr">
        <is>
          <t>Rotate to Entity (Rot2ent.lsp)</t>
        </is>
      </c>
      <c r="E426" s="4" t="inlineStr">
        <is>
          <t>図形の角度に合わせて回転</t>
        </is>
      </c>
      <c r="F426" s="2" t="n">
        <v>5</v>
      </c>
      <c r="G426" s="2" t="n">
        <v>6</v>
      </c>
      <c r="H426" s="2" t="n">
        <v>9</v>
      </c>
      <c r="I426" s="2" t="n">
        <v>15</v>
      </c>
      <c r="J426" s="5">
        <f>SUM(F426:I426)</f>
        <v/>
      </c>
      <c r="K426" s="4" t="inlineStr">
        <is>
          <t>ROTATE参照で代替</t>
        </is>
      </c>
      <c r="L426" s="3" t="inlineStr"/>
      <c r="M426" s="3" t="inlineStr">
        <is>
          <t>draftsperson.net</t>
        </is>
      </c>
      <c r="N426" s="6" t="inlineStr">
        <is>
          <t>開く</t>
        </is>
      </c>
    </row>
    <row r="427">
      <c r="A427" s="2">
        <f>RANK(J427,$J$2:$J$697)</f>
        <v/>
      </c>
      <c r="B427" s="3" t="inlineStr">
        <is>
          <t>LISP開発用の部品</t>
        </is>
      </c>
      <c r="C427" s="3" t="inlineStr">
        <is>
          <t>-</t>
        </is>
      </c>
      <c r="D427" s="4" t="inlineStr">
        <is>
          <t>Select If</t>
        </is>
      </c>
      <c r="E427" s="4" t="inlineStr">
        <is>
          <t>条件付き図形選択関数</t>
        </is>
      </c>
      <c r="F427" s="2" t="n">
        <v>12</v>
      </c>
      <c r="G427" s="2" t="n">
        <v>11</v>
      </c>
      <c r="H427" s="2" t="n">
        <v>5</v>
      </c>
      <c r="I427" s="2" t="n">
        <v>7</v>
      </c>
      <c r="J427" s="5">
        <f>SUM(F427:I427)</f>
        <v/>
      </c>
      <c r="K427" s="4" t="inlineStr">
        <is>
          <t>条件式で図形選択</t>
        </is>
      </c>
      <c r="L427" s="3" t="inlineStr">
        <is>
          <t>Lee Mac</t>
        </is>
      </c>
      <c r="M427" s="3" t="inlineStr">
        <is>
          <t>Lee Mac Programming</t>
        </is>
      </c>
      <c r="N427" s="6" t="inlineStr">
        <is>
          <t>開く</t>
        </is>
      </c>
    </row>
    <row r="428">
      <c r="A428" s="2">
        <f>RANK(J428,$J$2:$J$697)</f>
        <v/>
      </c>
      <c r="B428" s="3" t="inlineStr">
        <is>
          <t>文字・テキスト</t>
        </is>
      </c>
      <c r="C428" s="3" t="inlineStr">
        <is>
          <t>Simplex</t>
        </is>
      </c>
      <c r="D428" s="4" t="inlineStr">
        <is>
          <t>Simplex</t>
        </is>
      </c>
      <c r="E428" s="4" t="inlineStr">
        <is>
          <t>ハッチ可能な中抜き文字作成</t>
        </is>
      </c>
      <c r="F428" s="2" t="n">
        <v>12</v>
      </c>
      <c r="G428" s="2" t="n">
        <v>11</v>
      </c>
      <c r="H428" s="2" t="n">
        <v>4</v>
      </c>
      <c r="I428" s="2" t="n">
        <v>8</v>
      </c>
      <c r="J428" s="5">
        <f>SUM(F428:I428)</f>
        <v/>
      </c>
      <c r="K428" s="4" t="inlineStr">
        <is>
          <t>中抜き文字は用途限定</t>
        </is>
      </c>
      <c r="L428" s="3" t="inlineStr">
        <is>
          <t>Jeffery P. Sanders</t>
        </is>
      </c>
      <c r="M428" s="3" t="inlineStr">
        <is>
          <t>JefferyPSanders.com</t>
        </is>
      </c>
      <c r="N428" s="6" t="inlineStr">
        <is>
          <t>開く</t>
        </is>
      </c>
    </row>
    <row r="429">
      <c r="A429" s="2">
        <f>RANK(J429,$J$2:$J$697)</f>
        <v/>
      </c>
      <c r="B429" s="3" t="inlineStr">
        <is>
          <t>文字・テキスト</t>
        </is>
      </c>
      <c r="C429" s="3" t="inlineStr">
        <is>
          <t>T2M</t>
        </is>
      </c>
      <c r="D429" s="4" t="inlineStr">
        <is>
          <t>TextToMtext.lsp</t>
        </is>
      </c>
      <c r="E429" s="4" t="inlineStr">
        <is>
          <t>複数文字をMTEXTに統合</t>
        </is>
      </c>
      <c r="F429" s="2" t="n">
        <v>3</v>
      </c>
      <c r="G429" s="2" t="n">
        <v>4</v>
      </c>
      <c r="H429" s="2" t="n">
        <v>8</v>
      </c>
      <c r="I429" s="2" t="n">
        <v>20</v>
      </c>
      <c r="J429" s="5">
        <f>SUM(F429:I429)</f>
        <v/>
      </c>
      <c r="K429" s="4" t="inlineStr">
        <is>
          <t>TXT2MTXTで代替可</t>
        </is>
      </c>
      <c r="L429" s="3" t="inlineStr">
        <is>
          <t>CADAuthority</t>
        </is>
      </c>
      <c r="M429" s="3" t="inlineStr">
        <is>
          <t>CAD Authority</t>
        </is>
      </c>
      <c r="N429" s="6" t="inlineStr">
        <is>
          <t>開く</t>
        </is>
      </c>
    </row>
    <row r="430">
      <c r="A430" s="2">
        <f>RANK(J430,$J$2:$J$697)</f>
        <v/>
      </c>
      <c r="B430" s="3" t="inlineStr">
        <is>
          <t>建築</t>
        </is>
      </c>
      <c r="C430" s="3" t="inlineStr">
        <is>
          <t>-</t>
        </is>
      </c>
      <c r="D430" s="4" t="inlineStr">
        <is>
          <t>Windows with Mullions (win12.rar)</t>
        </is>
      </c>
      <c r="E430" s="4" t="inlineStr">
        <is>
          <t>方立付き窓を平面に作図</t>
        </is>
      </c>
      <c r="F430" s="2" t="n">
        <v>12</v>
      </c>
      <c r="G430" s="2" t="n">
        <v>6</v>
      </c>
      <c r="H430" s="2" t="n">
        <v>9</v>
      </c>
      <c r="I430" s="2" t="n">
        <v>8</v>
      </c>
      <c r="J430" s="5">
        <f>SUM(F430:I430)</f>
        <v/>
      </c>
      <c r="K430" s="4" t="inlineStr">
        <is>
          <t>窓ブロックで代替可</t>
        </is>
      </c>
      <c r="L430" s="3" t="inlineStr"/>
      <c r="M430" s="3" t="inlineStr">
        <is>
          <t>draftsperson.net</t>
        </is>
      </c>
      <c r="N430" s="6" t="inlineStr">
        <is>
          <t>開く</t>
        </is>
      </c>
    </row>
    <row r="431">
      <c r="A431" s="2">
        <f>RANK(J431,$J$2:$J$697)</f>
        <v/>
      </c>
      <c r="B431" s="3" t="inlineStr">
        <is>
          <t>LISP開発用の部品</t>
        </is>
      </c>
      <c r="C431" s="3" t="inlineStr">
        <is>
          <t>-</t>
        </is>
      </c>
      <c r="D431" s="4" t="inlineStr">
        <is>
          <t>Write CSV</t>
        </is>
      </c>
      <c r="E431" s="4" t="inlineStr">
        <is>
          <t>CSV書出し関数</t>
        </is>
      </c>
      <c r="F431" s="2" t="n">
        <v>12</v>
      </c>
      <c r="G431" s="2" t="n">
        <v>8</v>
      </c>
      <c r="H431" s="2" t="n">
        <v>6</v>
      </c>
      <c r="I431" s="2" t="n">
        <v>9</v>
      </c>
      <c r="J431" s="5">
        <f>SUM(F431:I431)</f>
        <v/>
      </c>
      <c r="K431" s="4" t="inlineStr">
        <is>
          <t>CSV書出しの定番</t>
        </is>
      </c>
      <c r="L431" s="3" t="inlineStr">
        <is>
          <t>Lee Mac</t>
        </is>
      </c>
      <c r="M431" s="3" t="inlineStr">
        <is>
          <t>Lee Mac Programming</t>
        </is>
      </c>
      <c r="N431" s="6" t="inlineStr">
        <is>
          <t>開く</t>
        </is>
      </c>
    </row>
    <row r="432">
      <c r="A432" s="2">
        <f>RANK(J432,$J$2:$J$697)</f>
        <v/>
      </c>
      <c r="B432" s="3" t="inlineStr">
        <is>
          <t>その他</t>
        </is>
      </c>
      <c r="C432" s="3" t="inlineStr">
        <is>
          <t>-</t>
        </is>
      </c>
      <c r="D432" s="4" t="inlineStr">
        <is>
          <t>Best of Lisp (Best Of Lisp.rar)</t>
        </is>
      </c>
      <c r="E432" s="4" t="inlineStr">
        <is>
          <t>便利LISP13本集</t>
        </is>
      </c>
      <c r="F432" s="2" t="n">
        <v>7</v>
      </c>
      <c r="G432" s="2" t="n">
        <v>6</v>
      </c>
      <c r="H432" s="2" t="n">
        <v>9</v>
      </c>
      <c r="I432" s="2" t="n">
        <v>12</v>
      </c>
      <c r="J432" s="5">
        <f>SUM(F432:I432)</f>
        <v/>
      </c>
      <c r="K432" s="4" t="inlineStr">
        <is>
          <t>旧式ルーチン詰合せ</t>
        </is>
      </c>
      <c r="L432" s="3" t="inlineStr"/>
      <c r="M432" s="3" t="inlineStr">
        <is>
          <t>draftsperson.net</t>
        </is>
      </c>
      <c r="N432" s="6" t="inlineStr">
        <is>
          <t>開く</t>
        </is>
      </c>
    </row>
    <row r="433">
      <c r="A433" s="2">
        <f>RANK(J433,$J$2:$J$697)</f>
        <v/>
      </c>
      <c r="B433" s="3" t="inlineStr">
        <is>
          <t>線・ポリライン編集</t>
        </is>
      </c>
      <c r="C433" s="3" t="inlineStr">
        <is>
          <t>-</t>
        </is>
      </c>
      <c r="D433" s="4" t="inlineStr">
        <is>
          <t>Building Line (BL.LSP)</t>
        </is>
      </c>
      <c r="E433" s="4" t="inlineStr">
        <is>
          <t>角度固定のポリラインで建築線作図</t>
        </is>
      </c>
      <c r="F433" s="2" t="n">
        <v>10</v>
      </c>
      <c r="G433" s="2" t="n">
        <v>9</v>
      </c>
      <c r="H433" s="2" t="n">
        <v>8</v>
      </c>
      <c r="I433" s="2" t="n">
        <v>7</v>
      </c>
      <c r="J433" s="5">
        <f>SUM(F433:I433)</f>
        <v/>
      </c>
      <c r="K433" s="4" t="inlineStr">
        <is>
          <t>建築線用途限定</t>
        </is>
      </c>
      <c r="L433" s="3" t="inlineStr"/>
      <c r="M433" s="3" t="inlineStr">
        <is>
          <t>draftsperson.net</t>
        </is>
      </c>
      <c r="N433" s="6" t="inlineStr">
        <is>
          <t>開く</t>
        </is>
      </c>
    </row>
    <row r="434">
      <c r="A434" s="2">
        <f>RANK(J434,$J$2:$J$697)</f>
        <v/>
      </c>
      <c r="B434" s="3" t="inlineStr">
        <is>
          <t>LISP開発用の部品</t>
        </is>
      </c>
      <c r="C434" s="3" t="inlineStr">
        <is>
          <t>-</t>
        </is>
      </c>
      <c r="D434" s="4" t="inlineStr">
        <is>
          <t>Bulge Conversion Functions</t>
        </is>
      </c>
      <c r="E434" s="4" t="inlineStr">
        <is>
          <t>バルジ変換関数</t>
        </is>
      </c>
      <c r="F434" s="2" t="n">
        <v>12</v>
      </c>
      <c r="G434" s="2" t="n">
        <v>9</v>
      </c>
      <c r="H434" s="2" t="n">
        <v>5</v>
      </c>
      <c r="I434" s="2" t="n">
        <v>8</v>
      </c>
      <c r="J434" s="5">
        <f>SUM(F434:I434)</f>
        <v/>
      </c>
      <c r="K434" s="4" t="inlineStr">
        <is>
          <t>バルジ計算の定番</t>
        </is>
      </c>
      <c r="L434" s="3" t="inlineStr">
        <is>
          <t>Lee Mac</t>
        </is>
      </c>
      <c r="M434" s="3" t="inlineStr">
        <is>
          <t>Lee Mac Programming</t>
        </is>
      </c>
      <c r="N434" s="6" t="inlineStr">
        <is>
          <t>開く</t>
        </is>
      </c>
    </row>
    <row r="435">
      <c r="A435" s="2">
        <f>RANK(J435,$J$2:$J$697)</f>
        <v/>
      </c>
      <c r="B435" s="3" t="inlineStr">
        <is>
          <t>建築</t>
        </is>
      </c>
      <c r="C435" s="3" t="inlineStr">
        <is>
          <t>-</t>
        </is>
      </c>
      <c r="D435" s="4" t="inlineStr">
        <is>
          <t>Casement Window (casement.zip)</t>
        </is>
      </c>
      <c r="E435" s="4" t="inlineStr">
        <is>
          <t>開き窓を作図</t>
        </is>
      </c>
      <c r="F435" s="2" t="n">
        <v>11</v>
      </c>
      <c r="G435" s="2" t="n">
        <v>5</v>
      </c>
      <c r="H435" s="2" t="n">
        <v>9</v>
      </c>
      <c r="I435" s="2" t="n">
        <v>9</v>
      </c>
      <c r="J435" s="5">
        <f>SUM(F435:I435)</f>
        <v/>
      </c>
      <c r="K435" s="4" t="inlineStr">
        <is>
          <t>動的ブロックで代替可</t>
        </is>
      </c>
      <c r="L435" s="3" t="inlineStr"/>
      <c r="M435" s="3" t="inlineStr">
        <is>
          <t>draftsperson.net</t>
        </is>
      </c>
      <c r="N435" s="6" t="inlineStr">
        <is>
          <t>開く</t>
        </is>
      </c>
    </row>
    <row r="436">
      <c r="A436" s="2">
        <f>RANK(J436,$J$2:$J$697)</f>
        <v/>
      </c>
      <c r="B436" s="3" t="inlineStr">
        <is>
          <t>文字・テキスト</t>
        </is>
      </c>
      <c r="C436" s="3" t="inlineStr">
        <is>
          <t>-</t>
        </is>
      </c>
      <c r="D436" s="4" t="inlineStr">
        <is>
          <t>Copy and Change Text (ct.lsp)</t>
        </is>
      </c>
      <c r="E436" s="4" t="inlineStr">
        <is>
          <t>文字を複写して内容を変更</t>
        </is>
      </c>
      <c r="F436" s="2" t="n">
        <v>6</v>
      </c>
      <c r="G436" s="2" t="n">
        <v>5</v>
      </c>
      <c r="H436" s="2" t="n">
        <v>7</v>
      </c>
      <c r="I436" s="2" t="n">
        <v>16</v>
      </c>
      <c r="J436" s="5">
        <f>SUM(F436:I436)</f>
        <v/>
      </c>
      <c r="K436" s="4" t="inlineStr">
        <is>
          <t>コピー後編集で十分</t>
        </is>
      </c>
      <c r="L436" s="3" t="inlineStr"/>
      <c r="M436" s="3" t="inlineStr">
        <is>
          <t>draftsperson.net</t>
        </is>
      </c>
      <c r="N436" s="6" t="inlineStr">
        <is>
          <t>開く</t>
        </is>
      </c>
    </row>
    <row r="437">
      <c r="A437" s="2">
        <f>RANK(J437,$J$2:$J$697)</f>
        <v/>
      </c>
      <c r="B437" s="3" t="inlineStr">
        <is>
          <t>LISP開発用の部品</t>
        </is>
      </c>
      <c r="C437" s="3" t="inlineStr">
        <is>
          <t>-</t>
        </is>
      </c>
      <c r="D437" s="4" t="inlineStr">
        <is>
          <t>DCL List Tile Dependency</t>
        </is>
      </c>
      <c r="E437" s="4" t="inlineStr">
        <is>
          <t>DCLリスト連動関数</t>
        </is>
      </c>
      <c r="F437" s="2" t="n">
        <v>13</v>
      </c>
      <c r="G437" s="2" t="n">
        <v>11</v>
      </c>
      <c r="H437" s="2" t="n">
        <v>4</v>
      </c>
      <c r="I437" s="2" t="n">
        <v>6</v>
      </c>
      <c r="J437" s="5">
        <f>SUM(F437:I437)</f>
        <v/>
      </c>
      <c r="K437" s="4" t="inlineStr">
        <is>
          <t>DCLリスト連動</t>
        </is>
      </c>
      <c r="L437" s="3" t="inlineStr">
        <is>
          <t>Lee Mac</t>
        </is>
      </c>
      <c r="M437" s="3" t="inlineStr">
        <is>
          <t>Lee Mac Programming</t>
        </is>
      </c>
      <c r="N437" s="6" t="inlineStr">
        <is>
          <t>開く</t>
        </is>
      </c>
    </row>
    <row r="438">
      <c r="A438" s="2">
        <f>RANK(J438,$J$2:$J$697)</f>
        <v/>
      </c>
      <c r="B438" s="3" t="inlineStr">
        <is>
          <t>その他</t>
        </is>
      </c>
      <c r="C438" s="3" t="inlineStr">
        <is>
          <t>-</t>
        </is>
      </c>
      <c r="D438" s="4" t="inlineStr">
        <is>
          <t>Drafting Tools (tools.zip)</t>
        </is>
      </c>
      <c r="E438" s="4" t="inlineStr">
        <is>
          <t>寸法・文字等の作図ツール集</t>
        </is>
      </c>
      <c r="F438" s="2" t="n">
        <v>7</v>
      </c>
      <c r="G438" s="2" t="n">
        <v>6</v>
      </c>
      <c r="H438" s="2" t="n">
        <v>9</v>
      </c>
      <c r="I438" s="2" t="n">
        <v>12</v>
      </c>
      <c r="J438" s="5">
        <f>SUM(F438:I438)</f>
        <v/>
      </c>
      <c r="K438" s="4" t="inlineStr">
        <is>
          <t>旧式ツール集</t>
        </is>
      </c>
      <c r="L438" s="3" t="inlineStr"/>
      <c r="M438" s="3" t="inlineStr">
        <is>
          <t>draftsperson.net</t>
        </is>
      </c>
      <c r="N438" s="6" t="inlineStr">
        <is>
          <t>開く</t>
        </is>
      </c>
    </row>
    <row r="439">
      <c r="A439" s="2">
        <f>RANK(J439,$J$2:$J$697)</f>
        <v/>
      </c>
      <c r="B439" s="3" t="inlineStr">
        <is>
          <t>LISP開発用の部品</t>
        </is>
      </c>
      <c r="C439" s="3" t="inlineStr">
        <is>
          <t>-</t>
        </is>
      </c>
      <c r="D439" s="4" t="inlineStr">
        <is>
          <t>Drawing Version</t>
        </is>
      </c>
      <c r="E439" s="4" t="inlineStr">
        <is>
          <t>図面バージョン取得関数</t>
        </is>
      </c>
      <c r="F439" s="2" t="n">
        <v>13</v>
      </c>
      <c r="G439" s="2" t="n">
        <v>9</v>
      </c>
      <c r="H439" s="2" t="n">
        <v>5</v>
      </c>
      <c r="I439" s="2" t="n">
        <v>7</v>
      </c>
      <c r="J439" s="5">
        <f>SUM(F439:I439)</f>
        <v/>
      </c>
      <c r="K439" s="4" t="inlineStr">
        <is>
          <t>DWG版を判定</t>
        </is>
      </c>
      <c r="L439" s="3" t="inlineStr">
        <is>
          <t>Lee Mac</t>
        </is>
      </c>
      <c r="M439" s="3" t="inlineStr">
        <is>
          <t>Lee Mac Programming</t>
        </is>
      </c>
      <c r="N439" s="6" t="inlineStr">
        <is>
          <t>開く</t>
        </is>
      </c>
    </row>
    <row r="440">
      <c r="A440" s="2">
        <f>RANK(J440,$J$2:$J$697)</f>
        <v/>
      </c>
      <c r="B440" s="3" t="inlineStr">
        <is>
          <t>線・ポリライン編集</t>
        </is>
      </c>
      <c r="C440" s="3" t="inlineStr">
        <is>
          <t>-</t>
        </is>
      </c>
      <c r="D440" s="4" t="inlineStr">
        <is>
          <t>Flatten (flat.lsp)</t>
        </is>
      </c>
      <c r="E440" s="4" t="inlineStr">
        <is>
          <t>3D図形を2Dに平坦化</t>
        </is>
      </c>
      <c r="F440" s="2" t="n">
        <v>4</v>
      </c>
      <c r="G440" s="2" t="n">
        <v>4</v>
      </c>
      <c r="H440" s="2" t="n">
        <v>11</v>
      </c>
      <c r="I440" s="2" t="n">
        <v>15</v>
      </c>
      <c r="J440" s="5">
        <f>SUM(F440:I440)</f>
        <v/>
      </c>
      <c r="K440" s="4" t="inlineStr">
        <is>
          <t>標準FLATTENで代替</t>
        </is>
      </c>
      <c r="L440" s="3" t="inlineStr"/>
      <c r="M440" s="3" t="inlineStr">
        <is>
          <t>draftsperson.net</t>
        </is>
      </c>
      <c r="N440" s="6" t="inlineStr">
        <is>
          <t>開く</t>
        </is>
      </c>
    </row>
    <row r="441">
      <c r="A441" s="2">
        <f>RANK(J441,$J$2:$J$697)</f>
        <v/>
      </c>
      <c r="B441" s="3" t="inlineStr">
        <is>
          <t>線・ポリライン編集</t>
        </is>
      </c>
      <c r="C441" s="3" t="inlineStr">
        <is>
          <t>FLATZ</t>
        </is>
      </c>
      <c r="D441" s="4" t="inlineStr">
        <is>
          <t>FlattenZ.lsp</t>
        </is>
      </c>
      <c r="E441" s="4" t="inlineStr">
        <is>
          <t>Z座標を0にして2D化</t>
        </is>
      </c>
      <c r="F441" s="2" t="n">
        <v>4</v>
      </c>
      <c r="G441" s="2" t="n">
        <v>4</v>
      </c>
      <c r="H441" s="2" t="n">
        <v>11</v>
      </c>
      <c r="I441" s="2" t="n">
        <v>15</v>
      </c>
      <c r="J441" s="5">
        <f>SUM(F441:I441)</f>
        <v/>
      </c>
      <c r="K441" s="4" t="inlineStr">
        <is>
          <t>標準FLATTENで代替</t>
        </is>
      </c>
      <c r="L441" s="3" t="inlineStr">
        <is>
          <t>CADAuthority</t>
        </is>
      </c>
      <c r="M441" s="3" t="inlineStr">
        <is>
          <t>CAD Authority</t>
        </is>
      </c>
      <c r="N441" s="6" t="inlineStr">
        <is>
          <t>開く</t>
        </is>
      </c>
    </row>
    <row r="442">
      <c r="A442" s="2">
        <f>RANK(J442,$J$2:$J$697)</f>
        <v/>
      </c>
      <c r="B442" s="3" t="inlineStr">
        <is>
          <t>LISP開発用の部品</t>
        </is>
      </c>
      <c r="C442" s="3" t="inlineStr">
        <is>
          <t>ShowIcons / GetIcon / GetButtons</t>
        </is>
      </c>
      <c r="D442" s="4" t="inlineStr">
        <is>
          <t>GetIcon</t>
        </is>
      </c>
      <c r="E442" s="4" t="inlineStr">
        <is>
          <t>アイコン付メッセージダイアログ</t>
        </is>
      </c>
      <c r="F442" s="2" t="n">
        <v>13</v>
      </c>
      <c r="G442" s="2" t="n">
        <v>12</v>
      </c>
      <c r="H442" s="2" t="n">
        <v>4</v>
      </c>
      <c r="I442" s="2" t="n">
        <v>5</v>
      </c>
      <c r="J442" s="5">
        <f>SUM(F442:I442)</f>
        <v/>
      </c>
      <c r="K442" s="4" t="inlineStr">
        <is>
          <t>アイコン付き対話表示</t>
        </is>
      </c>
      <c r="L442" s="3" t="inlineStr">
        <is>
          <t>Terry Miller</t>
        </is>
      </c>
      <c r="M442" s="3" t="inlineStr">
        <is>
          <t>AutoLISP Exchange</t>
        </is>
      </c>
      <c r="N442" s="6" t="inlineStr">
        <is>
          <t>開く</t>
        </is>
      </c>
    </row>
    <row r="443">
      <c r="A443" s="2">
        <f>RANK(J443,$J$2:$J$697)</f>
        <v/>
      </c>
      <c r="B443" s="3" t="inlineStr">
        <is>
          <t>その他</t>
        </is>
      </c>
      <c r="C443" s="3" t="inlineStr">
        <is>
          <t>-</t>
        </is>
      </c>
      <c r="D443" s="4" t="inlineStr">
        <is>
          <t>Handy Lisp (handylsp.zip)</t>
        </is>
      </c>
      <c r="E443" s="4" t="inlineStr">
        <is>
          <t>便利ルーチン詰め合わせ</t>
        </is>
      </c>
      <c r="F443" s="2" t="n">
        <v>7</v>
      </c>
      <c r="G443" s="2" t="n">
        <v>6</v>
      </c>
      <c r="H443" s="2" t="n">
        <v>9</v>
      </c>
      <c r="I443" s="2" t="n">
        <v>12</v>
      </c>
      <c r="J443" s="5">
        <f>SUM(F443:I443)</f>
        <v/>
      </c>
      <c r="K443" s="4" t="inlineStr">
        <is>
          <t>旧式ルーチン詰合せ</t>
        </is>
      </c>
      <c r="L443" s="3" t="inlineStr"/>
      <c r="M443" s="3" t="inlineStr">
        <is>
          <t>draftsperson.net</t>
        </is>
      </c>
      <c r="N443" s="6" t="inlineStr">
        <is>
          <t>開く</t>
        </is>
      </c>
    </row>
    <row r="444">
      <c r="A444" s="2">
        <f>RANK(J444,$J$2:$J$697)</f>
        <v/>
      </c>
      <c r="B444" s="3" t="inlineStr">
        <is>
          <t>ハッチ・面積・長さ集計</t>
        </is>
      </c>
      <c r="C444" s="3" t="inlineStr">
        <is>
          <t>HTB</t>
        </is>
      </c>
      <c r="D444" s="4" t="inlineStr">
        <is>
          <t>HatchToBack.lsp</t>
        </is>
      </c>
      <c r="E444" s="4" t="inlineStr">
        <is>
          <t>ハッチを全て背面へ</t>
        </is>
      </c>
      <c r="F444" s="2" t="n">
        <v>6</v>
      </c>
      <c r="G444" s="2" t="n">
        <v>4</v>
      </c>
      <c r="H444" s="2" t="n">
        <v>7</v>
      </c>
      <c r="I444" s="2" t="n">
        <v>17</v>
      </c>
      <c r="J444" s="5">
        <f>SUM(F444:I444)</f>
        <v/>
      </c>
      <c r="K444" s="4" t="inlineStr">
        <is>
          <t>標準のHATCHTOBACKで代替可</t>
        </is>
      </c>
      <c r="L444" s="3" t="inlineStr">
        <is>
          <t>CADAuthority</t>
        </is>
      </c>
      <c r="M444" s="3" t="inlineStr">
        <is>
          <t>CAD Authority</t>
        </is>
      </c>
      <c r="N444" s="6" t="inlineStr">
        <is>
          <t>開く</t>
        </is>
      </c>
    </row>
    <row r="445">
      <c r="A445" s="2">
        <f>RANK(J445,$J$2:$J$697)</f>
        <v/>
      </c>
      <c r="B445" s="3" t="inlineStr">
        <is>
          <t>LISP開発用の部品</t>
        </is>
      </c>
      <c r="C445" s="3" t="inlineStr">
        <is>
          <t>-</t>
        </is>
      </c>
      <c r="D445" s="4" t="inlineStr">
        <is>
          <t>Intersection Functions</t>
        </is>
      </c>
      <c r="E445" s="4" t="inlineStr">
        <is>
          <t>交点計算関数</t>
        </is>
      </c>
      <c r="F445" s="2" t="n">
        <v>11</v>
      </c>
      <c r="G445" s="2" t="n">
        <v>10</v>
      </c>
      <c r="H445" s="2" t="n">
        <v>5</v>
      </c>
      <c r="I445" s="2" t="n">
        <v>8</v>
      </c>
      <c r="J445" s="5">
        <f>SUM(F445:I445)</f>
        <v/>
      </c>
      <c r="K445" s="4" t="inlineStr">
        <is>
          <t>IntersectWith有</t>
        </is>
      </c>
      <c r="L445" s="3" t="inlineStr">
        <is>
          <t>Lee Mac</t>
        </is>
      </c>
      <c r="M445" s="3" t="inlineStr">
        <is>
          <t>Lee Mac Programming</t>
        </is>
      </c>
      <c r="N445" s="6" t="inlineStr">
        <is>
          <t>開く</t>
        </is>
      </c>
    </row>
    <row r="446">
      <c r="A446" s="2">
        <f>RANK(J446,$J$2:$J$697)</f>
        <v/>
      </c>
      <c r="B446" s="3" t="inlineStr">
        <is>
          <t>その他</t>
        </is>
      </c>
      <c r="C446" s="3" t="inlineStr">
        <is>
          <t>-</t>
        </is>
      </c>
      <c r="D446" s="4" t="inlineStr">
        <is>
          <t>Lisp Library (library.zip)</t>
        </is>
      </c>
      <c r="E446" s="4" t="inlineStr">
        <is>
          <t>文字・ポリライン編集等ツール集</t>
        </is>
      </c>
      <c r="F446" s="2" t="n">
        <v>7</v>
      </c>
      <c r="G446" s="2" t="n">
        <v>6</v>
      </c>
      <c r="H446" s="2" t="n">
        <v>9</v>
      </c>
      <c r="I446" s="2" t="n">
        <v>12</v>
      </c>
      <c r="J446" s="5">
        <f>SUM(F446:I446)</f>
        <v/>
      </c>
      <c r="K446" s="4" t="inlineStr">
        <is>
          <t>旧式ツール集</t>
        </is>
      </c>
      <c r="L446" s="3" t="inlineStr"/>
      <c r="M446" s="3" t="inlineStr">
        <is>
          <t>draftsperson.net</t>
        </is>
      </c>
      <c r="N446" s="6" t="inlineStr">
        <is>
          <t>開く</t>
        </is>
      </c>
    </row>
    <row r="447">
      <c r="A447" s="2">
        <f>RANK(J447,$J$2:$J$697)</f>
        <v/>
      </c>
      <c r="B447" s="3" t="inlineStr">
        <is>
          <t>その他</t>
        </is>
      </c>
      <c r="C447" s="3" t="inlineStr">
        <is>
          <t>-</t>
        </is>
      </c>
      <c r="D447" s="4" t="inlineStr">
        <is>
          <t>LLP Site Lisp Collection (llpsite.rar)</t>
        </is>
      </c>
      <c r="E447" s="4" t="inlineStr">
        <is>
          <t>画層・文字・属性ツール集</t>
        </is>
      </c>
      <c r="F447" s="2" t="n">
        <v>7</v>
      </c>
      <c r="G447" s="2" t="n">
        <v>6</v>
      </c>
      <c r="H447" s="2" t="n">
        <v>9</v>
      </c>
      <c r="I447" s="2" t="n">
        <v>12</v>
      </c>
      <c r="J447" s="5">
        <f>SUM(F447:I447)</f>
        <v/>
      </c>
      <c r="K447" s="4" t="inlineStr">
        <is>
          <t>旧式ツール集</t>
        </is>
      </c>
      <c r="L447" s="3" t="inlineStr"/>
      <c r="M447" s="3" t="inlineStr">
        <is>
          <t>draftsperson.net</t>
        </is>
      </c>
      <c r="N447" s="6" t="inlineStr">
        <is>
          <t>開く</t>
        </is>
      </c>
    </row>
    <row r="448">
      <c r="A448" s="2">
        <f>RANK(J448,$J$2:$J$697)</f>
        <v/>
      </c>
      <c r="B448" s="3" t="inlineStr">
        <is>
          <t>その他</t>
        </is>
      </c>
      <c r="C448" s="3" t="inlineStr">
        <is>
          <t>-</t>
        </is>
      </c>
      <c r="D448" s="4" t="inlineStr">
        <is>
          <t>MBA Toolbar Collection (MBA.rar)</t>
        </is>
      </c>
      <c r="E448" s="4" t="inlineStr">
        <is>
          <t>汎用LISPツールバー集</t>
        </is>
      </c>
      <c r="F448" s="2" t="n">
        <v>7</v>
      </c>
      <c r="G448" s="2" t="n">
        <v>6</v>
      </c>
      <c r="H448" s="2" t="n">
        <v>9</v>
      </c>
      <c r="I448" s="2" t="n">
        <v>12</v>
      </c>
      <c r="J448" s="5">
        <f>SUM(F448:I448)</f>
        <v/>
      </c>
      <c r="K448" s="4" t="inlineStr">
        <is>
          <t>旧式ツールバー集</t>
        </is>
      </c>
      <c r="L448" s="3" t="inlineStr"/>
      <c r="M448" s="3" t="inlineStr">
        <is>
          <t>draftsperson.net</t>
        </is>
      </c>
      <c r="N448" s="6" t="inlineStr">
        <is>
          <t>開く</t>
        </is>
      </c>
    </row>
    <row r="449">
      <c r="A449" s="2">
        <f>RANK(J449,$J$2:$J$697)</f>
        <v/>
      </c>
      <c r="B449" s="3" t="inlineStr">
        <is>
          <t>LISP開発用の部品</t>
        </is>
      </c>
      <c r="C449" s="3" t="inlineStr">
        <is>
          <t>PB-Demo</t>
        </is>
      </c>
      <c r="D449" s="4" t="inlineStr">
        <is>
          <t>ProgressBar</t>
        </is>
      </c>
      <c r="E449" s="4" t="inlineStr">
        <is>
          <t>プログレスバー表示関数</t>
        </is>
      </c>
      <c r="F449" s="2" t="n">
        <v>11</v>
      </c>
      <c r="G449" s="2" t="n">
        <v>13</v>
      </c>
      <c r="H449" s="2" t="n">
        <v>4</v>
      </c>
      <c r="I449" s="2" t="n">
        <v>6</v>
      </c>
      <c r="J449" s="5">
        <f>SUM(F449:I449)</f>
        <v/>
      </c>
      <c r="K449" s="4" t="inlineStr">
        <is>
          <t>acet進捗バーで一部可</t>
        </is>
      </c>
      <c r="L449" s="3" t="inlineStr">
        <is>
          <t>Terry Miller</t>
        </is>
      </c>
      <c r="M449" s="3" t="inlineStr">
        <is>
          <t>AutoLISP Exchange</t>
        </is>
      </c>
      <c r="N449" s="6" t="inlineStr">
        <is>
          <t>開く</t>
        </is>
      </c>
    </row>
    <row r="450">
      <c r="A450" s="2">
        <f>RANK(J450,$J$2:$J$697)</f>
        <v/>
      </c>
      <c r="B450" s="3" t="inlineStr">
        <is>
          <t>その他</t>
        </is>
      </c>
      <c r="C450" s="3" t="inlineStr">
        <is>
          <t>-</t>
        </is>
      </c>
      <c r="D450" s="4" t="inlineStr">
        <is>
          <t>Rock Lisp Collection (rocklsp2.zip)</t>
        </is>
      </c>
      <c r="E450" s="4" t="inlineStr">
        <is>
          <t>ユーティリティ詰め合わせ</t>
        </is>
      </c>
      <c r="F450" s="2" t="n">
        <v>7</v>
      </c>
      <c r="G450" s="2" t="n">
        <v>6</v>
      </c>
      <c r="H450" s="2" t="n">
        <v>9</v>
      </c>
      <c r="I450" s="2" t="n">
        <v>12</v>
      </c>
      <c r="J450" s="5">
        <f>SUM(F450:I450)</f>
        <v/>
      </c>
      <c r="K450" s="4" t="inlineStr">
        <is>
          <t>旧式ルーチン詰合せ</t>
        </is>
      </c>
      <c r="L450" s="3" t="inlineStr"/>
      <c r="M450" s="3" t="inlineStr">
        <is>
          <t>draftsperson.net</t>
        </is>
      </c>
      <c r="N450" s="6" t="inlineStr">
        <is>
          <t>開く</t>
        </is>
      </c>
    </row>
    <row r="451">
      <c r="A451" s="2">
        <f>RANK(J451,$J$2:$J$697)</f>
        <v/>
      </c>
      <c r="B451" s="3" t="inlineStr">
        <is>
          <t>座標・測量・土木</t>
        </is>
      </c>
      <c r="C451" s="3" t="inlineStr">
        <is>
          <t>SLOPE</t>
        </is>
      </c>
      <c r="D451" s="4" t="inlineStr">
        <is>
          <t>SlopeCalculator.lsp</t>
        </is>
      </c>
      <c r="E451" s="4" t="inlineStr">
        <is>
          <t>2点間の勾配を計算</t>
        </is>
      </c>
      <c r="F451" s="2" t="n">
        <v>10</v>
      </c>
      <c r="G451" s="2" t="n">
        <v>6</v>
      </c>
      <c r="H451" s="2" t="n">
        <v>7</v>
      </c>
      <c r="I451" s="2" t="n">
        <v>11</v>
      </c>
      <c r="J451" s="5">
        <f>SUM(F451:I451)</f>
        <v/>
      </c>
      <c r="K451" s="4" t="inlineStr">
        <is>
          <t>2点間勾配の計算</t>
        </is>
      </c>
      <c r="L451" s="3" t="inlineStr">
        <is>
          <t>CADAuthority</t>
        </is>
      </c>
      <c r="M451" s="3" t="inlineStr">
        <is>
          <t>CAD Authority</t>
        </is>
      </c>
      <c r="N451" s="6" t="inlineStr">
        <is>
          <t>開く</t>
        </is>
      </c>
    </row>
    <row r="452">
      <c r="A452" s="2">
        <f>RANK(J452,$J$2:$J$697)</f>
        <v/>
      </c>
      <c r="B452" s="3" t="inlineStr">
        <is>
          <t>引出線・注記</t>
        </is>
      </c>
      <c r="C452" s="3" t="inlineStr">
        <is>
          <t>-</t>
        </is>
      </c>
      <c r="D452" s="4" t="inlineStr">
        <is>
          <t>Squiggly Leader (AL2.LSP)</t>
        </is>
      </c>
      <c r="E452" s="4" t="inlineStr">
        <is>
          <t>波線の引出線を作図</t>
        </is>
      </c>
      <c r="F452" s="2" t="n">
        <v>12</v>
      </c>
      <c r="G452" s="2" t="n">
        <v>10</v>
      </c>
      <c r="H452" s="2" t="n">
        <v>4</v>
      </c>
      <c r="I452" s="2" t="n">
        <v>8</v>
      </c>
      <c r="J452" s="5">
        <f>SUM(F452:I452)</f>
        <v/>
      </c>
      <c r="K452" s="4" t="inlineStr">
        <is>
          <t>波線引出線は用途限定</t>
        </is>
      </c>
      <c r="L452" s="3" t="inlineStr"/>
      <c r="M452" s="3" t="inlineStr">
        <is>
          <t>draftsperson.net</t>
        </is>
      </c>
      <c r="N452" s="6" t="inlineStr">
        <is>
          <t>開く</t>
        </is>
      </c>
    </row>
    <row r="453">
      <c r="A453" s="2">
        <f>RANK(J453,$J$2:$J$697)</f>
        <v/>
      </c>
      <c r="B453" s="3" t="inlineStr">
        <is>
          <t>構造・鉄骨・機械</t>
        </is>
      </c>
      <c r="C453" s="3" t="inlineStr">
        <is>
          <t>-</t>
        </is>
      </c>
      <c r="D453" s="4" t="inlineStr">
        <is>
          <t>Steel (STL) (stl.lsp)</t>
        </is>
      </c>
      <c r="E453" s="4" t="inlineStr">
        <is>
          <t>鋼材形状を作図</t>
        </is>
      </c>
      <c r="F453" s="2" t="n">
        <v>12</v>
      </c>
      <c r="G453" s="2" t="n">
        <v>5</v>
      </c>
      <c r="H453" s="2" t="n">
        <v>10</v>
      </c>
      <c r="I453" s="2" t="n">
        <v>7</v>
      </c>
      <c r="J453" s="5">
        <f>SUM(F453:I453)</f>
        <v/>
      </c>
      <c r="K453" s="4" t="inlineStr">
        <is>
          <t>鋼材ブロックで代替可</t>
        </is>
      </c>
      <c r="L453" s="3" t="inlineStr"/>
      <c r="M453" s="3" t="inlineStr">
        <is>
          <t>draftsperson.net</t>
        </is>
      </c>
      <c r="N453" s="6" t="inlineStr">
        <is>
          <t>開く</t>
        </is>
      </c>
    </row>
    <row r="454">
      <c r="A454" s="2">
        <f>RANK(J454,$J$2:$J$697)</f>
        <v/>
      </c>
      <c r="B454" s="3" t="inlineStr">
        <is>
          <t>構造・鉄骨・機械</t>
        </is>
      </c>
      <c r="C454" s="3" t="inlineStr">
        <is>
          <t>-</t>
        </is>
      </c>
      <c r="D454" s="4" t="inlineStr">
        <is>
          <t>Steel Shapes (Steelshapes.rar)</t>
        </is>
      </c>
      <c r="E454" s="4" t="inlineStr">
        <is>
          <t>鋼材形状を作図</t>
        </is>
      </c>
      <c r="F454" s="2" t="n">
        <v>12</v>
      </c>
      <c r="G454" s="2" t="n">
        <v>5</v>
      </c>
      <c r="H454" s="2" t="n">
        <v>10</v>
      </c>
      <c r="I454" s="2" t="n">
        <v>7</v>
      </c>
      <c r="J454" s="5">
        <f>SUM(F454:I454)</f>
        <v/>
      </c>
      <c r="K454" s="4" t="inlineStr">
        <is>
          <t>鋼材ブロックで代替可</t>
        </is>
      </c>
      <c r="L454" s="3" t="inlineStr"/>
      <c r="M454" s="3" t="inlineStr">
        <is>
          <t>draftsperson.net</t>
        </is>
      </c>
      <c r="N454" s="6" t="inlineStr">
        <is>
          <t>開く</t>
        </is>
      </c>
    </row>
    <row r="455">
      <c r="A455" s="2">
        <f>RANK(J455,$J$2:$J$697)</f>
        <v/>
      </c>
      <c r="B455" s="3" t="inlineStr">
        <is>
          <t>作図</t>
        </is>
      </c>
      <c r="C455" s="3" t="inlineStr">
        <is>
          <t>-</t>
        </is>
      </c>
      <c r="D455" s="4" t="inlineStr">
        <is>
          <t>Trigonometric Function Graphs (tgraph.zip)</t>
        </is>
      </c>
      <c r="E455" s="4" t="inlineStr">
        <is>
          <t>三角関数グラフを作図</t>
        </is>
      </c>
      <c r="F455" s="2" t="n">
        <v>17</v>
      </c>
      <c r="G455" s="2" t="n">
        <v>11</v>
      </c>
      <c r="H455" s="2" t="n">
        <v>3</v>
      </c>
      <c r="I455" s="2" t="n">
        <v>3</v>
      </c>
      <c r="J455" s="5">
        <f>SUM(F455:I455)</f>
        <v/>
      </c>
      <c r="K455" s="4" t="inlineStr">
        <is>
          <t>数学グラフは用途限定</t>
        </is>
      </c>
      <c r="L455" s="3" t="inlineStr"/>
      <c r="M455" s="3" t="inlineStr">
        <is>
          <t>draftsperson.net</t>
        </is>
      </c>
      <c r="N455" s="6" t="inlineStr">
        <is>
          <t>開く</t>
        </is>
      </c>
    </row>
    <row r="456">
      <c r="A456" s="2">
        <f>RANK(J456,$J$2:$J$697)</f>
        <v/>
      </c>
      <c r="B456" s="3" t="inlineStr">
        <is>
          <t>線・ポリライン編集</t>
        </is>
      </c>
      <c r="C456" s="3" t="inlineStr">
        <is>
          <t>-</t>
        </is>
      </c>
      <c r="D456" s="4" t="inlineStr">
        <is>
          <t>AutoPK Edit Tools (autopk.zip)</t>
        </is>
      </c>
      <c r="E456" s="4" t="inlineStr">
        <is>
          <t>図形編集コマンド集</t>
        </is>
      </c>
      <c r="F456" s="2" t="n">
        <v>7</v>
      </c>
      <c r="G456" s="2" t="n">
        <v>6</v>
      </c>
      <c r="H456" s="2" t="n">
        <v>8</v>
      </c>
      <c r="I456" s="2" t="n">
        <v>12</v>
      </c>
      <c r="J456" s="5">
        <f>SUM(F456:I456)</f>
        <v/>
      </c>
      <c r="K456" s="4" t="inlineStr">
        <is>
          <t>内容不明の編集集</t>
        </is>
      </c>
      <c r="L456" s="3" t="inlineStr"/>
      <c r="M456" s="3" t="inlineStr">
        <is>
          <t>draftsperson.net</t>
        </is>
      </c>
      <c r="N456" s="6" t="inlineStr">
        <is>
          <t>開く</t>
        </is>
      </c>
    </row>
    <row r="457">
      <c r="A457" s="2">
        <f>RANK(J457,$J$2:$J$697)</f>
        <v/>
      </c>
      <c r="B457" s="3" t="inlineStr">
        <is>
          <t>構造・鉄骨・機械</t>
        </is>
      </c>
      <c r="C457" s="3" t="inlineStr">
        <is>
          <t>-</t>
        </is>
      </c>
      <c r="D457" s="4" t="inlineStr">
        <is>
          <t>Bolt Head (bolthead.lsp)</t>
        </is>
      </c>
      <c r="E457" s="4" t="inlineStr">
        <is>
          <t>ボルト頭(六角)を作図</t>
        </is>
      </c>
      <c r="F457" s="2" t="n">
        <v>11</v>
      </c>
      <c r="G457" s="2" t="n">
        <v>5</v>
      </c>
      <c r="H457" s="2" t="n">
        <v>8</v>
      </c>
      <c r="I457" s="2" t="n">
        <v>9</v>
      </c>
      <c r="J457" s="5">
        <f>SUM(F457:I457)</f>
        <v/>
      </c>
      <c r="K457" s="4" t="inlineStr">
        <is>
          <t>ブロックで代替可</t>
        </is>
      </c>
      <c r="L457" s="3" t="inlineStr"/>
      <c r="M457" s="3" t="inlineStr">
        <is>
          <t>draftsperson.net</t>
        </is>
      </c>
      <c r="N457" s="6" t="inlineStr">
        <is>
          <t>開く</t>
        </is>
      </c>
    </row>
    <row r="458">
      <c r="A458" s="2">
        <f>RANK(J458,$J$2:$J$697)</f>
        <v/>
      </c>
      <c r="B458" s="3" t="inlineStr">
        <is>
          <t>LISP開発用の部品</t>
        </is>
      </c>
      <c r="C458" s="3" t="inlineStr">
        <is>
          <t>-</t>
        </is>
      </c>
      <c r="D458" s="4" t="inlineStr">
        <is>
          <t>Browse for Folder</t>
        </is>
      </c>
      <c r="E458" s="4" t="inlineStr">
        <is>
          <t>フォルダ選択ダイアログ関数</t>
        </is>
      </c>
      <c r="F458" s="2" t="n">
        <v>12</v>
      </c>
      <c r="G458" s="2" t="n">
        <v>7</v>
      </c>
      <c r="H458" s="2" t="n">
        <v>5</v>
      </c>
      <c r="I458" s="2" t="n">
        <v>9</v>
      </c>
      <c r="J458" s="5">
        <f>SUM(F458:I458)</f>
        <v/>
      </c>
      <c r="K458" s="4" t="inlineStr">
        <is>
          <t>フォルダ選択ダイアログ</t>
        </is>
      </c>
      <c r="L458" s="3" t="inlineStr">
        <is>
          <t>Lee Mac</t>
        </is>
      </c>
      <c r="M458" s="3" t="inlineStr">
        <is>
          <t>Lee Mac Programming</t>
        </is>
      </c>
      <c r="N458" s="6" t="inlineStr">
        <is>
          <t>開く</t>
        </is>
      </c>
    </row>
    <row r="459">
      <c r="A459" s="2">
        <f>RANK(J459,$J$2:$J$697)</f>
        <v/>
      </c>
      <c r="B459" s="3" t="inlineStr">
        <is>
          <t>建築</t>
        </is>
      </c>
      <c r="C459" s="3" t="inlineStr">
        <is>
          <t>-</t>
        </is>
      </c>
      <c r="D459" s="4" t="inlineStr">
        <is>
          <t>Ceiling Grid (Ceiling.rar)</t>
        </is>
      </c>
      <c r="E459" s="4" t="inlineStr">
        <is>
          <t>天井グリッドを作図</t>
        </is>
      </c>
      <c r="F459" s="2" t="n">
        <v>8</v>
      </c>
      <c r="G459" s="2" t="n">
        <v>5</v>
      </c>
      <c r="H459" s="2" t="n">
        <v>10</v>
      </c>
      <c r="I459" s="2" t="n">
        <v>10</v>
      </c>
      <c r="J459" s="5">
        <f>SUM(F459:I459)</f>
        <v/>
      </c>
      <c r="K459" s="4" t="inlineStr">
        <is>
          <t>ハッチで代替可</t>
        </is>
      </c>
      <c r="L459" s="3" t="inlineStr"/>
      <c r="M459" s="3" t="inlineStr">
        <is>
          <t>draftsperson.net</t>
        </is>
      </c>
      <c r="N459" s="6" t="inlineStr">
        <is>
          <t>開く</t>
        </is>
      </c>
    </row>
    <row r="460">
      <c r="A460" s="2">
        <f>RANK(J460,$J$2:$J$697)</f>
        <v/>
      </c>
      <c r="B460" s="3" t="inlineStr">
        <is>
          <t>LISP開発用の部品</t>
        </is>
      </c>
      <c r="C460" s="3" t="inlineStr">
        <is>
          <t>-</t>
        </is>
      </c>
      <c r="D460" s="4" t="inlineStr">
        <is>
          <t>Clockwise-p</t>
        </is>
      </c>
      <c r="E460" s="4" t="inlineStr">
        <is>
          <t>時計回り判定関数</t>
        </is>
      </c>
      <c r="F460" s="2" t="n">
        <v>12</v>
      </c>
      <c r="G460" s="2" t="n">
        <v>10</v>
      </c>
      <c r="H460" s="2" t="n">
        <v>4</v>
      </c>
      <c r="I460" s="2" t="n">
        <v>7</v>
      </c>
      <c r="J460" s="5">
        <f>SUM(F460:I460)</f>
        <v/>
      </c>
      <c r="K460" s="4" t="inlineStr">
        <is>
          <t>点列の向き判定</t>
        </is>
      </c>
      <c r="L460" s="3" t="inlineStr">
        <is>
          <t>Lee Mac</t>
        </is>
      </c>
      <c r="M460" s="3" t="inlineStr">
        <is>
          <t>Lee Mac Programming</t>
        </is>
      </c>
      <c r="N460" s="6" t="inlineStr">
        <is>
          <t>開く</t>
        </is>
      </c>
    </row>
    <row r="461">
      <c r="A461" s="2">
        <f>RANK(J461,$J$2:$J$697)</f>
        <v/>
      </c>
      <c r="B461" s="3" t="inlineStr">
        <is>
          <t>文字・テキスト</t>
        </is>
      </c>
      <c r="C461" s="3" t="inlineStr">
        <is>
          <t>-</t>
        </is>
      </c>
      <c r="D461" s="4" t="inlineStr">
        <is>
          <t>Date Stamp (tip667.zip)</t>
        </is>
      </c>
      <c r="E461" s="4" t="inlineStr">
        <is>
          <t>日付スタンプを記入</t>
        </is>
      </c>
      <c r="F461" s="2" t="n">
        <v>6</v>
      </c>
      <c r="G461" s="2" t="n">
        <v>5</v>
      </c>
      <c r="H461" s="2" t="n">
        <v>6</v>
      </c>
      <c r="I461" s="2" t="n">
        <v>16</v>
      </c>
      <c r="J461" s="5">
        <f>SUM(F461:I461)</f>
        <v/>
      </c>
      <c r="K461" s="4" t="inlineStr">
        <is>
          <t>日付フィールドで代替可</t>
        </is>
      </c>
      <c r="L461" s="3" t="inlineStr"/>
      <c r="M461" s="3" t="inlineStr">
        <is>
          <t>draftsperson.net</t>
        </is>
      </c>
      <c r="N461" s="6" t="inlineStr">
        <is>
          <t>開く</t>
        </is>
      </c>
    </row>
    <row r="462">
      <c r="A462" s="2">
        <f>RANK(J462,$J$2:$J$697)</f>
        <v/>
      </c>
      <c r="B462" s="3" t="inlineStr">
        <is>
          <t>LISP開発用の部品</t>
        </is>
      </c>
      <c r="C462" s="3" t="inlineStr">
        <is>
          <t>FormatDCL</t>
        </is>
      </c>
      <c r="D462" s="4" t="inlineStr">
        <is>
          <t>Format DCL</t>
        </is>
      </c>
      <c r="E462" s="4" t="inlineStr">
        <is>
          <t>DCLコードを整形</t>
        </is>
      </c>
      <c r="F462" s="2" t="n">
        <v>14</v>
      </c>
      <c r="G462" s="2" t="n">
        <v>10</v>
      </c>
      <c r="H462" s="2" t="n">
        <v>5</v>
      </c>
      <c r="I462" s="2" t="n">
        <v>4</v>
      </c>
      <c r="J462" s="5">
        <f>SUM(F462:I462)</f>
        <v/>
      </c>
      <c r="K462" s="4" t="inlineStr">
        <is>
          <t>DCL整形</t>
        </is>
      </c>
      <c r="L462" s="3" t="inlineStr">
        <is>
          <t>Lee Mac</t>
        </is>
      </c>
      <c r="M462" s="3" t="inlineStr">
        <is>
          <t>Lee Mac Programming</t>
        </is>
      </c>
      <c r="N462" s="6" t="inlineStr">
        <is>
          <t>開く</t>
        </is>
      </c>
    </row>
    <row r="463">
      <c r="A463" s="2">
        <f>RANK(J463,$J$2:$J$697)</f>
        <v/>
      </c>
      <c r="B463" s="3" t="inlineStr">
        <is>
          <t>座標・測量・土木</t>
        </is>
      </c>
      <c r="C463" s="3" t="inlineStr">
        <is>
          <t>GA</t>
        </is>
      </c>
      <c r="D463" s="4" t="inlineStr">
        <is>
          <t>GetAcre</t>
        </is>
      </c>
      <c r="E463" s="4" t="inlineStr">
        <is>
          <t>面積を平方フィート・エーカー記入</t>
        </is>
      </c>
      <c r="F463" s="2" t="n">
        <v>10</v>
      </c>
      <c r="G463" s="2" t="n">
        <v>6</v>
      </c>
      <c r="H463" s="2" t="n">
        <v>9</v>
      </c>
      <c r="I463" s="2" t="n">
        <v>8</v>
      </c>
      <c r="J463" s="5">
        <f>SUM(F463:I463)</f>
        <v/>
      </c>
      <c r="K463" s="4" t="inlineStr">
        <is>
          <t>エーカー面積記入(米国単位)</t>
        </is>
      </c>
      <c r="L463" s="3" t="inlineStr">
        <is>
          <t>Jeffery P. Sanders</t>
        </is>
      </c>
      <c r="M463" s="3" t="inlineStr">
        <is>
          <t>JefferyPSanders.com</t>
        </is>
      </c>
      <c r="N463" s="6" t="inlineStr">
        <is>
          <t>開く</t>
        </is>
      </c>
    </row>
    <row r="464">
      <c r="A464" s="2">
        <f>RANK(J464,$J$2:$J$697)</f>
        <v/>
      </c>
      <c r="B464" s="3" t="inlineStr">
        <is>
          <t>ハッチ・面積・長さ集計</t>
        </is>
      </c>
      <c r="C464" s="3" t="inlineStr">
        <is>
          <t>-</t>
        </is>
      </c>
      <c r="D464" s="4" t="inlineStr">
        <is>
          <t>How Far (howfar.zip)</t>
        </is>
      </c>
      <c r="E464" s="4" t="inlineStr">
        <is>
          <t>距離計測の拡張</t>
        </is>
      </c>
      <c r="F464" s="2" t="n">
        <v>8</v>
      </c>
      <c r="G464" s="2" t="n">
        <v>6</v>
      </c>
      <c r="H464" s="2" t="n">
        <v>7</v>
      </c>
      <c r="I464" s="2" t="n">
        <v>12</v>
      </c>
      <c r="J464" s="5">
        <f>SUM(F464:I464)</f>
        <v/>
      </c>
      <c r="K464" s="4" t="inlineStr">
        <is>
          <t>測定機能の拡張、標準で概ね可</t>
        </is>
      </c>
      <c r="L464" s="3" t="inlineStr"/>
      <c r="M464" s="3" t="inlineStr">
        <is>
          <t>draftsperson.net</t>
        </is>
      </c>
      <c r="N464" s="6" t="inlineStr">
        <is>
          <t>開く</t>
        </is>
      </c>
    </row>
    <row r="465">
      <c r="A465" s="2">
        <f>RANK(J465,$J$2:$J$697)</f>
        <v/>
      </c>
      <c r="B465" s="3" t="inlineStr">
        <is>
          <t>その他</t>
        </is>
      </c>
      <c r="C465" s="3" t="inlineStr">
        <is>
          <t>-</t>
        </is>
      </c>
      <c r="D465" s="4" t="inlineStr">
        <is>
          <t>Master Toolbar Collection (master.zip)</t>
        </is>
      </c>
      <c r="E465" s="4" t="inlineStr">
        <is>
          <t>文字・画層編集ツールバー集</t>
        </is>
      </c>
      <c r="F465" s="2" t="n">
        <v>6</v>
      </c>
      <c r="G465" s="2" t="n">
        <v>6</v>
      </c>
      <c r="H465" s="2" t="n">
        <v>9</v>
      </c>
      <c r="I465" s="2" t="n">
        <v>12</v>
      </c>
      <c r="J465" s="5">
        <f>SUM(F465:I465)</f>
        <v/>
      </c>
      <c r="K465" s="4" t="inlineStr">
        <is>
          <t>旧式ツールバー集</t>
        </is>
      </c>
      <c r="L465" s="3" t="inlineStr"/>
      <c r="M465" s="3" t="inlineStr">
        <is>
          <t>draftsperson.net</t>
        </is>
      </c>
      <c r="N465" s="6" t="inlineStr">
        <is>
          <t>開く</t>
        </is>
      </c>
    </row>
    <row r="466">
      <c r="A466" s="2">
        <f>RANK(J466,$J$2:$J$697)</f>
        <v/>
      </c>
      <c r="B466" s="3" t="inlineStr">
        <is>
          <t>作図</t>
        </is>
      </c>
      <c r="C466" s="3" t="inlineStr">
        <is>
          <t>PCOPY</t>
        </is>
      </c>
      <c r="D466" s="4" t="inlineStr">
        <is>
          <t>PathCopy.lsp</t>
        </is>
      </c>
      <c r="E466" s="4" t="inlineStr">
        <is>
          <t>パスに沿って等間隔複写</t>
        </is>
      </c>
      <c r="F466" s="2" t="n">
        <v>4</v>
      </c>
      <c r="G466" s="2" t="n">
        <v>5</v>
      </c>
      <c r="H466" s="2" t="n">
        <v>10</v>
      </c>
      <c r="I466" s="2" t="n">
        <v>14</v>
      </c>
      <c r="J466" s="5">
        <f>SUM(F466:I466)</f>
        <v/>
      </c>
      <c r="K466" s="4" t="inlineStr">
        <is>
          <t>ARRAYPATHで代替</t>
        </is>
      </c>
      <c r="L466" s="3" t="inlineStr">
        <is>
          <t>CADAuthority</t>
        </is>
      </c>
      <c r="M466" s="3" t="inlineStr">
        <is>
          <t>CAD Authority</t>
        </is>
      </c>
      <c r="N466" s="6" t="inlineStr">
        <is>
          <t>開く</t>
        </is>
      </c>
    </row>
    <row r="467">
      <c r="A467" s="2">
        <f>RANK(J467,$J$2:$J$697)</f>
        <v/>
      </c>
      <c r="B467" s="3" t="inlineStr">
        <is>
          <t>建築</t>
        </is>
      </c>
      <c r="C467" s="3" t="inlineStr">
        <is>
          <t>-</t>
        </is>
      </c>
      <c r="D467" s="4" t="inlineStr">
        <is>
          <t>Roof Pitch (Roofpitch.rar)</t>
        </is>
      </c>
      <c r="E467" s="4" t="inlineStr">
        <is>
          <t>屋根勾配を作図</t>
        </is>
      </c>
      <c r="F467" s="2" t="n">
        <v>10</v>
      </c>
      <c r="G467" s="2" t="n">
        <v>6</v>
      </c>
      <c r="H467" s="2" t="n">
        <v>8</v>
      </c>
      <c r="I467" s="2" t="n">
        <v>9</v>
      </c>
      <c r="J467" s="5">
        <f>SUM(F467:I467)</f>
        <v/>
      </c>
      <c r="K467" s="4" t="inlineStr">
        <is>
          <t>勾配記号作図</t>
        </is>
      </c>
      <c r="L467" s="3" t="inlineStr"/>
      <c r="M467" s="3" t="inlineStr">
        <is>
          <t>draftsperson.net</t>
        </is>
      </c>
      <c r="N467" s="6" t="inlineStr">
        <is>
          <t>開く</t>
        </is>
      </c>
    </row>
    <row r="468">
      <c r="A468" s="2">
        <f>RANK(J468,$J$2:$J$697)</f>
        <v/>
      </c>
      <c r="B468" s="3" t="inlineStr">
        <is>
          <t>文字・テキスト</t>
        </is>
      </c>
      <c r="C468" s="3" t="inlineStr">
        <is>
          <t>SPCTEXT</t>
        </is>
      </c>
      <c r="D468" s="4" t="inlineStr">
        <is>
          <t>SpcText</t>
        </is>
      </c>
      <c r="E468" s="4" t="inlineStr">
        <is>
          <t>文字間にスペース挿入</t>
        </is>
      </c>
      <c r="F468" s="2" t="n">
        <v>12</v>
      </c>
      <c r="G468" s="2" t="n">
        <v>7</v>
      </c>
      <c r="H468" s="2" t="n">
        <v>4</v>
      </c>
      <c r="I468" s="2" t="n">
        <v>10</v>
      </c>
      <c r="J468" s="5">
        <f>SUM(F468:I468)</f>
        <v/>
      </c>
      <c r="K468" s="4" t="inlineStr">
        <is>
          <t>文字間スペースは稀</t>
        </is>
      </c>
      <c r="L468" s="3" t="inlineStr">
        <is>
          <t>Jeffery P. Sanders</t>
        </is>
      </c>
      <c r="M468" s="3" t="inlineStr">
        <is>
          <t>JefferyPSanders.com</t>
        </is>
      </c>
      <c r="N468" s="6" t="inlineStr">
        <is>
          <t>開く</t>
        </is>
      </c>
    </row>
    <row r="469">
      <c r="A469" s="2">
        <f>RANK(J469,$J$2:$J$697)</f>
        <v/>
      </c>
      <c r="B469" s="3" t="inlineStr">
        <is>
          <t>文字・テキスト</t>
        </is>
      </c>
      <c r="C469" s="3" t="inlineStr">
        <is>
          <t>-</t>
        </is>
      </c>
      <c r="D469" s="4" t="inlineStr">
        <is>
          <t>Viewport Text Scale (vptext.lsp)</t>
        </is>
      </c>
      <c r="E469" s="4" t="inlineStr">
        <is>
          <t>VP尺度で文字を尺度変更</t>
        </is>
      </c>
      <c r="F469" s="2" t="n">
        <v>6</v>
      </c>
      <c r="G469" s="2" t="n">
        <v>6</v>
      </c>
      <c r="H469" s="2" t="n">
        <v>7</v>
      </c>
      <c r="I469" s="2" t="n">
        <v>14</v>
      </c>
      <c r="J469" s="5">
        <f>SUM(F469:I469)</f>
        <v/>
      </c>
      <c r="K469" s="4" t="inlineStr">
        <is>
          <t>注釈尺度で代替可</t>
        </is>
      </c>
      <c r="L469" s="3" t="inlineStr"/>
      <c r="M469" s="3" t="inlineStr">
        <is>
          <t>draftsperson.net</t>
        </is>
      </c>
      <c r="N469" s="6" t="inlineStr">
        <is>
          <t>開く</t>
        </is>
      </c>
    </row>
    <row r="470">
      <c r="A470" s="2">
        <f>RANK(J470,$J$2:$J$697)</f>
        <v/>
      </c>
      <c r="B470" s="3" t="inlineStr">
        <is>
          <t>LISP開発用の部品</t>
        </is>
      </c>
      <c r="C470" s="3" t="inlineStr">
        <is>
          <t>-</t>
        </is>
      </c>
      <c r="D470" s="4" t="inlineStr">
        <is>
          <t>Win_Sort</t>
        </is>
      </c>
      <c r="E470" s="4" t="inlineStr">
        <is>
          <t>Windows順ファイル名ソート関数</t>
        </is>
      </c>
      <c r="F470" s="2" t="n">
        <v>13</v>
      </c>
      <c r="G470" s="2" t="n">
        <v>10</v>
      </c>
      <c r="H470" s="2" t="n">
        <v>4</v>
      </c>
      <c r="I470" s="2" t="n">
        <v>6</v>
      </c>
      <c r="J470" s="5">
        <f>SUM(F470:I470)</f>
        <v/>
      </c>
      <c r="K470" s="4" t="inlineStr">
        <is>
          <t>自然順ソート</t>
        </is>
      </c>
      <c r="L470" s="3" t="inlineStr">
        <is>
          <t>Terry Miller</t>
        </is>
      </c>
      <c r="M470" s="3" t="inlineStr">
        <is>
          <t>AutoLISP Exchange</t>
        </is>
      </c>
      <c r="N470" s="6" t="inlineStr">
        <is>
          <t>開く</t>
        </is>
      </c>
    </row>
    <row r="471">
      <c r="A471" s="2">
        <f>RANK(J471,$J$2:$J$697)</f>
        <v/>
      </c>
      <c r="B471" s="3" t="inlineStr">
        <is>
          <t>3D</t>
        </is>
      </c>
      <c r="C471" s="3" t="inlineStr">
        <is>
          <t>-</t>
        </is>
      </c>
      <c r="D471" s="4" t="inlineStr">
        <is>
          <t>3D Cabinet (3dcabn.zip)</t>
        </is>
      </c>
      <c r="E471" s="4" t="inlineStr">
        <is>
          <t>3Dキャビネットを作図</t>
        </is>
      </c>
      <c r="F471" s="2" t="n">
        <v>12</v>
      </c>
      <c r="G471" s="2" t="n">
        <v>6</v>
      </c>
      <c r="H471" s="2" t="n">
        <v>8</v>
      </c>
      <c r="I471" s="2" t="n">
        <v>6</v>
      </c>
      <c r="J471" s="5">
        <f>SUM(F471:I471)</f>
        <v/>
      </c>
      <c r="K471" s="4" t="inlineStr">
        <is>
          <t>3D家具の定型作図</t>
        </is>
      </c>
      <c r="L471" s="3" t="inlineStr"/>
      <c r="M471" s="3" t="inlineStr">
        <is>
          <t>draftsperson.net</t>
        </is>
      </c>
      <c r="N471" s="6" t="inlineStr">
        <is>
          <t>開く</t>
        </is>
      </c>
    </row>
    <row r="472">
      <c r="A472" s="2">
        <f>RANK(J472,$J$2:$J$697)</f>
        <v/>
      </c>
      <c r="B472" s="3" t="inlineStr">
        <is>
          <t>ブロック・属性</t>
        </is>
      </c>
      <c r="C472" s="3" t="inlineStr">
        <is>
          <t>-</t>
        </is>
      </c>
      <c r="D472" s="4" t="inlineStr">
        <is>
          <t>Attribute Name Edit (attedit.zip)</t>
        </is>
      </c>
      <c r="E472" s="4" t="inlineStr">
        <is>
          <t>属性名を変更</t>
        </is>
      </c>
      <c r="F472" s="2" t="n">
        <v>8</v>
      </c>
      <c r="G472" s="2" t="n">
        <v>6</v>
      </c>
      <c r="H472" s="2" t="n">
        <v>7</v>
      </c>
      <c r="I472" s="2" t="n">
        <v>11</v>
      </c>
      <c r="J472" s="5">
        <f>SUM(F472:I472)</f>
        <v/>
      </c>
      <c r="K472" s="4" t="inlineStr">
        <is>
          <t>BATTMAN/BEDITで代替</t>
        </is>
      </c>
      <c r="L472" s="3" t="inlineStr"/>
      <c r="M472" s="3" t="inlineStr">
        <is>
          <t>draftsperson.net</t>
        </is>
      </c>
      <c r="N472" s="6" t="inlineStr">
        <is>
          <t>開く</t>
        </is>
      </c>
    </row>
    <row r="473">
      <c r="A473" s="2">
        <f>RANK(J473,$J$2:$J$697)</f>
        <v/>
      </c>
      <c r="B473" s="3" t="inlineStr">
        <is>
          <t>表・Excel連携</t>
        </is>
      </c>
      <c r="C473" s="3" t="inlineStr">
        <is>
          <t>-</t>
        </is>
      </c>
      <c r="D473" s="4" t="inlineStr">
        <is>
          <t>Axcel</t>
        </is>
      </c>
      <c r="E473" s="4" t="inlineStr">
        <is>
          <t>Excel表をAutoCADに作図（旧版）</t>
        </is>
      </c>
      <c r="F473" s="2" t="n">
        <v>6</v>
      </c>
      <c r="G473" s="2" t="n">
        <v>6</v>
      </c>
      <c r="H473" s="2" t="n">
        <v>8</v>
      </c>
      <c r="I473" s="2" t="n">
        <v>12</v>
      </c>
      <c r="J473" s="5">
        <f>SUM(F473:I473)</f>
        <v/>
      </c>
      <c r="K473" s="4" t="inlineStr">
        <is>
          <t>旧版、データリンクで代替</t>
        </is>
      </c>
      <c r="L473" s="3" t="inlineStr">
        <is>
          <t>Jeffery P. Sanders</t>
        </is>
      </c>
      <c r="M473" s="3" t="inlineStr">
        <is>
          <t>JefferyPSanders.com</t>
        </is>
      </c>
      <c r="N473" s="6" t="inlineStr">
        <is>
          <t>開く</t>
        </is>
      </c>
    </row>
    <row r="474">
      <c r="A474" s="2">
        <f>RANK(J474,$J$2:$J$697)</f>
        <v/>
      </c>
      <c r="B474" s="3" t="inlineStr">
        <is>
          <t>引出線・注記</t>
        </is>
      </c>
      <c r="C474" s="3" t="inlineStr">
        <is>
          <t>-</t>
        </is>
      </c>
      <c r="D474" s="4" t="inlineStr">
        <is>
          <t>BALLOON.LSP</t>
        </is>
      </c>
      <c r="E474" s="4" t="inlineStr">
        <is>
          <t>バルーン付き引出線を作成</t>
        </is>
      </c>
      <c r="F474" s="2" t="n">
        <v>6</v>
      </c>
      <c r="G474" s="2" t="n">
        <v>6</v>
      </c>
      <c r="H474" s="2" t="n">
        <v>8</v>
      </c>
      <c r="I474" s="2" t="n">
        <v>12</v>
      </c>
      <c r="J474" s="5">
        <f>SUM(F474:I474)</f>
        <v/>
      </c>
      <c r="K474" s="4" t="inlineStr">
        <is>
          <t>MLEADERのバルーン型で代替</t>
        </is>
      </c>
      <c r="L474" s="3" t="inlineStr">
        <is>
          <t>Owen Wengerd (ManuSoft)</t>
        </is>
      </c>
      <c r="M474" s="3" t="inlineStr">
        <is>
          <t>ManuSoft</t>
        </is>
      </c>
      <c r="N474" s="6" t="inlineStr">
        <is>
          <t>開く</t>
        </is>
      </c>
    </row>
    <row r="475">
      <c r="A475" s="2">
        <f>RANK(J475,$J$2:$J$697)</f>
        <v/>
      </c>
      <c r="B475" s="3" t="inlineStr">
        <is>
          <t>建築</t>
        </is>
      </c>
      <c r="C475" s="3" t="inlineStr">
        <is>
          <t>-</t>
        </is>
      </c>
      <c r="D475" s="4" t="inlineStr">
        <is>
          <t>Cusson Windows (Cusson.rar)</t>
        </is>
      </c>
      <c r="E475" s="4" t="inlineStr">
        <is>
          <t>各種スタイルの窓を作図</t>
        </is>
      </c>
      <c r="F475" s="2" t="n">
        <v>10</v>
      </c>
      <c r="G475" s="2" t="n">
        <v>5</v>
      </c>
      <c r="H475" s="2" t="n">
        <v>9</v>
      </c>
      <c r="I475" s="2" t="n">
        <v>8</v>
      </c>
      <c r="J475" s="5">
        <f>SUM(F475:I475)</f>
        <v/>
      </c>
      <c r="K475" s="4" t="inlineStr">
        <is>
          <t>窓ブロックで代替可</t>
        </is>
      </c>
      <c r="L475" s="3" t="inlineStr"/>
      <c r="M475" s="3" t="inlineStr">
        <is>
          <t>draftsperson.net</t>
        </is>
      </c>
      <c r="N475" s="6" t="inlineStr">
        <is>
          <t>開く</t>
        </is>
      </c>
    </row>
    <row r="476">
      <c r="A476" s="2">
        <f>RANK(J476,$J$2:$J$697)</f>
        <v/>
      </c>
      <c r="B476" s="3" t="inlineStr">
        <is>
          <t>選択・絞り込み</t>
        </is>
      </c>
      <c r="C476" s="3" t="inlineStr">
        <is>
          <t>-</t>
        </is>
      </c>
      <c r="D476" s="4" t="inlineStr">
        <is>
          <t>Delete Annotation Routines (Delete_Routines.rar)</t>
        </is>
      </c>
      <c r="E476" s="4" t="inlineStr">
        <is>
          <t>文字・寸法・引出線を一括削除</t>
        </is>
      </c>
      <c r="F476" s="2" t="n">
        <v>6</v>
      </c>
      <c r="G476" s="2" t="n">
        <v>4</v>
      </c>
      <c r="H476" s="2" t="n">
        <v>6</v>
      </c>
      <c r="I476" s="2" t="n">
        <v>16</v>
      </c>
      <c r="J476" s="5">
        <f>SUM(F476:I476)</f>
        <v/>
      </c>
      <c r="K476" s="4" t="inlineStr">
        <is>
          <t>QSELECTで一括削除可</t>
        </is>
      </c>
      <c r="L476" s="3" t="inlineStr"/>
      <c r="M476" s="3" t="inlineStr">
        <is>
          <t>draftsperson.net</t>
        </is>
      </c>
      <c r="N476" s="6" t="inlineStr">
        <is>
          <t>開く</t>
        </is>
      </c>
    </row>
    <row r="477">
      <c r="A477" s="2">
        <f>RANK(J477,$J$2:$J$697)</f>
        <v/>
      </c>
      <c r="B477" s="3" t="inlineStr">
        <is>
          <t>寸法</t>
        </is>
      </c>
      <c r="C477" s="3" t="inlineStr">
        <is>
          <t>DM</t>
        </is>
      </c>
      <c r="D477" s="4" t="inlineStr">
        <is>
          <t>DM</t>
        </is>
      </c>
      <c r="E477" s="4" t="inlineStr">
        <is>
          <t>寸法スタイルを一致・更新</t>
        </is>
      </c>
      <c r="F477" s="2" t="n">
        <v>6</v>
      </c>
      <c r="G477" s="2" t="n">
        <v>4</v>
      </c>
      <c r="H477" s="2" t="n">
        <v>6</v>
      </c>
      <c r="I477" s="2" t="n">
        <v>16</v>
      </c>
      <c r="J477" s="5">
        <f>SUM(F477:I477)</f>
        <v/>
      </c>
      <c r="K477" s="4" t="inlineStr">
        <is>
          <t>MATCHPROP/寸法更新で代替</t>
        </is>
      </c>
      <c r="L477" s="3" t="inlineStr">
        <is>
          <t>Terry Miller</t>
        </is>
      </c>
      <c r="M477" s="3" t="inlineStr">
        <is>
          <t>AutoLISP Exchange</t>
        </is>
      </c>
      <c r="N477" s="6" t="inlineStr">
        <is>
          <t>開く</t>
        </is>
      </c>
    </row>
    <row r="478">
      <c r="A478" s="2">
        <f>RANK(J478,$J$2:$J$697)</f>
        <v/>
      </c>
      <c r="B478" s="3" t="inlineStr">
        <is>
          <t>LISP開発用の部品</t>
        </is>
      </c>
      <c r="C478" s="3" t="inlineStr">
        <is>
          <t>ee / eex</t>
        </is>
      </c>
      <c r="D478" s="4" t="inlineStr">
        <is>
          <t>Entity List</t>
        </is>
      </c>
      <c r="E478" s="4" t="inlineStr">
        <is>
          <t>図形DXFデータを表示</t>
        </is>
      </c>
      <c r="F478" s="2" t="n">
        <v>10</v>
      </c>
      <c r="G478" s="2" t="n">
        <v>9</v>
      </c>
      <c r="H478" s="2" t="n">
        <v>6</v>
      </c>
      <c r="I478" s="2" t="n">
        <v>7</v>
      </c>
      <c r="J478" s="5">
        <f>SUM(F478:I478)</f>
        <v/>
      </c>
      <c r="K478" s="4" t="inlineStr">
        <is>
          <t>DXFデータ確認用</t>
        </is>
      </c>
      <c r="L478" s="3" t="inlineStr">
        <is>
          <t>Lee Mac</t>
        </is>
      </c>
      <c r="M478" s="3" t="inlineStr">
        <is>
          <t>Lee Mac Programming</t>
        </is>
      </c>
      <c r="N478" s="6" t="inlineStr">
        <is>
          <t>開く</t>
        </is>
      </c>
    </row>
    <row r="479">
      <c r="A479" s="2">
        <f>RANK(J479,$J$2:$J$697)</f>
        <v/>
      </c>
      <c r="B479" s="3" t="inlineStr">
        <is>
          <t>ハッチ・面積・長さ集計</t>
        </is>
      </c>
      <c r="C479" s="3" t="inlineStr">
        <is>
          <t>hm / hatch_move</t>
        </is>
      </c>
      <c r="D479" s="4" t="inlineStr">
        <is>
          <t>Hatch_Move.lsp</t>
        </is>
      </c>
      <c r="E479" s="4" t="inlineStr">
        <is>
          <t>ハッチ基点を移動</t>
        </is>
      </c>
      <c r="F479" s="2" t="n">
        <v>6</v>
      </c>
      <c r="G479" s="2" t="n">
        <v>7</v>
      </c>
      <c r="H479" s="2" t="n">
        <v>6</v>
      </c>
      <c r="I479" s="2" t="n">
        <v>13</v>
      </c>
      <c r="J479" s="5">
        <f>SUM(F479:I479)</f>
        <v/>
      </c>
      <c r="K479" s="4" t="inlineStr">
        <is>
          <t>ハッチ原点編集は標準機能</t>
        </is>
      </c>
      <c r="L479" s="3" t="inlineStr">
        <is>
          <t>JTB World (Jimmy Bergmark)</t>
        </is>
      </c>
      <c r="M479" s="3" t="inlineStr">
        <is>
          <t>JTB World</t>
        </is>
      </c>
      <c r="N479" s="6" t="inlineStr">
        <is>
          <t>開く</t>
        </is>
      </c>
    </row>
    <row r="480">
      <c r="A480" s="2">
        <f>RANK(J480,$J$2:$J$697)</f>
        <v/>
      </c>
      <c r="B480" s="3" t="inlineStr">
        <is>
          <t>その他</t>
        </is>
      </c>
      <c r="C480" s="3" t="inlineStr">
        <is>
          <t>IFS</t>
        </is>
      </c>
      <c r="D480" s="4" t="inlineStr">
        <is>
          <t>Iterated Function Systems</t>
        </is>
      </c>
      <c r="E480" s="4" t="inlineStr">
        <is>
          <t>反復関数系フラクタル作図</t>
        </is>
      </c>
      <c r="F480" s="2" t="n">
        <v>15</v>
      </c>
      <c r="G480" s="2" t="n">
        <v>14</v>
      </c>
      <c r="H480" s="2" t="n">
        <v>1</v>
      </c>
      <c r="I480" s="2" t="n">
        <v>2</v>
      </c>
      <c r="J480" s="5">
        <f>SUM(F480:I480)</f>
        <v/>
      </c>
      <c r="K480" s="4" t="inlineStr">
        <is>
          <t>娯楽・数学作図</t>
        </is>
      </c>
      <c r="L480" s="3" t="inlineStr">
        <is>
          <t>Lee Mac</t>
        </is>
      </c>
      <c r="M480" s="3" t="inlineStr">
        <is>
          <t>Lee Mac Programming</t>
        </is>
      </c>
      <c r="N480" s="6" t="inlineStr">
        <is>
          <t>開く</t>
        </is>
      </c>
    </row>
    <row r="481">
      <c r="A481" s="2">
        <f>RANK(J481,$J$2:$J$697)</f>
        <v/>
      </c>
      <c r="B481" s="3" t="inlineStr">
        <is>
          <t>その他</t>
        </is>
      </c>
      <c r="C481" s="3" t="inlineStr">
        <is>
          <t>-</t>
        </is>
      </c>
      <c r="D481" s="4" t="inlineStr">
        <is>
          <t>kitoX Toolset</t>
        </is>
      </c>
      <c r="E481" s="4" t="inlineStr">
        <is>
          <t>無料ツールセット（外部サイト）</t>
        </is>
      </c>
      <c r="F481" s="2" t="n">
        <v>8</v>
      </c>
      <c r="G481" s="2" t="n">
        <v>6</v>
      </c>
      <c r="H481" s="2" t="n">
        <v>8</v>
      </c>
      <c r="I481" s="2" t="n">
        <v>10</v>
      </c>
      <c r="J481" s="5">
        <f>SUM(F481:I481)</f>
        <v/>
      </c>
      <c r="K481" s="4" t="inlineStr">
        <is>
          <t>外部ツール集の紹介</t>
        </is>
      </c>
      <c r="L481" s="3" t="inlineStr">
        <is>
          <t>kitoX</t>
        </is>
      </c>
      <c r="M481" s="3" t="inlineStr">
        <is>
          <t>AutoLISP Exchange</t>
        </is>
      </c>
      <c r="N481" s="6" t="inlineStr">
        <is>
          <t>開く</t>
        </is>
      </c>
    </row>
    <row r="482">
      <c r="A482" s="2">
        <f>RANK(J482,$J$2:$J$697)</f>
        <v/>
      </c>
      <c r="B482" s="3" t="inlineStr">
        <is>
          <t>印刷・レイアウト・図枠</t>
        </is>
      </c>
      <c r="C482" s="3" t="inlineStr">
        <is>
          <t>LAYOUTS</t>
        </is>
      </c>
      <c r="D482" s="4" t="inlineStr">
        <is>
          <t>LAYOUTS</t>
        </is>
      </c>
      <c r="E482" s="4" t="inlineStr">
        <is>
          <t>一覧からレイアウトを選択</t>
        </is>
      </c>
      <c r="F482" s="2" t="n">
        <v>6</v>
      </c>
      <c r="G482" s="2" t="n">
        <v>6</v>
      </c>
      <c r="H482" s="2" t="n">
        <v>5</v>
      </c>
      <c r="I482" s="2" t="n">
        <v>15</v>
      </c>
      <c r="J482" s="5">
        <f>SUM(F482:I482)</f>
        <v/>
      </c>
      <c r="K482" s="4" t="inlineStr">
        <is>
          <t>標準タブ操作で十分</t>
        </is>
      </c>
      <c r="L482" s="3" t="inlineStr">
        <is>
          <t>Jeffery P. Sanders</t>
        </is>
      </c>
      <c r="M482" s="3" t="inlineStr">
        <is>
          <t>JefferyPSanders.com</t>
        </is>
      </c>
      <c r="N482" s="6" t="inlineStr">
        <is>
          <t>開く</t>
        </is>
      </c>
    </row>
    <row r="483">
      <c r="A483" s="2">
        <f>RANK(J483,$J$2:$J$697)</f>
        <v/>
      </c>
      <c r="B483" s="3" t="inlineStr">
        <is>
          <t>文字・テキスト</t>
        </is>
      </c>
      <c r="C483" s="3" t="inlineStr">
        <is>
          <t>-</t>
        </is>
      </c>
      <c r="D483" s="4" t="inlineStr">
        <is>
          <t>Match Text Height and Style (chgtext.lsp)</t>
        </is>
      </c>
      <c r="E483" s="4" t="inlineStr">
        <is>
          <t>文字高さ・スタイルを合わせる</t>
        </is>
      </c>
      <c r="F483" s="2" t="n">
        <v>4</v>
      </c>
      <c r="G483" s="2" t="n">
        <v>4</v>
      </c>
      <c r="H483" s="2" t="n">
        <v>6</v>
      </c>
      <c r="I483" s="2" t="n">
        <v>18</v>
      </c>
      <c r="J483" s="5">
        <f>SUM(F483:I483)</f>
        <v/>
      </c>
      <c r="K483" s="4" t="inlineStr">
        <is>
          <t>MATCHPROPで代替可</t>
        </is>
      </c>
      <c r="L483" s="3" t="inlineStr"/>
      <c r="M483" s="3" t="inlineStr">
        <is>
          <t>draftsperson.net</t>
        </is>
      </c>
      <c r="N483" s="6" t="inlineStr">
        <is>
          <t>開く</t>
        </is>
      </c>
    </row>
    <row r="484">
      <c r="A484" s="2">
        <f>RANK(J484,$J$2:$J$697)</f>
        <v/>
      </c>
      <c r="B484" s="3" t="inlineStr">
        <is>
          <t>LISP開発用の部品</t>
        </is>
      </c>
      <c r="C484" s="3" t="inlineStr">
        <is>
          <t>-</t>
        </is>
      </c>
      <c r="D484" s="4" t="inlineStr">
        <is>
          <t>Matrix Transformation Functions</t>
        </is>
      </c>
      <c r="E484" s="4" t="inlineStr">
        <is>
          <t>行列変換関数</t>
        </is>
      </c>
      <c r="F484" s="2" t="n">
        <v>11</v>
      </c>
      <c r="G484" s="2" t="n">
        <v>10</v>
      </c>
      <c r="H484" s="2" t="n">
        <v>4</v>
      </c>
      <c r="I484" s="2" t="n">
        <v>7</v>
      </c>
      <c r="J484" s="5">
        <f>SUM(F484:I484)</f>
        <v/>
      </c>
      <c r="K484" s="4" t="inlineStr">
        <is>
          <t>TransformByで一部可</t>
        </is>
      </c>
      <c r="L484" s="3" t="inlineStr">
        <is>
          <t>Lee Mac</t>
        </is>
      </c>
      <c r="M484" s="3" t="inlineStr">
        <is>
          <t>Lee Mac Programming</t>
        </is>
      </c>
      <c r="N484" s="6" t="inlineStr">
        <is>
          <t>開く</t>
        </is>
      </c>
    </row>
    <row r="485">
      <c r="A485" s="2">
        <f>RANK(J485,$J$2:$J$697)</f>
        <v/>
      </c>
      <c r="B485" s="3" t="inlineStr">
        <is>
          <t>引出線・注記</t>
        </is>
      </c>
      <c r="C485" s="3" t="inlineStr">
        <is>
          <t>-</t>
        </is>
      </c>
      <c r="D485" s="4" t="inlineStr">
        <is>
          <t>Pitch Triangle (ps_v15.zip)</t>
        </is>
      </c>
      <c r="E485" s="4" t="inlineStr">
        <is>
          <t>勾配三角記号を配置</t>
        </is>
      </c>
      <c r="F485" s="2" t="n">
        <v>10</v>
      </c>
      <c r="G485" s="2" t="n">
        <v>8</v>
      </c>
      <c r="H485" s="2" t="n">
        <v>6</v>
      </c>
      <c r="I485" s="2" t="n">
        <v>8</v>
      </c>
      <c r="J485" s="5">
        <f>SUM(F485:I485)</f>
        <v/>
      </c>
      <c r="K485" s="4" t="inlineStr">
        <is>
          <t>勾配記号、建築土木向け</t>
        </is>
      </c>
      <c r="L485" s="3" t="inlineStr"/>
      <c r="M485" s="3" t="inlineStr">
        <is>
          <t>draftsperson.net</t>
        </is>
      </c>
      <c r="N485" s="6" t="inlineStr">
        <is>
          <t>開く</t>
        </is>
      </c>
    </row>
    <row r="486">
      <c r="A486" s="2">
        <f>RANK(J486,$J$2:$J$697)</f>
        <v/>
      </c>
      <c r="B486" s="3" t="inlineStr">
        <is>
          <t>設定・環境</t>
        </is>
      </c>
      <c r="C486" s="3" t="inlineStr">
        <is>
          <t>listProfileNames</t>
        </is>
      </c>
      <c r="D486" s="4" t="inlineStr">
        <is>
          <t>profiles.lsp</t>
        </is>
      </c>
      <c r="E486" s="4" t="inlineStr">
        <is>
          <t>プロファイル操作</t>
        </is>
      </c>
      <c r="F486" s="2" t="n">
        <v>8</v>
      </c>
      <c r="G486" s="2" t="n">
        <v>6</v>
      </c>
      <c r="H486" s="2" t="n">
        <v>6</v>
      </c>
      <c r="I486" s="2" t="n">
        <v>12</v>
      </c>
      <c r="J486" s="5">
        <f>SUM(F486:I486)</f>
        <v/>
      </c>
      <c r="K486" s="4" t="inlineStr">
        <is>
          <t>プロファイル操作関数</t>
        </is>
      </c>
      <c r="L486" s="3" t="inlineStr">
        <is>
          <t>JTB World (Jimmy Bergmark)</t>
        </is>
      </c>
      <c r="M486" s="3" t="inlineStr">
        <is>
          <t>JTB World</t>
        </is>
      </c>
      <c r="N486" s="6" t="inlineStr">
        <is>
          <t>開く</t>
        </is>
      </c>
    </row>
    <row r="487">
      <c r="A487" s="2">
        <f>RANK(J487,$J$2:$J$697)</f>
        <v/>
      </c>
      <c r="B487" s="3" t="inlineStr">
        <is>
          <t>線・ポリライン編集</t>
        </is>
      </c>
      <c r="C487" s="3" t="inlineStr">
        <is>
          <t>STRETCH (再定義)</t>
        </is>
      </c>
      <c r="D487" s="4" t="inlineStr">
        <is>
          <t>STRETCH.LSP</t>
        </is>
      </c>
      <c r="E487" s="4" t="inlineStr">
        <is>
          <t>改良版ストレッチコマンド</t>
        </is>
      </c>
      <c r="F487" s="2" t="n">
        <v>5</v>
      </c>
      <c r="G487" s="2" t="n">
        <v>6</v>
      </c>
      <c r="H487" s="2" t="n">
        <v>8</v>
      </c>
      <c r="I487" s="2" t="n">
        <v>13</v>
      </c>
      <c r="J487" s="5">
        <f>SUM(F487:I487)</f>
        <v/>
      </c>
      <c r="K487" s="4" t="inlineStr">
        <is>
          <t>STRETCH/MSTRETCHで代替</t>
        </is>
      </c>
      <c r="L487" s="3" t="inlineStr">
        <is>
          <t>Owen Wengerd (ManuSoft)</t>
        </is>
      </c>
      <c r="M487" s="3" t="inlineStr">
        <is>
          <t>ManuSoft</t>
        </is>
      </c>
      <c r="N487" s="6" t="inlineStr">
        <is>
          <t>開く</t>
        </is>
      </c>
    </row>
    <row r="488">
      <c r="A488" s="2">
        <f>RANK(J488,$J$2:$J$697)</f>
        <v/>
      </c>
      <c r="B488" s="3" t="inlineStr">
        <is>
          <t>LISP開発用の部品</t>
        </is>
      </c>
      <c r="C488" s="3" t="inlineStr">
        <is>
          <t>-</t>
        </is>
      </c>
      <c r="D488" s="4" t="inlineStr">
        <is>
          <t>3-Point Circle &amp; Arc Functions</t>
        </is>
      </c>
      <c r="E488" s="4" t="inlineStr">
        <is>
          <t>3点円・円弧計算関数</t>
        </is>
      </c>
      <c r="F488" s="2" t="n">
        <v>12</v>
      </c>
      <c r="G488" s="2" t="n">
        <v>8</v>
      </c>
      <c r="H488" s="2" t="n">
        <v>4</v>
      </c>
      <c r="I488" s="2" t="n">
        <v>7</v>
      </c>
      <c r="J488" s="5">
        <f>SUM(F488:I488)</f>
        <v/>
      </c>
      <c r="K488" s="4" t="inlineStr">
        <is>
          <t>3点円の幾何計算</t>
        </is>
      </c>
      <c r="L488" s="3" t="inlineStr">
        <is>
          <t>Lee Mac</t>
        </is>
      </c>
      <c r="M488" s="3" t="inlineStr">
        <is>
          <t>Lee Mac Programming</t>
        </is>
      </c>
      <c r="N488" s="6" t="inlineStr">
        <is>
          <t>開く</t>
        </is>
      </c>
    </row>
    <row r="489">
      <c r="A489" s="2">
        <f>RANK(J489,$J$2:$J$697)</f>
        <v/>
      </c>
      <c r="B489" s="3" t="inlineStr">
        <is>
          <t>設定・環境</t>
        </is>
      </c>
      <c r="C489" s="3" t="inlineStr">
        <is>
          <t>-</t>
        </is>
      </c>
      <c r="D489" s="4" t="inlineStr">
        <is>
          <t>acad.lsp</t>
        </is>
      </c>
      <c r="E489" s="4" t="inlineStr">
        <is>
          <t>acad.lspの使い方解説</t>
        </is>
      </c>
      <c r="F489" s="2" t="n">
        <v>4</v>
      </c>
      <c r="G489" s="2" t="n">
        <v>5</v>
      </c>
      <c r="H489" s="2" t="n">
        <v>5</v>
      </c>
      <c r="I489" s="2" t="n">
        <v>17</v>
      </c>
      <c r="J489" s="5">
        <f>SUM(F489:I489)</f>
        <v/>
      </c>
      <c r="K489" s="4" t="inlineStr">
        <is>
          <t>acad.lsp解説、コマンドでない</t>
        </is>
      </c>
      <c r="L489" s="3" t="inlineStr">
        <is>
          <t>JTB World (Jimmy Bergmark)</t>
        </is>
      </c>
      <c r="M489" s="3" t="inlineStr">
        <is>
          <t>JTB World</t>
        </is>
      </c>
      <c r="N489" s="6" t="inlineStr">
        <is>
          <t>開く</t>
        </is>
      </c>
    </row>
    <row r="490">
      <c r="A490" s="2">
        <f>RANK(J490,$J$2:$J$697)</f>
        <v/>
      </c>
      <c r="B490" s="3" t="inlineStr">
        <is>
          <t>設定・環境</t>
        </is>
      </c>
      <c r="C490" s="3" t="inlineStr">
        <is>
          <t>-</t>
        </is>
      </c>
      <c r="D490" s="4" t="inlineStr">
        <is>
          <t>acaddoc.lsp</t>
        </is>
      </c>
      <c r="E490" s="4" t="inlineStr">
        <is>
          <t>acaddoc.lspの使い方解説</t>
        </is>
      </c>
      <c r="F490" s="2" t="n">
        <v>4</v>
      </c>
      <c r="G490" s="2" t="n">
        <v>5</v>
      </c>
      <c r="H490" s="2" t="n">
        <v>5</v>
      </c>
      <c r="I490" s="2" t="n">
        <v>17</v>
      </c>
      <c r="J490" s="5">
        <f>SUM(F490:I490)</f>
        <v/>
      </c>
      <c r="K490" s="4" t="inlineStr">
        <is>
          <t>acaddoc.lsp解説</t>
        </is>
      </c>
      <c r="L490" s="3" t="inlineStr">
        <is>
          <t>JTB World (Jimmy Bergmark)</t>
        </is>
      </c>
      <c r="M490" s="3" t="inlineStr">
        <is>
          <t>JTB World</t>
        </is>
      </c>
      <c r="N490" s="6" t="inlineStr">
        <is>
          <t>開く</t>
        </is>
      </c>
    </row>
    <row r="491">
      <c r="A491" s="2">
        <f>RANK(J491,$J$2:$J$697)</f>
        <v/>
      </c>
      <c r="B491" s="3" t="inlineStr">
        <is>
          <t>線・ポリライン編集</t>
        </is>
      </c>
      <c r="C491" s="3" t="inlineStr">
        <is>
          <t>apv</t>
        </is>
      </c>
      <c r="D491" s="4" t="inlineStr">
        <is>
          <t>Add Polyline Vertex</t>
        </is>
      </c>
      <c r="E491" s="4" t="inlineStr">
        <is>
          <t>ポリラインに頂点を追加</t>
        </is>
      </c>
      <c r="F491" s="2" t="n">
        <v>4</v>
      </c>
      <c r="G491" s="2" t="n">
        <v>6</v>
      </c>
      <c r="H491" s="2" t="n">
        <v>8</v>
      </c>
      <c r="I491" s="2" t="n">
        <v>13</v>
      </c>
      <c r="J491" s="5">
        <f>SUM(F491:I491)</f>
        <v/>
      </c>
      <c r="K491" s="4" t="inlineStr">
        <is>
          <t>グリップで頂点追加可</t>
        </is>
      </c>
      <c r="L491" s="3" t="inlineStr">
        <is>
          <t>Lee Mac</t>
        </is>
      </c>
      <c r="M491" s="3" t="inlineStr">
        <is>
          <t>Lee Mac Programming</t>
        </is>
      </c>
      <c r="N491" s="6" t="inlineStr">
        <is>
          <t>開く</t>
        </is>
      </c>
    </row>
    <row r="492">
      <c r="A492" s="2">
        <f>RANK(J492,$J$2:$J$697)</f>
        <v/>
      </c>
      <c r="B492" s="3" t="inlineStr">
        <is>
          <t>その他</t>
        </is>
      </c>
      <c r="C492" s="3" t="inlineStr">
        <is>
          <t>lorenz</t>
        </is>
      </c>
      <c r="D492" s="4" t="inlineStr">
        <is>
          <t>Attractors</t>
        </is>
      </c>
      <c r="E492" s="4" t="inlineStr">
        <is>
          <t>ストレンジアトラクタを作図</t>
        </is>
      </c>
      <c r="F492" s="2" t="n">
        <v>15</v>
      </c>
      <c r="G492" s="2" t="n">
        <v>13</v>
      </c>
      <c r="H492" s="2" t="n">
        <v>1</v>
      </c>
      <c r="I492" s="2" t="n">
        <v>2</v>
      </c>
      <c r="J492" s="5">
        <f>SUM(F492:I492)</f>
        <v/>
      </c>
      <c r="K492" s="4" t="inlineStr">
        <is>
          <t>娯楽・数学作図</t>
        </is>
      </c>
      <c r="L492" s="3" t="inlineStr">
        <is>
          <t>Lee Mac</t>
        </is>
      </c>
      <c r="M492" s="3" t="inlineStr">
        <is>
          <t>Lee Mac Programming</t>
        </is>
      </c>
      <c r="N492" s="6" t="inlineStr">
        <is>
          <t>開く</t>
        </is>
      </c>
    </row>
    <row r="493">
      <c r="A493" s="2">
        <f>RANK(J493,$J$2:$J$697)</f>
        <v/>
      </c>
      <c r="B493" s="3" t="inlineStr">
        <is>
          <t>作図</t>
        </is>
      </c>
      <c r="C493" s="3" t="inlineStr">
        <is>
          <t>BRKLINE</t>
        </is>
      </c>
      <c r="D493" s="4" t="inlineStr">
        <is>
          <t>BrkLine</t>
        </is>
      </c>
      <c r="E493" s="4" t="inlineStr">
        <is>
          <t>破断線を作図</t>
        </is>
      </c>
      <c r="F493" s="2" t="n">
        <v>3</v>
      </c>
      <c r="G493" s="2" t="n">
        <v>4</v>
      </c>
      <c r="H493" s="2" t="n">
        <v>9</v>
      </c>
      <c r="I493" s="2" t="n">
        <v>15</v>
      </c>
      <c r="J493" s="5">
        <f>SUM(F493:I493)</f>
        <v/>
      </c>
      <c r="K493" s="4" t="inlineStr">
        <is>
          <t>ETのBREAKLINEで代替</t>
        </is>
      </c>
      <c r="L493" s="3" t="inlineStr">
        <is>
          <t>Jeffery P. Sanders</t>
        </is>
      </c>
      <c r="M493" s="3" t="inlineStr">
        <is>
          <t>JefferyPSanders.com</t>
        </is>
      </c>
      <c r="N493" s="6" t="inlineStr">
        <is>
          <t>開く</t>
        </is>
      </c>
    </row>
    <row r="494">
      <c r="A494" s="2">
        <f>RANK(J494,$J$2:$J$697)</f>
        <v/>
      </c>
      <c r="B494" s="3" t="inlineStr">
        <is>
          <t>LISP開発用の部品</t>
        </is>
      </c>
      <c r="C494" s="3" t="inlineStr">
        <is>
          <t>-</t>
        </is>
      </c>
      <c r="D494" s="4" t="inlineStr">
        <is>
          <t>Colour Conversion Functions</t>
        </is>
      </c>
      <c r="E494" s="4" t="inlineStr">
        <is>
          <t>色形式変換関数</t>
        </is>
      </c>
      <c r="F494" s="2" t="n">
        <v>11</v>
      </c>
      <c r="G494" s="2" t="n">
        <v>9</v>
      </c>
      <c r="H494" s="2" t="n">
        <v>4</v>
      </c>
      <c r="I494" s="2" t="n">
        <v>7</v>
      </c>
      <c r="J494" s="5">
        <f>SUM(F494:I494)</f>
        <v/>
      </c>
      <c r="K494" s="4" t="inlineStr">
        <is>
          <t>色形式の相互変換</t>
        </is>
      </c>
      <c r="L494" s="3" t="inlineStr">
        <is>
          <t>Lee Mac</t>
        </is>
      </c>
      <c r="M494" s="3" t="inlineStr">
        <is>
          <t>Lee Mac Programming</t>
        </is>
      </c>
      <c r="N494" s="6" t="inlineStr">
        <is>
          <t>開く</t>
        </is>
      </c>
    </row>
    <row r="495">
      <c r="A495" s="2">
        <f>RANK(J495,$J$2:$J$697)</f>
        <v/>
      </c>
      <c r="B495" s="3" t="inlineStr">
        <is>
          <t>LISP開発用の部品</t>
        </is>
      </c>
      <c r="C495" s="3" t="inlineStr">
        <is>
          <t>-</t>
        </is>
      </c>
      <c r="D495" s="4" t="inlineStr">
        <is>
          <t>Column Reference Functions</t>
        </is>
      </c>
      <c r="E495" s="4" t="inlineStr">
        <is>
          <t>Excel列番号変換関数</t>
        </is>
      </c>
      <c r="F495" s="2" t="n">
        <v>12</v>
      </c>
      <c r="G495" s="2" t="n">
        <v>8</v>
      </c>
      <c r="H495" s="2" t="n">
        <v>4</v>
      </c>
      <c r="I495" s="2" t="n">
        <v>7</v>
      </c>
      <c r="J495" s="5">
        <f>SUM(F495:I495)</f>
        <v/>
      </c>
      <c r="K495" s="4" t="inlineStr">
        <is>
          <t>Excel列番号変換</t>
        </is>
      </c>
      <c r="L495" s="3" t="inlineStr">
        <is>
          <t>Lee Mac</t>
        </is>
      </c>
      <c r="M495" s="3" t="inlineStr">
        <is>
          <t>Lee Mac Programming</t>
        </is>
      </c>
      <c r="N495" s="6" t="inlineStr">
        <is>
          <t>開く</t>
        </is>
      </c>
    </row>
    <row r="496">
      <c r="A496" s="2">
        <f>RANK(J496,$J$2:$J$697)</f>
        <v/>
      </c>
      <c r="B496" s="3" t="inlineStr">
        <is>
          <t>文字・テキスト</t>
        </is>
      </c>
      <c r="C496" s="3" t="inlineStr">
        <is>
          <t>CURVETXT</t>
        </is>
      </c>
      <c r="D496" s="4" t="inlineStr">
        <is>
          <t>CurveText.lsp</t>
        </is>
      </c>
      <c r="E496" s="4" t="inlineStr">
        <is>
          <t>円弧・円に沿って文字配置</t>
        </is>
      </c>
      <c r="F496" s="2" t="n">
        <v>5</v>
      </c>
      <c r="G496" s="2" t="n">
        <v>8</v>
      </c>
      <c r="H496" s="2" t="n">
        <v>6</v>
      </c>
      <c r="I496" s="2" t="n">
        <v>12</v>
      </c>
      <c r="J496" s="5">
        <f>SUM(F496:I496)</f>
        <v/>
      </c>
      <c r="K496" s="4" t="inlineStr">
        <is>
          <t>ExpressのARCTEXTで代替可</t>
        </is>
      </c>
      <c r="L496" s="3" t="inlineStr">
        <is>
          <t>CADAuthority</t>
        </is>
      </c>
      <c r="M496" s="3" t="inlineStr">
        <is>
          <t>CAD Authority</t>
        </is>
      </c>
      <c r="N496" s="6" t="inlineStr">
        <is>
          <t>開く</t>
        </is>
      </c>
    </row>
    <row r="497">
      <c r="A497" s="2">
        <f>RANK(J497,$J$2:$J$697)</f>
        <v/>
      </c>
      <c r="B497" s="3" t="inlineStr">
        <is>
          <t>作図</t>
        </is>
      </c>
      <c r="C497" s="3" t="inlineStr">
        <is>
          <t>bisect</t>
        </is>
      </c>
      <c r="D497" s="4" t="inlineStr">
        <is>
          <t>Dynamic Angle Bisection</t>
        </is>
      </c>
      <c r="E497" s="4" t="inlineStr">
        <is>
          <t>角の二等分線を動的作図</t>
        </is>
      </c>
      <c r="F497" s="2" t="n">
        <v>5</v>
      </c>
      <c r="G497" s="2" t="n">
        <v>10</v>
      </c>
      <c r="H497" s="2" t="n">
        <v>5</v>
      </c>
      <c r="I497" s="2" t="n">
        <v>11</v>
      </c>
      <c r="J497" s="5">
        <f>SUM(F497:I497)</f>
        <v/>
      </c>
      <c r="K497" s="4" t="inlineStr">
        <is>
          <t>XLINE二等分で代替</t>
        </is>
      </c>
      <c r="L497" s="3" t="inlineStr">
        <is>
          <t>Lee Mac</t>
        </is>
      </c>
      <c r="M497" s="3" t="inlineStr">
        <is>
          <t>Lee Mac Programming</t>
        </is>
      </c>
      <c r="N497" s="6" t="inlineStr">
        <is>
          <t>開く</t>
        </is>
      </c>
    </row>
    <row r="498">
      <c r="A498" s="2">
        <f>RANK(J498,$J$2:$J$697)</f>
        <v/>
      </c>
      <c r="B498" s="3" t="inlineStr">
        <is>
          <t>その他</t>
        </is>
      </c>
      <c r="C498" s="3" t="inlineStr">
        <is>
          <t>jfract</t>
        </is>
      </c>
      <c r="D498" s="4" t="inlineStr">
        <is>
          <t>Fractals</t>
        </is>
      </c>
      <c r="E498" s="4" t="inlineStr">
        <is>
          <t>フラクタル図形を作図</t>
        </is>
      </c>
      <c r="F498" s="2" t="n">
        <v>15</v>
      </c>
      <c r="G498" s="2" t="n">
        <v>13</v>
      </c>
      <c r="H498" s="2" t="n">
        <v>1</v>
      </c>
      <c r="I498" s="2" t="n">
        <v>2</v>
      </c>
      <c r="J498" s="5">
        <f>SUM(F498:I498)</f>
        <v/>
      </c>
      <c r="K498" s="4" t="inlineStr">
        <is>
          <t>娯楽・数学作図</t>
        </is>
      </c>
      <c r="L498" s="3" t="inlineStr">
        <is>
          <t>Lee Mac</t>
        </is>
      </c>
      <c r="M498" s="3" t="inlineStr">
        <is>
          <t>Lee Mac Programming</t>
        </is>
      </c>
      <c r="N498" s="6" t="inlineStr">
        <is>
          <t>開く</t>
        </is>
      </c>
    </row>
    <row r="499">
      <c r="A499" s="2">
        <f>RANK(J499,$J$2:$J$697)</f>
        <v/>
      </c>
      <c r="B499" s="3" t="inlineStr">
        <is>
          <t>表・Excel連携</t>
        </is>
      </c>
      <c r="C499" s="3" t="inlineStr">
        <is>
          <t>-</t>
        </is>
      </c>
      <c r="D499" s="4" t="inlineStr">
        <is>
          <t>GetExcel</t>
        </is>
      </c>
      <c r="E499" s="4" t="inlineStr">
        <is>
          <t>Excelセル値の読書き関数</t>
        </is>
      </c>
      <c r="F499" s="2" t="n">
        <v>7</v>
      </c>
      <c r="G499" s="2" t="n">
        <v>7</v>
      </c>
      <c r="H499" s="2" t="n">
        <v>5</v>
      </c>
      <c r="I499" s="2" t="n">
        <v>12</v>
      </c>
      <c r="J499" s="5">
        <f>SUM(F499:I499)</f>
        <v/>
      </c>
      <c r="K499" s="4" t="inlineStr">
        <is>
          <t>Excel連携関数ライブラリ</t>
        </is>
      </c>
      <c r="L499" s="3" t="inlineStr">
        <is>
          <t>Terry Miller</t>
        </is>
      </c>
      <c r="M499" s="3" t="inlineStr">
        <is>
          <t>AutoLISP Exchange</t>
        </is>
      </c>
      <c r="N499" s="6" t="inlineStr">
        <is>
          <t>開く</t>
        </is>
      </c>
    </row>
    <row r="500">
      <c r="A500" s="2">
        <f>RANK(J500,$J$2:$J$697)</f>
        <v/>
      </c>
      <c r="B500" s="3" t="inlineStr">
        <is>
          <t>選択・絞り込み</t>
        </is>
      </c>
      <c r="C500" s="3" t="inlineStr">
        <is>
          <t>GP / XGP / PUG</t>
        </is>
      </c>
      <c r="D500" s="4" t="inlineStr">
        <is>
          <t>Groups</t>
        </is>
      </c>
      <c r="E500" s="4" t="inlineStr">
        <is>
          <t>グループ作成・分解・削除</t>
        </is>
      </c>
      <c r="F500" s="2" t="n">
        <v>6</v>
      </c>
      <c r="G500" s="2" t="n">
        <v>5</v>
      </c>
      <c r="H500" s="2" t="n">
        <v>6</v>
      </c>
      <c r="I500" s="2" t="n">
        <v>14</v>
      </c>
      <c r="J500" s="5">
        <f>SUM(F500:I500)</f>
        <v/>
      </c>
      <c r="K500" s="4" t="inlineStr">
        <is>
          <t>GROUP/UNGROUPで代替可</t>
        </is>
      </c>
      <c r="L500" s="3" t="inlineStr">
        <is>
          <t>Terry Miller</t>
        </is>
      </c>
      <c r="M500" s="3" t="inlineStr">
        <is>
          <t>AutoLISP Exchange</t>
        </is>
      </c>
      <c r="N500" s="6" t="inlineStr">
        <is>
          <t>開く</t>
        </is>
      </c>
    </row>
    <row r="501">
      <c r="A501" s="2">
        <f>RANK(J501,$J$2:$J$697)</f>
        <v/>
      </c>
      <c r="B501" s="3" t="inlineStr">
        <is>
          <t>LISP開発用の部品</t>
        </is>
      </c>
      <c r="C501" s="3" t="inlineStr">
        <is>
          <t>-</t>
        </is>
      </c>
      <c r="D501" s="4" t="inlineStr">
        <is>
          <t>Learn (LEARN.LSP)</t>
        </is>
      </c>
      <c r="E501" s="4" t="inlineStr">
        <is>
          <t>操作からLISPコードを生成</t>
        </is>
      </c>
      <c r="F501" s="2" t="n">
        <v>8</v>
      </c>
      <c r="G501" s="2" t="n">
        <v>13</v>
      </c>
      <c r="H501" s="2" t="n">
        <v>5</v>
      </c>
      <c r="I501" s="2" t="n">
        <v>5</v>
      </c>
      <c r="J501" s="5">
        <f>SUM(F501:I501)</f>
        <v/>
      </c>
      <c r="K501" s="4" t="inlineStr">
        <is>
          <t>アクションレコーダで代替</t>
        </is>
      </c>
      <c r="L501" s="3" t="inlineStr"/>
      <c r="M501" s="3" t="inlineStr">
        <is>
          <t>draftsperson.net</t>
        </is>
      </c>
      <c r="N501" s="6" t="inlineStr">
        <is>
          <t>開く</t>
        </is>
      </c>
    </row>
    <row r="502">
      <c r="A502" s="2">
        <f>RANK(J502,$J$2:$J$697)</f>
        <v/>
      </c>
      <c r="B502" s="3" t="inlineStr">
        <is>
          <t>LISP開発用の部品</t>
        </is>
      </c>
      <c r="C502" s="3" t="inlineStr">
        <is>
          <t>-</t>
        </is>
      </c>
      <c r="D502" s="4" t="inlineStr">
        <is>
          <t>LISP Styler</t>
        </is>
      </c>
      <c r="E502" s="4" t="inlineStr">
        <is>
          <t>LISPコードをHTML色付け</t>
        </is>
      </c>
      <c r="F502" s="2" t="n">
        <v>13</v>
      </c>
      <c r="G502" s="2" t="n">
        <v>11</v>
      </c>
      <c r="H502" s="2" t="n">
        <v>4</v>
      </c>
      <c r="I502" s="2" t="n">
        <v>3</v>
      </c>
      <c r="J502" s="5">
        <f>SUM(F502:I502)</f>
        <v/>
      </c>
      <c r="K502" s="4" t="inlineStr">
        <is>
          <t>コードをHTML化</t>
        </is>
      </c>
      <c r="L502" s="3" t="inlineStr">
        <is>
          <t>Lee Mac</t>
        </is>
      </c>
      <c r="M502" s="3" t="inlineStr">
        <is>
          <t>Lee Mac Programming</t>
        </is>
      </c>
      <c r="N502" s="6" t="inlineStr">
        <is>
          <t>開く</t>
        </is>
      </c>
    </row>
    <row r="503">
      <c r="A503" s="2">
        <f>RANK(J503,$J$2:$J$697)</f>
        <v/>
      </c>
      <c r="B503" s="3" t="inlineStr">
        <is>
          <t>画層</t>
        </is>
      </c>
      <c r="C503" s="3" t="inlineStr">
        <is>
          <t>-</t>
        </is>
      </c>
      <c r="D503" s="4" t="inlineStr">
        <is>
          <t>Move Layer (Mlayer.zip)</t>
        </is>
      </c>
      <c r="E503" s="4" t="inlineStr">
        <is>
          <t>画層全体を選択して移動</t>
        </is>
      </c>
      <c r="F503" s="2" t="n">
        <v>8</v>
      </c>
      <c r="G503" s="2" t="n">
        <v>6</v>
      </c>
      <c r="H503" s="2" t="n">
        <v>5</v>
      </c>
      <c r="I503" s="2" t="n">
        <v>12</v>
      </c>
      <c r="J503" s="5">
        <f>SUM(F503:I503)</f>
        <v/>
      </c>
      <c r="K503" s="4" t="inlineStr">
        <is>
          <t>画層で選択しMOVEで代替</t>
        </is>
      </c>
      <c r="L503" s="3" t="inlineStr"/>
      <c r="M503" s="3" t="inlineStr">
        <is>
          <t>draftsperson.net</t>
        </is>
      </c>
      <c r="N503" s="6" t="inlineStr">
        <is>
          <t>開く</t>
        </is>
      </c>
    </row>
    <row r="504">
      <c r="A504" s="2">
        <f>RANK(J504,$J$2:$J$697)</f>
        <v/>
      </c>
      <c r="B504" s="3" t="inlineStr">
        <is>
          <t>作図</t>
        </is>
      </c>
      <c r="C504" s="3" t="inlineStr">
        <is>
          <t>mpt / 3pt / 4pt / mpt3</t>
        </is>
      </c>
      <c r="D504" s="4" t="inlineStr">
        <is>
          <t>mpt.lsp</t>
        </is>
      </c>
      <c r="E504" s="4" t="inlineStr">
        <is>
          <t>2点・3点の中点を取得</t>
        </is>
      </c>
      <c r="F504" s="2" t="n">
        <v>3</v>
      </c>
      <c r="G504" s="2" t="n">
        <v>5</v>
      </c>
      <c r="H504" s="2" t="n">
        <v>6</v>
      </c>
      <c r="I504" s="2" t="n">
        <v>17</v>
      </c>
      <c r="J504" s="5">
        <f>SUM(F504:I504)</f>
        <v/>
      </c>
      <c r="K504" s="4" t="inlineStr">
        <is>
          <t>M2Pスナップで代替</t>
        </is>
      </c>
      <c r="L504" s="3" t="inlineStr">
        <is>
          <t>JTB World (Jimmy Bergmark)</t>
        </is>
      </c>
      <c r="M504" s="3" t="inlineStr">
        <is>
          <t>JTB World</t>
        </is>
      </c>
      <c r="N504" s="6" t="inlineStr">
        <is>
          <t>開く</t>
        </is>
      </c>
    </row>
    <row r="505">
      <c r="A505" s="2">
        <f>RANK(J505,$J$2:$J$697)</f>
        <v/>
      </c>
      <c r="B505" s="3" t="inlineStr">
        <is>
          <t>引出線・注記</t>
        </is>
      </c>
      <c r="C505" s="3" t="inlineStr">
        <is>
          <t>QCLOUD</t>
        </is>
      </c>
      <c r="D505" s="4" t="inlineStr">
        <is>
          <t>QuickCloud.lsp</t>
        </is>
      </c>
      <c r="E505" s="4" t="inlineStr">
        <is>
          <t>尺度に応じた雲マーク作成</t>
        </is>
      </c>
      <c r="F505" s="2" t="n">
        <v>5</v>
      </c>
      <c r="G505" s="2" t="n">
        <v>6</v>
      </c>
      <c r="H505" s="2" t="n">
        <v>6</v>
      </c>
      <c r="I505" s="2" t="n">
        <v>14</v>
      </c>
      <c r="J505" s="5">
        <f>SUM(F505:I505)</f>
        <v/>
      </c>
      <c r="K505" s="4" t="inlineStr">
        <is>
          <t>REVCLOUDで代替可</t>
        </is>
      </c>
      <c r="L505" s="3" t="inlineStr">
        <is>
          <t>CADAuthority</t>
        </is>
      </c>
      <c r="M505" s="3" t="inlineStr">
        <is>
          <t>CAD Authority</t>
        </is>
      </c>
      <c r="N505" s="6" t="inlineStr">
        <is>
          <t>開く</t>
        </is>
      </c>
    </row>
    <row r="506">
      <c r="A506" s="2">
        <f>RANK(J506,$J$2:$J$697)</f>
        <v/>
      </c>
      <c r="B506" s="3" t="inlineStr">
        <is>
          <t>作図</t>
        </is>
      </c>
      <c r="C506" s="3" t="inlineStr">
        <is>
          <t>SBox</t>
        </is>
      </c>
      <c r="D506" s="4" t="inlineStr">
        <is>
          <t>SBox</t>
        </is>
      </c>
      <c r="E506" s="4" t="inlineStr">
        <is>
          <t>影付きボックスを作図</t>
        </is>
      </c>
      <c r="F506" s="2" t="n">
        <v>13</v>
      </c>
      <c r="G506" s="2" t="n">
        <v>8</v>
      </c>
      <c r="H506" s="2" t="n">
        <v>4</v>
      </c>
      <c r="I506" s="2" t="n">
        <v>6</v>
      </c>
      <c r="J506" s="5">
        <f>SUM(F506:I506)</f>
        <v/>
      </c>
      <c r="K506" s="4" t="inlineStr">
        <is>
          <t>影付き箱は用途限定</t>
        </is>
      </c>
      <c r="L506" s="3" t="inlineStr">
        <is>
          <t>Jeffery P. Sanders</t>
        </is>
      </c>
      <c r="M506" s="3" t="inlineStr">
        <is>
          <t>JefferyPSanders.com</t>
        </is>
      </c>
      <c r="N506" s="6" t="inlineStr">
        <is>
          <t>開く</t>
        </is>
      </c>
    </row>
    <row r="507">
      <c r="A507" s="2">
        <f>RANK(J507,$J$2:$J$697)</f>
        <v/>
      </c>
      <c r="B507" s="3" t="inlineStr">
        <is>
          <t>構造・鉄骨・機械</t>
        </is>
      </c>
      <c r="C507" s="3" t="inlineStr">
        <is>
          <t>SLOT</t>
        </is>
      </c>
      <c r="D507" s="4" t="inlineStr">
        <is>
          <t>Slot</t>
        </is>
      </c>
      <c r="E507" s="4" t="inlineStr">
        <is>
          <t>塗潰し長穴を作図</t>
        </is>
      </c>
      <c r="F507" s="2" t="n">
        <v>9</v>
      </c>
      <c r="G507" s="2" t="n">
        <v>5</v>
      </c>
      <c r="H507" s="2" t="n">
        <v>8</v>
      </c>
      <c r="I507" s="2" t="n">
        <v>9</v>
      </c>
      <c r="J507" s="5">
        <f>SUM(F507:I507)</f>
        <v/>
      </c>
      <c r="K507" s="4" t="inlineStr">
        <is>
          <t>ポリライン+ハッチで可</t>
        </is>
      </c>
      <c r="L507" s="3" t="inlineStr">
        <is>
          <t>Jeffery P. Sanders</t>
        </is>
      </c>
      <c r="M507" s="3" t="inlineStr">
        <is>
          <t>JefferyPSanders.com</t>
        </is>
      </c>
      <c r="N507" s="6" t="inlineStr">
        <is>
          <t>開く</t>
        </is>
      </c>
    </row>
    <row r="508">
      <c r="A508" s="2">
        <f>RANK(J508,$J$2:$J$697)</f>
        <v/>
      </c>
      <c r="B508" s="3" t="inlineStr">
        <is>
          <t>LISP開発用の部品</t>
        </is>
      </c>
      <c r="C508" s="3" t="inlineStr">
        <is>
          <t>-</t>
        </is>
      </c>
      <c r="D508" s="4" t="inlineStr">
        <is>
          <t>srtAN</t>
        </is>
      </c>
      <c r="E508" s="4" t="inlineStr">
        <is>
          <t>英数字ソート関数</t>
        </is>
      </c>
      <c r="F508" s="2" t="n">
        <v>12</v>
      </c>
      <c r="G508" s="2" t="n">
        <v>8</v>
      </c>
      <c r="H508" s="2" t="n">
        <v>4</v>
      </c>
      <c r="I508" s="2" t="n">
        <v>7</v>
      </c>
      <c r="J508" s="5">
        <f>SUM(F508:I508)</f>
        <v/>
      </c>
      <c r="K508" s="4" t="inlineStr">
        <is>
          <t>英数字自然順ソート</t>
        </is>
      </c>
      <c r="L508" s="3" t="inlineStr">
        <is>
          <t>Jeffery P. Sanders</t>
        </is>
      </c>
      <c r="M508" s="3" t="inlineStr">
        <is>
          <t>JefferyPSanders.com</t>
        </is>
      </c>
      <c r="N508" s="6" t="inlineStr">
        <is>
          <t>開く</t>
        </is>
      </c>
    </row>
    <row r="509">
      <c r="A509" s="2">
        <f>RANK(J509,$J$2:$J$697)</f>
        <v/>
      </c>
      <c r="B509" s="3" t="inlineStr">
        <is>
          <t>ブロック・属性</t>
        </is>
      </c>
      <c r="C509" s="3" t="inlineStr">
        <is>
          <t>-</t>
        </is>
      </c>
      <c r="D509" s="4" t="inlineStr">
        <is>
          <t>Template Block Library (templt.zip)</t>
        </is>
      </c>
      <c r="E509" s="4" t="inlineStr">
        <is>
          <t>アイコンメニュー式ブロックライブラリ</t>
        </is>
      </c>
      <c r="F509" s="2" t="n">
        <v>5</v>
      </c>
      <c r="G509" s="2" t="n">
        <v>6</v>
      </c>
      <c r="H509" s="2" t="n">
        <v>8</v>
      </c>
      <c r="I509" s="2" t="n">
        <v>12</v>
      </c>
      <c r="J509" s="5">
        <f>SUM(F509:I509)</f>
        <v/>
      </c>
      <c r="K509" s="4" t="inlineStr">
        <is>
          <t>標準ブロックパレットで代替</t>
        </is>
      </c>
      <c r="L509" s="3" t="inlineStr"/>
      <c r="M509" s="3" t="inlineStr">
        <is>
          <t>draftsperson.net</t>
        </is>
      </c>
      <c r="N509" s="6" t="inlineStr">
        <is>
          <t>開く</t>
        </is>
      </c>
    </row>
    <row r="510">
      <c r="A510" s="2">
        <f>RANK(J510,$J$2:$J$697)</f>
        <v/>
      </c>
      <c r="B510" s="3" t="inlineStr">
        <is>
          <t>印刷・レイアウト・図枠</t>
        </is>
      </c>
      <c r="C510" s="3" t="inlineStr">
        <is>
          <t>-</t>
        </is>
      </c>
      <c r="D510" s="4" t="inlineStr">
        <is>
          <t>A4 Title Block (tba.zip)</t>
        </is>
      </c>
      <c r="E510" s="4" t="inlineStr">
        <is>
          <t>A4図枠をダイアログ入力で挿入</t>
        </is>
      </c>
      <c r="F510" s="2" t="n">
        <v>7</v>
      </c>
      <c r="G510" s="2" t="n">
        <v>6</v>
      </c>
      <c r="H510" s="2" t="n">
        <v>9</v>
      </c>
      <c r="I510" s="2" t="n">
        <v>8</v>
      </c>
      <c r="J510" s="5">
        <f>SUM(F510:I510)</f>
        <v/>
      </c>
      <c r="K510" s="4" t="inlineStr">
        <is>
          <t>ダイアログ図枠挿入、旧式</t>
        </is>
      </c>
      <c r="L510" s="3" t="inlineStr"/>
      <c r="M510" s="3" t="inlineStr">
        <is>
          <t>draftsperson.net</t>
        </is>
      </c>
      <c r="N510" s="6" t="inlineStr">
        <is>
          <t>開く</t>
        </is>
      </c>
    </row>
    <row r="511">
      <c r="A511" s="2">
        <f>RANK(J511,$J$2:$J$697)</f>
        <v/>
      </c>
      <c r="B511" s="3" t="inlineStr">
        <is>
          <t>LISP開発用の部品</t>
        </is>
      </c>
      <c r="C511" s="3" t="inlineStr">
        <is>
          <t>-</t>
        </is>
      </c>
      <c r="D511" s="4" t="inlineStr">
        <is>
          <t>Add &amp; Remove Support File Search Paths</t>
        </is>
      </c>
      <c r="E511" s="4" t="inlineStr">
        <is>
          <t>サポートパス追加・削除関数</t>
        </is>
      </c>
      <c r="F511" s="2" t="n">
        <v>10</v>
      </c>
      <c r="G511" s="2" t="n">
        <v>7</v>
      </c>
      <c r="H511" s="2" t="n">
        <v>5</v>
      </c>
      <c r="I511" s="2" t="n">
        <v>8</v>
      </c>
      <c r="J511" s="5">
        <f>SUM(F511:I511)</f>
        <v/>
      </c>
      <c r="K511" s="4" t="inlineStr">
        <is>
          <t>サポートパス操作</t>
        </is>
      </c>
      <c r="L511" s="3" t="inlineStr">
        <is>
          <t>Lee Mac</t>
        </is>
      </c>
      <c r="M511" s="3" t="inlineStr">
        <is>
          <t>Lee Mac Programming</t>
        </is>
      </c>
      <c r="N511" s="6" t="inlineStr">
        <is>
          <t>開く</t>
        </is>
      </c>
    </row>
    <row r="512">
      <c r="A512" s="2">
        <f>RANK(J512,$J$2:$J$697)</f>
        <v/>
      </c>
      <c r="B512" s="3" t="inlineStr">
        <is>
          <t>LISP開発用の部品</t>
        </is>
      </c>
      <c r="C512" s="3" t="inlineStr">
        <is>
          <t>-</t>
        </is>
      </c>
      <c r="D512" s="4" t="inlineStr">
        <is>
          <t>Attribute Functions</t>
        </is>
      </c>
      <c r="E512" s="4" t="inlineStr">
        <is>
          <t>属性値の取得・設定関数</t>
        </is>
      </c>
      <c r="F512" s="2" t="n">
        <v>7</v>
      </c>
      <c r="G512" s="2" t="n">
        <v>7</v>
      </c>
      <c r="H512" s="2" t="n">
        <v>6</v>
      </c>
      <c r="I512" s="2" t="n">
        <v>10</v>
      </c>
      <c r="J512" s="5">
        <f>SUM(F512:I512)</f>
        <v/>
      </c>
      <c r="K512" s="4" t="inlineStr">
        <is>
          <t>属性操作の定番関数</t>
        </is>
      </c>
      <c r="L512" s="3" t="inlineStr">
        <is>
          <t>Lee Mac</t>
        </is>
      </c>
      <c r="M512" s="3" t="inlineStr">
        <is>
          <t>Lee Mac Programming</t>
        </is>
      </c>
      <c r="N512" s="6" t="inlineStr">
        <is>
          <t>開く</t>
        </is>
      </c>
    </row>
    <row r="513">
      <c r="A513" s="2">
        <f>RANK(J513,$J$2:$J$697)</f>
        <v/>
      </c>
      <c r="B513" s="3" t="inlineStr">
        <is>
          <t>設定・環境</t>
        </is>
      </c>
      <c r="C513" s="3" t="inlineStr">
        <is>
          <t>BGGrey / BGWhite / BGBlack / bgt</t>
        </is>
      </c>
      <c r="D513" s="4" t="inlineStr">
        <is>
          <t>backgroundchanger.lsp</t>
        </is>
      </c>
      <c r="E513" s="4" t="inlineStr">
        <is>
          <t>背景色を切替え</t>
        </is>
      </c>
      <c r="F513" s="2" t="n">
        <v>6</v>
      </c>
      <c r="G513" s="2" t="n">
        <v>4</v>
      </c>
      <c r="H513" s="2" t="n">
        <v>5</v>
      </c>
      <c r="I513" s="2" t="n">
        <v>15</v>
      </c>
      <c r="J513" s="5">
        <f>SUM(F513:I513)</f>
        <v/>
      </c>
      <c r="K513" s="4" t="inlineStr">
        <is>
          <t>背景色切替え、OPTIONSで可</t>
        </is>
      </c>
      <c r="L513" s="3" t="inlineStr">
        <is>
          <t>JTB World (Jimmy Bergmark)</t>
        </is>
      </c>
      <c r="M513" s="3" t="inlineStr">
        <is>
          <t>JTB World</t>
        </is>
      </c>
      <c r="N513" s="6" t="inlineStr">
        <is>
          <t>開く</t>
        </is>
      </c>
    </row>
    <row r="514">
      <c r="A514" s="2">
        <f>RANK(J514,$J$2:$J$697)</f>
        <v/>
      </c>
      <c r="B514" s="3" t="inlineStr">
        <is>
          <t>ブロック・属性</t>
        </is>
      </c>
      <c r="C514" s="3" t="inlineStr">
        <is>
          <t>-</t>
        </is>
      </c>
      <c r="D514" s="4" t="inlineStr">
        <is>
          <t>Block Count (BC.LSP)</t>
        </is>
      </c>
      <c r="E514" s="4" t="inlineStr">
        <is>
          <t>特定ブロックの数を数える</t>
        </is>
      </c>
      <c r="F514" s="2" t="n">
        <v>4</v>
      </c>
      <c r="G514" s="2" t="n">
        <v>4</v>
      </c>
      <c r="H514" s="2" t="n">
        <v>8</v>
      </c>
      <c r="I514" s="2" t="n">
        <v>14</v>
      </c>
      <c r="J514" s="5">
        <f>SUM(F514:I514)</f>
        <v/>
      </c>
      <c r="K514" s="4" t="inlineStr">
        <is>
          <t>標準のCOUNTで代替可</t>
        </is>
      </c>
      <c r="L514" s="3" t="inlineStr"/>
      <c r="M514" s="3" t="inlineStr">
        <is>
          <t>draftsperson.net</t>
        </is>
      </c>
      <c r="N514" s="6" t="inlineStr">
        <is>
          <t>開く</t>
        </is>
      </c>
    </row>
    <row r="515">
      <c r="A515" s="2">
        <f>RANK(J515,$J$2:$J$697)</f>
        <v/>
      </c>
      <c r="B515" s="3" t="inlineStr">
        <is>
          <t>作図</t>
        </is>
      </c>
      <c r="C515" s="3" t="inlineStr">
        <is>
          <t>BPOLYX</t>
        </is>
      </c>
      <c r="D515" s="4" t="inlineStr">
        <is>
          <t>BoundaryPoly.lsp</t>
        </is>
      </c>
      <c r="E515" s="4" t="inlineStr">
        <is>
          <t>点指定で境界ポリライン作成</t>
        </is>
      </c>
      <c r="F515" s="2" t="n">
        <v>3</v>
      </c>
      <c r="G515" s="2" t="n">
        <v>4</v>
      </c>
      <c r="H515" s="2" t="n">
        <v>8</v>
      </c>
      <c r="I515" s="2" t="n">
        <v>15</v>
      </c>
      <c r="J515" s="5">
        <f>SUM(F515:I515)</f>
        <v/>
      </c>
      <c r="K515" s="4" t="inlineStr">
        <is>
          <t>標準BOUNDARYで代替</t>
        </is>
      </c>
      <c r="L515" s="3" t="inlineStr">
        <is>
          <t>CADAuthority</t>
        </is>
      </c>
      <c r="M515" s="3" t="inlineStr">
        <is>
          <t>CAD Authority</t>
        </is>
      </c>
      <c r="N515" s="6" t="inlineStr">
        <is>
          <t>開く</t>
        </is>
      </c>
    </row>
    <row r="516">
      <c r="A516" s="2">
        <f>RANK(J516,$J$2:$J$697)</f>
        <v/>
      </c>
      <c r="B516" s="3" t="inlineStr">
        <is>
          <t>その他</t>
        </is>
      </c>
      <c r="C516" s="3" t="inlineStr">
        <is>
          <t>-</t>
        </is>
      </c>
      <c r="D516" s="4" t="inlineStr">
        <is>
          <t>CAD Tools (CAD Tools.rar)</t>
        </is>
      </c>
      <c r="E516" s="4" t="inlineStr">
        <is>
          <t>ボーナスツール集(文字・画層)</t>
        </is>
      </c>
      <c r="F516" s="2" t="n">
        <v>5</v>
      </c>
      <c r="G516" s="2" t="n">
        <v>5</v>
      </c>
      <c r="H516" s="2" t="n">
        <v>8</v>
      </c>
      <c r="I516" s="2" t="n">
        <v>12</v>
      </c>
      <c r="J516" s="5">
        <f>SUM(F516:I516)</f>
        <v/>
      </c>
      <c r="K516" s="4" t="inlineStr">
        <is>
          <t>Expressで大半代替</t>
        </is>
      </c>
      <c r="L516" s="3" t="inlineStr"/>
      <c r="M516" s="3" t="inlineStr">
        <is>
          <t>draftsperson.net</t>
        </is>
      </c>
      <c r="N516" s="6" t="inlineStr">
        <is>
          <t>開く</t>
        </is>
      </c>
    </row>
    <row r="517">
      <c r="A517" s="2">
        <f>RANK(J517,$J$2:$J$697)</f>
        <v/>
      </c>
      <c r="B517" s="3" t="inlineStr">
        <is>
          <t>引出線・注記</t>
        </is>
      </c>
      <c r="C517" s="3" t="inlineStr">
        <is>
          <t>DLD</t>
        </is>
      </c>
      <c r="D517" s="4" t="inlineStr">
        <is>
          <t>DLD</t>
        </is>
      </c>
      <c r="E517" s="4" t="inlineStr">
        <is>
          <t>引出線文字横に縦線を追加</t>
        </is>
      </c>
      <c r="F517" s="2" t="n">
        <v>10</v>
      </c>
      <c r="G517" s="2" t="n">
        <v>7</v>
      </c>
      <c r="H517" s="2" t="n">
        <v>5</v>
      </c>
      <c r="I517" s="2" t="n">
        <v>8</v>
      </c>
      <c r="J517" s="5">
        <f>SUM(F517:I517)</f>
        <v/>
      </c>
      <c r="K517" s="4" t="inlineStr">
        <is>
          <t>特定作図表現向け</t>
        </is>
      </c>
      <c r="L517" s="3" t="inlineStr">
        <is>
          <t>Jeffery P. Sanders</t>
        </is>
      </c>
      <c r="M517" s="3" t="inlineStr">
        <is>
          <t>JefferyPSanders.com</t>
        </is>
      </c>
      <c r="N517" s="6" t="inlineStr">
        <is>
          <t>開く</t>
        </is>
      </c>
    </row>
    <row r="518">
      <c r="A518" s="2">
        <f>RANK(J518,$J$2:$J$697)</f>
        <v/>
      </c>
      <c r="B518" s="3" t="inlineStr">
        <is>
          <t>LISP開発用の部品</t>
        </is>
      </c>
      <c r="C518" s="3" t="inlineStr">
        <is>
          <t>-</t>
        </is>
      </c>
      <c r="D518" s="4" t="inlineStr">
        <is>
          <t>Edit Box</t>
        </is>
      </c>
      <c r="E518" s="4" t="inlineStr">
        <is>
          <t>入力ボックス関数</t>
        </is>
      </c>
      <c r="F518" s="2" t="n">
        <v>11</v>
      </c>
      <c r="G518" s="2" t="n">
        <v>7</v>
      </c>
      <c r="H518" s="2" t="n">
        <v>4</v>
      </c>
      <c r="I518" s="2" t="n">
        <v>8</v>
      </c>
      <c r="J518" s="5">
        <f>SUM(F518:I518)</f>
        <v/>
      </c>
      <c r="K518" s="4" t="inlineStr">
        <is>
          <t>入力ダイアログ</t>
        </is>
      </c>
      <c r="L518" s="3" t="inlineStr">
        <is>
          <t>Lee Mac</t>
        </is>
      </c>
      <c r="M518" s="3" t="inlineStr">
        <is>
          <t>Lee Mac Programming</t>
        </is>
      </c>
      <c r="N518" s="6" t="inlineStr">
        <is>
          <t>開く</t>
        </is>
      </c>
    </row>
    <row r="519">
      <c r="A519" s="2">
        <f>RANK(J519,$J$2:$J$697)</f>
        <v/>
      </c>
      <c r="B519" s="3" t="inlineStr">
        <is>
          <t>文字・テキスト</t>
        </is>
      </c>
      <c r="C519" s="3" t="inlineStr">
        <is>
          <t>-</t>
        </is>
      </c>
      <c r="D519" s="4" t="inlineStr">
        <is>
          <t>Edit Utilities (edits.lsp)</t>
        </is>
      </c>
      <c r="E519" s="4" t="inlineStr">
        <is>
          <t>色・文字内容・文字幅を変更</t>
        </is>
      </c>
      <c r="F519" s="2" t="n">
        <v>4</v>
      </c>
      <c r="G519" s="2" t="n">
        <v>4</v>
      </c>
      <c r="H519" s="2" t="n">
        <v>6</v>
      </c>
      <c r="I519" s="2" t="n">
        <v>16</v>
      </c>
      <c r="J519" s="5">
        <f>SUM(F519:I519)</f>
        <v/>
      </c>
      <c r="K519" s="4" t="inlineStr">
        <is>
          <t>プロパティで概ね代替</t>
        </is>
      </c>
      <c r="L519" s="3" t="inlineStr"/>
      <c r="M519" s="3" t="inlineStr">
        <is>
          <t>draftsperson.net</t>
        </is>
      </c>
      <c r="N519" s="6" t="inlineStr">
        <is>
          <t>開く</t>
        </is>
      </c>
    </row>
    <row r="520">
      <c r="A520" s="2">
        <f>RANK(J520,$J$2:$J$697)</f>
        <v/>
      </c>
      <c r="B520" s="3" t="inlineStr">
        <is>
          <t>画層</t>
        </is>
      </c>
      <c r="C520" s="3" t="inlineStr">
        <is>
          <t>LMELT</t>
        </is>
      </c>
      <c r="D520" s="4" t="inlineStr">
        <is>
          <t>LayerMelt.lsp</t>
        </is>
      </c>
      <c r="E520" s="4" t="inlineStr">
        <is>
          <t>画層の図形を現在画層へ統合</t>
        </is>
      </c>
      <c r="F520" s="2" t="n">
        <v>4</v>
      </c>
      <c r="G520" s="2" t="n">
        <v>4</v>
      </c>
      <c r="H520" s="2" t="n">
        <v>6</v>
      </c>
      <c r="I520" s="2" t="n">
        <v>16</v>
      </c>
      <c r="J520" s="5">
        <f>SUM(F520:I520)</f>
        <v/>
      </c>
      <c r="K520" s="4" t="inlineStr">
        <is>
          <t>LAYMRGで代替可</t>
        </is>
      </c>
      <c r="L520" s="3" t="inlineStr">
        <is>
          <t>CADAuthority</t>
        </is>
      </c>
      <c r="M520" s="3" t="inlineStr">
        <is>
          <t>CAD Authority</t>
        </is>
      </c>
      <c r="N520" s="6" t="inlineStr">
        <is>
          <t>開く</t>
        </is>
      </c>
    </row>
    <row r="521">
      <c r="A521" s="2">
        <f>RANK(J521,$J$2:$J$697)</f>
        <v/>
      </c>
      <c r="B521" s="3" t="inlineStr">
        <is>
          <t>引出線・注記</t>
        </is>
      </c>
      <c r="C521" s="3" t="inlineStr">
        <is>
          <t>LEADTXT</t>
        </is>
      </c>
      <c r="D521" s="4" t="inlineStr">
        <is>
          <t>LeadText.lsp</t>
        </is>
      </c>
      <c r="E521" s="4" t="inlineStr">
        <is>
          <t>背景マスク付きマルチ引出線</t>
        </is>
      </c>
      <c r="F521" s="2" t="n">
        <v>5</v>
      </c>
      <c r="G521" s="2" t="n">
        <v>5</v>
      </c>
      <c r="H521" s="2" t="n">
        <v>6</v>
      </c>
      <c r="I521" s="2" t="n">
        <v>14</v>
      </c>
      <c r="J521" s="5">
        <f>SUM(F521:I521)</f>
        <v/>
      </c>
      <c r="K521" s="4" t="inlineStr">
        <is>
          <t>MLEADER+背景マスクで代替</t>
        </is>
      </c>
      <c r="L521" s="3" t="inlineStr">
        <is>
          <t>CADAuthority</t>
        </is>
      </c>
      <c r="M521" s="3" t="inlineStr">
        <is>
          <t>CAD Authority</t>
        </is>
      </c>
      <c r="N521" s="6" t="inlineStr">
        <is>
          <t>開く</t>
        </is>
      </c>
    </row>
    <row r="522">
      <c r="A522" s="2">
        <f>RANK(J522,$J$2:$J$697)</f>
        <v/>
      </c>
      <c r="B522" s="3" t="inlineStr">
        <is>
          <t>LISP開発用の部品</t>
        </is>
      </c>
      <c r="C522" s="3" t="inlineStr">
        <is>
          <t>LspCom / DclCom</t>
        </is>
      </c>
      <c r="D522" s="4" t="inlineStr">
        <is>
          <t>LspCom</t>
        </is>
      </c>
      <c r="E522" s="4" t="inlineStr">
        <is>
          <t>LISP・DCLファイルを圧縮</t>
        </is>
      </c>
      <c r="F522" s="2" t="n">
        <v>12</v>
      </c>
      <c r="G522" s="2" t="n">
        <v>9</v>
      </c>
      <c r="H522" s="2" t="n">
        <v>4</v>
      </c>
      <c r="I522" s="2" t="n">
        <v>5</v>
      </c>
      <c r="J522" s="5">
        <f>SUM(F522:I522)</f>
        <v/>
      </c>
      <c r="K522" s="4" t="inlineStr">
        <is>
          <t>LISPファイル圧縮</t>
        </is>
      </c>
      <c r="L522" s="3" t="inlineStr">
        <is>
          <t>Terry Miller</t>
        </is>
      </c>
      <c r="M522" s="3" t="inlineStr">
        <is>
          <t>AutoLISP Exchange</t>
        </is>
      </c>
      <c r="N522" s="6" t="inlineStr">
        <is>
          <t>開く</t>
        </is>
      </c>
    </row>
    <row r="523">
      <c r="A523" s="2">
        <f>RANK(J523,$J$2:$J$697)</f>
        <v/>
      </c>
      <c r="B523" s="3" t="inlineStr">
        <is>
          <t>LISP開発用の部品</t>
        </is>
      </c>
      <c r="C523" s="3" t="inlineStr">
        <is>
          <t>-</t>
        </is>
      </c>
      <c r="D523" s="4" t="inlineStr">
        <is>
          <t>Make_LSP</t>
        </is>
      </c>
      <c r="E523" s="4" t="inlineStr">
        <is>
          <t>対話式LISP生成（旧版）</t>
        </is>
      </c>
      <c r="F523" s="2" t="n">
        <v>11</v>
      </c>
      <c r="G523" s="2" t="n">
        <v>10</v>
      </c>
      <c r="H523" s="2" t="n">
        <v>5</v>
      </c>
      <c r="I523" s="2" t="n">
        <v>4</v>
      </c>
      <c r="J523" s="5">
        <f>SUM(F523:I523)</f>
        <v/>
      </c>
      <c r="K523" s="4" t="inlineStr">
        <is>
          <t>旧版のLISP生成</t>
        </is>
      </c>
      <c r="L523" s="3" t="inlineStr">
        <is>
          <t>Jeffery P. Sanders</t>
        </is>
      </c>
      <c r="M523" s="3" t="inlineStr">
        <is>
          <t>JefferyPSanders.com</t>
        </is>
      </c>
      <c r="N523" s="6" t="inlineStr">
        <is>
          <t>開く</t>
        </is>
      </c>
    </row>
    <row r="524">
      <c r="A524" s="2">
        <f>RANK(J524,$J$2:$J$697)</f>
        <v/>
      </c>
      <c r="B524" s="3" t="inlineStr">
        <is>
          <t>その他</t>
        </is>
      </c>
      <c r="C524" s="3" t="inlineStr">
        <is>
          <t>AM</t>
        </is>
      </c>
      <c r="D524" s="4" t="inlineStr">
        <is>
          <t>Messenger</t>
        </is>
      </c>
      <c r="E524" s="4" t="inlineStr">
        <is>
          <t>ネットワーク上でメッセージ送受信</t>
        </is>
      </c>
      <c r="F524" s="2" t="n">
        <v>12</v>
      </c>
      <c r="G524" s="2" t="n">
        <v>13</v>
      </c>
      <c r="H524" s="2" t="n">
        <v>2</v>
      </c>
      <c r="I524" s="2" t="n">
        <v>3</v>
      </c>
      <c r="J524" s="5">
        <f>SUM(F524:I524)</f>
        <v/>
      </c>
      <c r="K524" s="4" t="inlineStr">
        <is>
          <t>LAN内メッセージ</t>
        </is>
      </c>
      <c r="L524" s="3" t="inlineStr">
        <is>
          <t>Terry Miller</t>
        </is>
      </c>
      <c r="M524" s="3" t="inlineStr">
        <is>
          <t>AutoLISP Exchange</t>
        </is>
      </c>
      <c r="N524" s="6" t="inlineStr">
        <is>
          <t>開く</t>
        </is>
      </c>
    </row>
    <row r="525">
      <c r="A525" s="2">
        <f>RANK(J525,$J$2:$J$697)</f>
        <v/>
      </c>
      <c r="B525" s="3" t="inlineStr">
        <is>
          <t>線・ポリライン編集</t>
        </is>
      </c>
      <c r="C525" s="3" t="inlineStr">
        <is>
          <t>PJ / PC / PW</t>
        </is>
      </c>
      <c r="D525" s="4" t="inlineStr">
        <is>
          <t>Polyline Programs</t>
        </is>
      </c>
      <c r="E525" s="4" t="inlineStr">
        <is>
          <t>ポリライン結合・閉合・幅変更</t>
        </is>
      </c>
      <c r="F525" s="2" t="n">
        <v>4</v>
      </c>
      <c r="G525" s="2" t="n">
        <v>5</v>
      </c>
      <c r="H525" s="2" t="n">
        <v>8</v>
      </c>
      <c r="I525" s="2" t="n">
        <v>13</v>
      </c>
      <c r="J525" s="5">
        <f>SUM(F525:I525)</f>
        <v/>
      </c>
      <c r="K525" s="4" t="inlineStr">
        <is>
          <t>PEDITで代替可</t>
        </is>
      </c>
      <c r="L525" s="3" t="inlineStr">
        <is>
          <t>Lee Mac</t>
        </is>
      </c>
      <c r="M525" s="3" t="inlineStr">
        <is>
          <t>Lee Mac Programming</t>
        </is>
      </c>
      <c r="N525" s="6" t="inlineStr">
        <is>
          <t>開く</t>
        </is>
      </c>
    </row>
    <row r="526">
      <c r="A526" s="2">
        <f>RANK(J526,$J$2:$J$697)</f>
        <v/>
      </c>
      <c r="B526" s="3" t="inlineStr">
        <is>
          <t>線・ポリライン編集</t>
        </is>
      </c>
      <c r="C526" s="3" t="inlineStr">
        <is>
          <t>-</t>
        </is>
      </c>
      <c r="D526" s="4" t="inlineStr">
        <is>
          <t>Polyline Tools (pt.zip)</t>
        </is>
      </c>
      <c r="E526" s="4" t="inlineStr">
        <is>
          <t>複数ポリラインの幅・画層等を一括変更</t>
        </is>
      </c>
      <c r="F526" s="2" t="n">
        <v>4</v>
      </c>
      <c r="G526" s="2" t="n">
        <v>4</v>
      </c>
      <c r="H526" s="2" t="n">
        <v>9</v>
      </c>
      <c r="I526" s="2" t="n">
        <v>13</v>
      </c>
      <c r="J526" s="5">
        <f>SUM(F526:I526)</f>
        <v/>
      </c>
      <c r="K526" s="4" t="inlineStr">
        <is>
          <t>プロパティで一括変更可</t>
        </is>
      </c>
      <c r="L526" s="3" t="inlineStr"/>
      <c r="M526" s="3" t="inlineStr">
        <is>
          <t>draftsperson.net</t>
        </is>
      </c>
      <c r="N526" s="6" t="inlineStr">
        <is>
          <t>開く</t>
        </is>
      </c>
    </row>
    <row r="527">
      <c r="A527" s="2">
        <f>RANK(J527,$J$2:$J$697)</f>
        <v/>
      </c>
      <c r="B527" s="3" t="inlineStr">
        <is>
          <t>作図</t>
        </is>
      </c>
      <c r="C527" s="3" t="inlineStr">
        <is>
          <t>-</t>
        </is>
      </c>
      <c r="D527" s="4" t="inlineStr">
        <is>
          <t>Spline Perpendiculars (sper.lsp)</t>
        </is>
      </c>
      <c r="E527" s="4" t="inlineStr">
        <is>
          <t>スプラインへの垂線を作図</t>
        </is>
      </c>
      <c r="F527" s="2" t="n">
        <v>10</v>
      </c>
      <c r="G527" s="2" t="n">
        <v>8</v>
      </c>
      <c r="H527" s="2" t="n">
        <v>5</v>
      </c>
      <c r="I527" s="2" t="n">
        <v>7</v>
      </c>
      <c r="J527" s="5">
        <f>SUM(F527:I527)</f>
        <v/>
      </c>
      <c r="K527" s="4" t="inlineStr">
        <is>
          <t>垂線スナップで概ね可</t>
        </is>
      </c>
      <c r="L527" s="3" t="inlineStr"/>
      <c r="M527" s="3" t="inlineStr">
        <is>
          <t>draftsperson.net</t>
        </is>
      </c>
      <c r="N527" s="6" t="inlineStr">
        <is>
          <t>開く</t>
        </is>
      </c>
    </row>
    <row r="528">
      <c r="A528" s="2">
        <f>RANK(J528,$J$2:$J$697)</f>
        <v/>
      </c>
      <c r="B528" s="3" t="inlineStr">
        <is>
          <t>文字・テキスト</t>
        </is>
      </c>
      <c r="C528" s="3" t="inlineStr">
        <is>
          <t>bmask</t>
        </is>
      </c>
      <c r="D528" s="4" t="inlineStr">
        <is>
          <t>Background Mask</t>
        </is>
      </c>
      <c r="E528" s="4" t="inlineStr">
        <is>
          <t>文字に背景マスクを設定</t>
        </is>
      </c>
      <c r="F528" s="2" t="n">
        <v>3</v>
      </c>
      <c r="G528" s="2" t="n">
        <v>4</v>
      </c>
      <c r="H528" s="2" t="n">
        <v>6</v>
      </c>
      <c r="I528" s="2" t="n">
        <v>16</v>
      </c>
      <c r="J528" s="5">
        <f>SUM(F528:I528)</f>
        <v/>
      </c>
      <c r="K528" s="4" t="inlineStr">
        <is>
          <t>標準背景マスクで代替可</t>
        </is>
      </c>
      <c r="L528" s="3" t="inlineStr">
        <is>
          <t>Lee Mac</t>
        </is>
      </c>
      <c r="M528" s="3" t="inlineStr">
        <is>
          <t>Lee Mac Programming</t>
        </is>
      </c>
      <c r="N528" s="6" t="inlineStr">
        <is>
          <t>開く</t>
        </is>
      </c>
    </row>
    <row r="529">
      <c r="A529" s="2">
        <f>RANK(J529,$J$2:$J$697)</f>
        <v/>
      </c>
      <c r="B529" s="3" t="inlineStr">
        <is>
          <t>線・ポリライン編集</t>
        </is>
      </c>
      <c r="C529" s="3" t="inlineStr">
        <is>
          <t>CHMALL</t>
        </is>
      </c>
      <c r="D529" s="4" t="inlineStr">
        <is>
          <t>ChamferMulti.lsp</t>
        </is>
      </c>
      <c r="E529" s="4" t="inlineStr">
        <is>
          <t>ポリライン全角を面取り</t>
        </is>
      </c>
      <c r="F529" s="2" t="n">
        <v>4</v>
      </c>
      <c r="G529" s="2" t="n">
        <v>5</v>
      </c>
      <c r="H529" s="2" t="n">
        <v>9</v>
      </c>
      <c r="I529" s="2" t="n">
        <v>11</v>
      </c>
      <c r="J529" s="5">
        <f>SUM(F529:I529)</f>
        <v/>
      </c>
      <c r="K529" s="4" t="inlineStr">
        <is>
          <t>CHAMFERのポリライン指定で可</t>
        </is>
      </c>
      <c r="L529" s="3" t="inlineStr">
        <is>
          <t>CADAuthority</t>
        </is>
      </c>
      <c r="M529" s="3" t="inlineStr">
        <is>
          <t>CAD Authority</t>
        </is>
      </c>
      <c r="N529" s="6" t="inlineStr">
        <is>
          <t>開く</t>
        </is>
      </c>
    </row>
    <row r="530">
      <c r="A530" s="2">
        <f>RANK(J530,$J$2:$J$697)</f>
        <v/>
      </c>
      <c r="B530" s="3" t="inlineStr">
        <is>
          <t>LISP開発用の部品</t>
        </is>
      </c>
      <c r="C530" s="3" t="inlineStr">
        <is>
          <t>-</t>
        </is>
      </c>
      <c r="D530" s="4" t="inlineStr">
        <is>
          <t>Draw Order Functions</t>
        </is>
      </c>
      <c r="E530" s="4" t="inlineStr">
        <is>
          <t>表示順序操作関数</t>
        </is>
      </c>
      <c r="F530" s="2" t="n">
        <v>10</v>
      </c>
      <c r="G530" s="2" t="n">
        <v>8</v>
      </c>
      <c r="H530" s="2" t="n">
        <v>4</v>
      </c>
      <c r="I530" s="2" t="n">
        <v>7</v>
      </c>
      <c r="J530" s="5">
        <f>SUM(F530:I530)</f>
        <v/>
      </c>
      <c r="K530" s="4" t="inlineStr">
        <is>
          <t>表示順序の関数化</t>
        </is>
      </c>
      <c r="L530" s="3" t="inlineStr">
        <is>
          <t>Lee Mac</t>
        </is>
      </c>
      <c r="M530" s="3" t="inlineStr">
        <is>
          <t>Lee Mac Programming</t>
        </is>
      </c>
      <c r="N530" s="6" t="inlineStr">
        <is>
          <t>開く</t>
        </is>
      </c>
    </row>
    <row r="531">
      <c r="A531" s="2">
        <f>RANK(J531,$J$2:$J$697)</f>
        <v/>
      </c>
      <c r="B531" s="3" t="inlineStr">
        <is>
          <t>その他</t>
        </is>
      </c>
      <c r="C531" s="3" t="inlineStr">
        <is>
          <t>Fractal</t>
        </is>
      </c>
      <c r="D531" s="4" t="inlineStr">
        <is>
          <t>Fractal</t>
        </is>
      </c>
      <c r="E531" s="4" t="inlineStr">
        <is>
          <t>線分をフラクタル化</t>
        </is>
      </c>
      <c r="F531" s="2" t="n">
        <v>14</v>
      </c>
      <c r="G531" s="2" t="n">
        <v>12</v>
      </c>
      <c r="H531" s="2" t="n">
        <v>1</v>
      </c>
      <c r="I531" s="2" t="n">
        <v>2</v>
      </c>
      <c r="J531" s="5">
        <f>SUM(F531:I531)</f>
        <v/>
      </c>
      <c r="K531" s="4" t="inlineStr">
        <is>
          <t>娯楽・数学作図</t>
        </is>
      </c>
      <c r="L531" s="3" t="inlineStr">
        <is>
          <t>Paul Silva</t>
        </is>
      </c>
      <c r="M531" s="3" t="inlineStr">
        <is>
          <t>AutoLISP Exchange</t>
        </is>
      </c>
      <c r="N531" s="6" t="inlineStr">
        <is>
          <t>開く</t>
        </is>
      </c>
    </row>
    <row r="532">
      <c r="A532" s="2">
        <f>RANK(J532,$J$2:$J$697)</f>
        <v/>
      </c>
      <c r="B532" s="3" t="inlineStr">
        <is>
          <t>表・Excel連携</t>
        </is>
      </c>
      <c r="C532" s="3" t="inlineStr">
        <is>
          <t>-</t>
        </is>
      </c>
      <c r="D532" s="4" t="inlineStr">
        <is>
          <t>GETCELLS</t>
        </is>
      </c>
      <c r="E532" s="4" t="inlineStr">
        <is>
          <t>Excelセル値を取得する関数</t>
        </is>
      </c>
      <c r="F532" s="2" t="n">
        <v>7</v>
      </c>
      <c r="G532" s="2" t="n">
        <v>6</v>
      </c>
      <c r="H532" s="2" t="n">
        <v>5</v>
      </c>
      <c r="I532" s="2" t="n">
        <v>11</v>
      </c>
      <c r="J532" s="5">
        <f>SUM(F532:I532)</f>
        <v/>
      </c>
      <c r="K532" s="4" t="inlineStr">
        <is>
          <t>Excel取得関数、ライブラリ</t>
        </is>
      </c>
      <c r="L532" s="3" t="inlineStr">
        <is>
          <t>Jeffery P. Sanders</t>
        </is>
      </c>
      <c r="M532" s="3" t="inlineStr">
        <is>
          <t>JefferyPSanders.com</t>
        </is>
      </c>
      <c r="N532" s="6" t="inlineStr">
        <is>
          <t>開く</t>
        </is>
      </c>
    </row>
    <row r="533">
      <c r="A533" s="2">
        <f>RANK(J533,$J$2:$J$697)</f>
        <v/>
      </c>
      <c r="B533" s="3" t="inlineStr">
        <is>
          <t>印刷・レイアウト・図枠</t>
        </is>
      </c>
      <c r="C533" s="3" t="inlineStr">
        <is>
          <t>-</t>
        </is>
      </c>
      <c r="D533" s="4" t="inlineStr">
        <is>
          <t>GetPlotDevices.lsp</t>
        </is>
      </c>
      <c r="E533" s="4" t="inlineStr">
        <is>
          <t>プロッタ・印刷スタイル取得</t>
        </is>
      </c>
      <c r="F533" s="2" t="n">
        <v>7</v>
      </c>
      <c r="G533" s="2" t="n">
        <v>6</v>
      </c>
      <c r="H533" s="2" t="n">
        <v>4</v>
      </c>
      <c r="I533" s="2" t="n">
        <v>12</v>
      </c>
      <c r="J533" s="5">
        <f>SUM(F533:I533)</f>
        <v/>
      </c>
      <c r="K533" s="4" t="inlineStr">
        <is>
          <t>印刷設定取得の関数</t>
        </is>
      </c>
      <c r="L533" s="3" t="inlineStr">
        <is>
          <t>JTB World (Jimmy Bergmark)</t>
        </is>
      </c>
      <c r="M533" s="3" t="inlineStr">
        <is>
          <t>JTB World</t>
        </is>
      </c>
      <c r="N533" s="6" t="inlineStr">
        <is>
          <t>開く</t>
        </is>
      </c>
    </row>
    <row r="534">
      <c r="A534" s="2">
        <f>RANK(J534,$J$2:$J$697)</f>
        <v/>
      </c>
      <c r="B534" s="3" t="inlineStr">
        <is>
          <t>画層</t>
        </is>
      </c>
      <c r="C534" s="3" t="inlineStr">
        <is>
          <t>-</t>
        </is>
      </c>
      <c r="D534" s="4" t="inlineStr">
        <is>
          <t>Layer Tools (lt.zip)</t>
        </is>
      </c>
      <c r="E534" s="4" t="inlineStr">
        <is>
          <t>図形選択で画層を操作</t>
        </is>
      </c>
      <c r="F534" s="2" t="n">
        <v>4</v>
      </c>
      <c r="G534" s="2" t="n">
        <v>4</v>
      </c>
      <c r="H534" s="2" t="n">
        <v>5</v>
      </c>
      <c r="I534" s="2" t="n">
        <v>16</v>
      </c>
      <c r="J534" s="5">
        <f>SUM(F534:I534)</f>
        <v/>
      </c>
      <c r="K534" s="4" t="inlineStr">
        <is>
          <t>LAY系Expressで代替可</t>
        </is>
      </c>
      <c r="L534" s="3" t="inlineStr"/>
      <c r="M534" s="3" t="inlineStr">
        <is>
          <t>draftsperson.net</t>
        </is>
      </c>
      <c r="N534" s="6" t="inlineStr">
        <is>
          <t>開く</t>
        </is>
      </c>
    </row>
    <row r="535">
      <c r="A535" s="2">
        <f>RANK(J535,$J$2:$J$697)</f>
        <v/>
      </c>
      <c r="B535" s="3" t="inlineStr">
        <is>
          <t>引出線・注記</t>
        </is>
      </c>
      <c r="C535" s="3" t="inlineStr">
        <is>
          <t>-</t>
        </is>
      </c>
      <c r="D535" s="4" t="inlineStr">
        <is>
          <t>Line and Text (le.lsp)</t>
        </is>
      </c>
      <c r="E535" s="4" t="inlineStr">
        <is>
          <t>線を引いて文字を記入</t>
        </is>
      </c>
      <c r="F535" s="2" t="n">
        <v>6</v>
      </c>
      <c r="G535" s="2" t="n">
        <v>4</v>
      </c>
      <c r="H535" s="2" t="n">
        <v>5</v>
      </c>
      <c r="I535" s="2" t="n">
        <v>14</v>
      </c>
      <c r="J535" s="5">
        <f>SUM(F535:I535)</f>
        <v/>
      </c>
      <c r="K535" s="4" t="inlineStr">
        <is>
          <t>MLEADERで概ね代替</t>
        </is>
      </c>
      <c r="L535" s="3" t="inlineStr"/>
      <c r="M535" s="3" t="inlineStr">
        <is>
          <t>draftsperson.net</t>
        </is>
      </c>
      <c r="N535" s="6" t="inlineStr">
        <is>
          <t>開く</t>
        </is>
      </c>
    </row>
    <row r="536">
      <c r="A536" s="2">
        <f>RANK(J536,$J$2:$J$697)</f>
        <v/>
      </c>
      <c r="B536" s="3" t="inlineStr">
        <is>
          <t>LISP開発用の部品</t>
        </is>
      </c>
      <c r="C536" s="3" t="inlineStr">
        <is>
          <t>-</t>
        </is>
      </c>
      <c r="D536" s="4" t="inlineStr">
        <is>
          <t>List Box</t>
        </is>
      </c>
      <c r="E536" s="4" t="inlineStr">
        <is>
          <t>リストボックス関数</t>
        </is>
      </c>
      <c r="F536" s="2" t="n">
        <v>10</v>
      </c>
      <c r="G536" s="2" t="n">
        <v>7</v>
      </c>
      <c r="H536" s="2" t="n">
        <v>4</v>
      </c>
      <c r="I536" s="2" t="n">
        <v>8</v>
      </c>
      <c r="J536" s="5">
        <f>SUM(F536:I536)</f>
        <v/>
      </c>
      <c r="K536" s="4" t="inlineStr">
        <is>
          <t>リストボックス関数</t>
        </is>
      </c>
      <c r="L536" s="3" t="inlineStr">
        <is>
          <t>Lee Mac</t>
        </is>
      </c>
      <c r="M536" s="3" t="inlineStr">
        <is>
          <t>Lee Mac Programming</t>
        </is>
      </c>
      <c r="N536" s="6" t="inlineStr">
        <is>
          <t>開く</t>
        </is>
      </c>
    </row>
    <row r="537">
      <c r="A537" s="2">
        <f>RANK(J537,$J$2:$J$697)</f>
        <v/>
      </c>
      <c r="B537" s="3" t="inlineStr">
        <is>
          <t>印刷・レイアウト・図枠</t>
        </is>
      </c>
      <c r="C537" s="3" t="inlineStr">
        <is>
          <t>-</t>
        </is>
      </c>
      <c r="D537" s="4" t="inlineStr">
        <is>
          <t>PlotDevicesFunctions.lsp</t>
        </is>
      </c>
      <c r="E537" s="4" t="inlineStr">
        <is>
          <t>印刷デバイス関連関数</t>
        </is>
      </c>
      <c r="F537" s="2" t="n">
        <v>7</v>
      </c>
      <c r="G537" s="2" t="n">
        <v>6</v>
      </c>
      <c r="H537" s="2" t="n">
        <v>4</v>
      </c>
      <c r="I537" s="2" t="n">
        <v>12</v>
      </c>
      <c r="J537" s="5">
        <f>SUM(F537:I537)</f>
        <v/>
      </c>
      <c r="K537" s="4" t="inlineStr">
        <is>
          <t>印刷デバイス関数ライブラリ</t>
        </is>
      </c>
      <c r="L537" s="3" t="inlineStr">
        <is>
          <t>JTB World (Jimmy Bergmark)</t>
        </is>
      </c>
      <c r="M537" s="3" t="inlineStr">
        <is>
          <t>JTB World</t>
        </is>
      </c>
      <c r="N537" s="6" t="inlineStr">
        <is>
          <t>開く</t>
        </is>
      </c>
    </row>
    <row r="538">
      <c r="A538" s="2">
        <f>RANK(J538,$J$2:$J$697)</f>
        <v/>
      </c>
      <c r="B538" s="3" t="inlineStr">
        <is>
          <t>LISP開発用の部品</t>
        </is>
      </c>
      <c r="C538" s="3" t="inlineStr">
        <is>
          <t>-</t>
        </is>
      </c>
      <c r="D538" s="4" t="inlineStr">
        <is>
          <t>Polygon Centroid</t>
        </is>
      </c>
      <c r="E538" s="4" t="inlineStr">
        <is>
          <t>多角形重心計算関数</t>
        </is>
      </c>
      <c r="F538" s="2" t="n">
        <v>10</v>
      </c>
      <c r="G538" s="2" t="n">
        <v>9</v>
      </c>
      <c r="H538" s="2" t="n">
        <v>4</v>
      </c>
      <c r="I538" s="2" t="n">
        <v>6</v>
      </c>
      <c r="J538" s="5">
        <f>SUM(F538:I538)</f>
        <v/>
      </c>
      <c r="K538" s="4" t="inlineStr">
        <is>
          <t>MASSPROPで一部可</t>
        </is>
      </c>
      <c r="L538" s="3" t="inlineStr">
        <is>
          <t>Lee Mac</t>
        </is>
      </c>
      <c r="M538" s="3" t="inlineStr">
        <is>
          <t>Lee Mac Programming</t>
        </is>
      </c>
      <c r="N538" s="6" t="inlineStr">
        <is>
          <t>開く</t>
        </is>
      </c>
    </row>
    <row r="539">
      <c r="A539" s="2">
        <f>RANK(J539,$J$2:$J$697)</f>
        <v/>
      </c>
      <c r="B539" s="3" t="inlineStr">
        <is>
          <t>設定・環境</t>
        </is>
      </c>
      <c r="C539" s="3" t="inlineStr">
        <is>
          <t>-</t>
        </is>
      </c>
      <c r="D539" s="4" t="inlineStr">
        <is>
          <t>ProjectPaths.lsp</t>
        </is>
      </c>
      <c r="E539" s="4" t="inlineStr">
        <is>
          <t>プロジェクトパスの操作</t>
        </is>
      </c>
      <c r="F539" s="2" t="n">
        <v>8</v>
      </c>
      <c r="G539" s="2" t="n">
        <v>5</v>
      </c>
      <c r="H539" s="2" t="n">
        <v>5</v>
      </c>
      <c r="I539" s="2" t="n">
        <v>11</v>
      </c>
      <c r="J539" s="5">
        <f>SUM(F539:I539)</f>
        <v/>
      </c>
      <c r="K539" s="4" t="inlineStr">
        <is>
          <t>プロジェクトパス操作</t>
        </is>
      </c>
      <c r="L539" s="3" t="inlineStr">
        <is>
          <t>JTB World (Jimmy Bergmark)</t>
        </is>
      </c>
      <c r="M539" s="3" t="inlineStr">
        <is>
          <t>JTB World</t>
        </is>
      </c>
      <c r="N539" s="6" t="inlineStr">
        <is>
          <t>開く</t>
        </is>
      </c>
    </row>
    <row r="540">
      <c r="A540" s="2">
        <f>RANK(J540,$J$2:$J$697)</f>
        <v/>
      </c>
      <c r="B540" s="3" t="inlineStr">
        <is>
          <t>LISP開発用の部品</t>
        </is>
      </c>
      <c r="C540" s="3" t="inlineStr">
        <is>
          <t>-</t>
        </is>
      </c>
      <c r="D540" s="4" t="inlineStr">
        <is>
          <t>Selection Set Bounding Box</t>
        </is>
      </c>
      <c r="E540" s="4" t="inlineStr">
        <is>
          <t>選択セット外接矩形関数</t>
        </is>
      </c>
      <c r="F540" s="2" t="n">
        <v>9</v>
      </c>
      <c r="G540" s="2" t="n">
        <v>8</v>
      </c>
      <c r="H540" s="2" t="n">
        <v>4</v>
      </c>
      <c r="I540" s="2" t="n">
        <v>8</v>
      </c>
      <c r="J540" s="5">
        <f>SUM(F540:I540)</f>
        <v/>
      </c>
      <c r="K540" s="4" t="inlineStr">
        <is>
          <t>選択セットの外接矩形</t>
        </is>
      </c>
      <c r="L540" s="3" t="inlineStr">
        <is>
          <t>Lee Mac</t>
        </is>
      </c>
      <c r="M540" s="3" t="inlineStr">
        <is>
          <t>Lee Mac Programming</t>
        </is>
      </c>
      <c r="N540" s="6" t="inlineStr">
        <is>
          <t>開く</t>
        </is>
      </c>
    </row>
    <row r="541">
      <c r="A541" s="2">
        <f>RANK(J541,$J$2:$J$697)</f>
        <v/>
      </c>
      <c r="B541" s="3" t="inlineStr">
        <is>
          <t>LISP開発用の部品</t>
        </is>
      </c>
      <c r="C541" s="3" t="inlineStr">
        <is>
          <t>-</t>
        </is>
      </c>
      <c r="D541" s="4" t="inlineStr">
        <is>
          <t>String Wrap</t>
        </is>
      </c>
      <c r="E541" s="4" t="inlineStr">
        <is>
          <t>文字列折返し関数</t>
        </is>
      </c>
      <c r="F541" s="2" t="n">
        <v>11</v>
      </c>
      <c r="G541" s="2" t="n">
        <v>8</v>
      </c>
      <c r="H541" s="2" t="n">
        <v>4</v>
      </c>
      <c r="I541" s="2" t="n">
        <v>6</v>
      </c>
      <c r="J541" s="5">
        <f>SUM(F541:I541)</f>
        <v/>
      </c>
      <c r="K541" s="4" t="inlineStr">
        <is>
          <t>文字列の折返し</t>
        </is>
      </c>
      <c r="L541" s="3" t="inlineStr">
        <is>
          <t>Lee Mac</t>
        </is>
      </c>
      <c r="M541" s="3" t="inlineStr">
        <is>
          <t>Lee Mac Programming</t>
        </is>
      </c>
      <c r="N541" s="6" t="inlineStr">
        <is>
          <t>開く</t>
        </is>
      </c>
    </row>
    <row r="542">
      <c r="A542" s="2">
        <f>RANK(J542,$J$2:$J$697)</f>
        <v/>
      </c>
      <c r="B542" s="3" t="inlineStr">
        <is>
          <t>印刷・レイアウト・図枠</t>
        </is>
      </c>
      <c r="C542" s="3" t="inlineStr">
        <is>
          <t>vpc</t>
        </is>
      </c>
      <c r="D542" s="4" t="inlineStr">
        <is>
          <t>viewportcenter.LSP</t>
        </is>
      </c>
      <c r="E542" s="4" t="inlineStr">
        <is>
          <t>ビューポート中心座標を取得</t>
        </is>
      </c>
      <c r="F542" s="2" t="n">
        <v>7</v>
      </c>
      <c r="G542" s="2" t="n">
        <v>5</v>
      </c>
      <c r="H542" s="2" t="n">
        <v>4</v>
      </c>
      <c r="I542" s="2" t="n">
        <v>13</v>
      </c>
      <c r="J542" s="5">
        <f>SUM(F542:I542)</f>
        <v/>
      </c>
      <c r="K542" s="4" t="inlineStr">
        <is>
          <t>VP中心取得の関数</t>
        </is>
      </c>
      <c r="L542" s="3" t="inlineStr">
        <is>
          <t>JTB World (Jimmy Bergmark)</t>
        </is>
      </c>
      <c r="M542" s="3" t="inlineStr">
        <is>
          <t>JTB World</t>
        </is>
      </c>
      <c r="N542" s="6" t="inlineStr">
        <is>
          <t>開く</t>
        </is>
      </c>
    </row>
    <row r="543">
      <c r="A543" s="2">
        <f>RANK(J543,$J$2:$J$697)</f>
        <v/>
      </c>
      <c r="B543" s="3" t="inlineStr">
        <is>
          <t>LISP開発用の部品</t>
        </is>
      </c>
      <c r="C543" s="3" t="inlineStr">
        <is>
          <t>-</t>
        </is>
      </c>
      <c r="D543" s="4" t="inlineStr">
        <is>
          <t>XRef Path Conversion</t>
        </is>
      </c>
      <c r="E543" s="4" t="inlineStr">
        <is>
          <t>外部参照パス変換関数</t>
        </is>
      </c>
      <c r="F543" s="2" t="n">
        <v>11</v>
      </c>
      <c r="G543" s="2" t="n">
        <v>9</v>
      </c>
      <c r="H543" s="2" t="n">
        <v>4</v>
      </c>
      <c r="I543" s="2" t="n">
        <v>5</v>
      </c>
      <c r="J543" s="5">
        <f>SUM(F543:I543)</f>
        <v/>
      </c>
      <c r="K543" s="4" t="inlineStr">
        <is>
          <t>XREFパス相対化</t>
        </is>
      </c>
      <c r="L543" s="3" t="inlineStr">
        <is>
          <t>Lee Mac</t>
        </is>
      </c>
      <c r="M543" s="3" t="inlineStr">
        <is>
          <t>Lee Mac Programming</t>
        </is>
      </c>
      <c r="N543" s="6" t="inlineStr">
        <is>
          <t>開く</t>
        </is>
      </c>
    </row>
    <row r="544">
      <c r="A544" s="2">
        <f>RANK(J544,$J$2:$J$697)</f>
        <v/>
      </c>
      <c r="B544" s="3" t="inlineStr">
        <is>
          <t>外部参照・図面管理・一括処理</t>
        </is>
      </c>
      <c r="C544" s="3" t="inlineStr">
        <is>
          <t>XRELOAD</t>
        </is>
      </c>
      <c r="D544" s="4" t="inlineStr">
        <is>
          <t>XrefReloadAll.lsp</t>
        </is>
      </c>
      <c r="E544" s="4" t="inlineStr">
        <is>
          <t>全外部参照を再ロード</t>
        </is>
      </c>
      <c r="F544" s="2" t="n">
        <v>5</v>
      </c>
      <c r="G544" s="2" t="n">
        <v>3</v>
      </c>
      <c r="H544" s="2" t="n">
        <v>6</v>
      </c>
      <c r="I544" s="2" t="n">
        <v>15</v>
      </c>
      <c r="J544" s="5">
        <f>SUM(F544:I544)</f>
        <v/>
      </c>
      <c r="K544" s="4" t="inlineStr">
        <is>
          <t>外部参照パレットで一括可</t>
        </is>
      </c>
      <c r="L544" s="3" t="inlineStr">
        <is>
          <t>CADAuthority</t>
        </is>
      </c>
      <c r="M544" s="3" t="inlineStr">
        <is>
          <t>CAD Authority</t>
        </is>
      </c>
      <c r="N544" s="6" t="inlineStr">
        <is>
          <t>開く</t>
        </is>
      </c>
    </row>
    <row r="545">
      <c r="A545" s="2">
        <f>RANK(J545,$J$2:$J$697)</f>
        <v/>
      </c>
      <c r="B545" s="3" t="inlineStr">
        <is>
          <t>3D</t>
        </is>
      </c>
      <c r="C545" s="3" t="inlineStr">
        <is>
          <t>-</t>
        </is>
      </c>
      <c r="D545" s="4" t="inlineStr">
        <is>
          <t>3D LISP Set (3dlisp.rar)</t>
        </is>
      </c>
      <c r="E545" s="4" t="inlineStr">
        <is>
          <t>3D作図ルーチン集</t>
        </is>
      </c>
      <c r="F545" s="2" t="n">
        <v>8</v>
      </c>
      <c r="G545" s="2" t="n">
        <v>5</v>
      </c>
      <c r="H545" s="2" t="n">
        <v>7</v>
      </c>
      <c r="I545" s="2" t="n">
        <v>8</v>
      </c>
      <c r="J545" s="5">
        <f>SUM(F545:I545)</f>
        <v/>
      </c>
      <c r="K545" s="4" t="inlineStr">
        <is>
          <t>旧式の3Dルーチン集</t>
        </is>
      </c>
      <c r="L545" s="3" t="inlineStr"/>
      <c r="M545" s="3" t="inlineStr">
        <is>
          <t>draftsperson.net</t>
        </is>
      </c>
      <c r="N545" s="6" t="inlineStr">
        <is>
          <t>開く</t>
        </is>
      </c>
    </row>
    <row r="546">
      <c r="A546" s="2">
        <f>RANK(J546,$J$2:$J$697)</f>
        <v/>
      </c>
      <c r="B546" s="3" t="inlineStr">
        <is>
          <t>LISP開発用の部品</t>
        </is>
      </c>
      <c r="C546" s="3" t="inlineStr">
        <is>
          <t>-</t>
        </is>
      </c>
      <c r="D546" s="4" t="inlineStr">
        <is>
          <t>acetutil (Express acet functions doc)</t>
        </is>
      </c>
      <c r="E546" s="4" t="inlineStr">
        <is>
          <t>Express acet関数の解説</t>
        </is>
      </c>
      <c r="F546" s="2" t="n">
        <v>12</v>
      </c>
      <c r="G546" s="2" t="n">
        <v>6</v>
      </c>
      <c r="H546" s="2" t="n">
        <v>4</v>
      </c>
      <c r="I546" s="2" t="n">
        <v>6</v>
      </c>
      <c r="J546" s="5">
        <f>SUM(F546:I546)</f>
        <v/>
      </c>
      <c r="K546" s="4" t="inlineStr">
        <is>
          <t>acet関数の資料</t>
        </is>
      </c>
      <c r="L546" s="3" t="inlineStr">
        <is>
          <t>JTB World (Jimmy Bergmark)</t>
        </is>
      </c>
      <c r="M546" s="3" t="inlineStr">
        <is>
          <t>JTB World</t>
        </is>
      </c>
      <c r="N546" s="6" t="inlineStr">
        <is>
          <t>開く</t>
        </is>
      </c>
    </row>
    <row r="547">
      <c r="A547" s="2">
        <f>RANK(J547,$J$2:$J$697)</f>
        <v/>
      </c>
      <c r="B547" s="3" t="inlineStr">
        <is>
          <t>LISP開発用の部品</t>
        </is>
      </c>
      <c r="C547" s="3" t="inlineStr">
        <is>
          <t>-</t>
        </is>
      </c>
      <c r="D547" s="4" t="inlineStr">
        <is>
          <t>Assoc++ Functions</t>
        </is>
      </c>
      <c r="E547" s="4" t="inlineStr">
        <is>
          <t>連想リスト操作関数</t>
        </is>
      </c>
      <c r="F547" s="2" t="n">
        <v>9</v>
      </c>
      <c r="G547" s="2" t="n">
        <v>8</v>
      </c>
      <c r="H547" s="2" t="n">
        <v>4</v>
      </c>
      <c r="I547" s="2" t="n">
        <v>7</v>
      </c>
      <c r="J547" s="5">
        <f>SUM(F547:I547)</f>
        <v/>
      </c>
      <c r="K547" s="4" t="inlineStr">
        <is>
          <t>連想リスト拡張</t>
        </is>
      </c>
      <c r="L547" s="3" t="inlineStr">
        <is>
          <t>Lee Mac</t>
        </is>
      </c>
      <c r="M547" s="3" t="inlineStr">
        <is>
          <t>Lee Mac Programming</t>
        </is>
      </c>
      <c r="N547" s="6" t="inlineStr">
        <is>
          <t>開く</t>
        </is>
      </c>
    </row>
    <row r="548">
      <c r="A548" s="2">
        <f>RANK(J548,$J$2:$J$697)</f>
        <v/>
      </c>
      <c r="B548" s="3" t="inlineStr">
        <is>
          <t>画層</t>
        </is>
      </c>
      <c r="C548" s="3" t="inlineStr">
        <is>
          <t>DEL0LAY</t>
        </is>
      </c>
      <c r="D548" s="4" t="inlineStr">
        <is>
          <t>DeleteEmptyLayers.lsp</t>
        </is>
      </c>
      <c r="E548" s="4" t="inlineStr">
        <is>
          <t>未使用画層を削除</t>
        </is>
      </c>
      <c r="F548" s="2" t="n">
        <v>2</v>
      </c>
      <c r="G548" s="2" t="n">
        <v>3</v>
      </c>
      <c r="H548" s="2" t="n">
        <v>5</v>
      </c>
      <c r="I548" s="2" t="n">
        <v>18</v>
      </c>
      <c r="J548" s="5">
        <f>SUM(F548:I548)</f>
        <v/>
      </c>
      <c r="K548" s="4" t="inlineStr">
        <is>
          <t>PURGEで代替可</t>
        </is>
      </c>
      <c r="L548" s="3" t="inlineStr">
        <is>
          <t>CADAuthority</t>
        </is>
      </c>
      <c r="M548" s="3" t="inlineStr">
        <is>
          <t>CAD Authority</t>
        </is>
      </c>
      <c r="N548" s="6" t="inlineStr">
        <is>
          <t>開く</t>
        </is>
      </c>
    </row>
    <row r="549">
      <c r="A549" s="2">
        <f>RANK(J549,$J$2:$J$697)</f>
        <v/>
      </c>
      <c r="B549" s="3" t="inlineStr">
        <is>
          <t>設定・環境</t>
        </is>
      </c>
      <c r="C549" s="3" t="inlineStr">
        <is>
          <t>SetModelColor / SetLayoutColor</t>
        </is>
      </c>
      <c r="D549" s="4" t="inlineStr">
        <is>
          <t>DisplayColorProperties.lsp</t>
        </is>
      </c>
      <c r="E549" s="4" t="inlineStr">
        <is>
          <t>表示色オプションを設定</t>
        </is>
      </c>
      <c r="F549" s="2" t="n">
        <v>6</v>
      </c>
      <c r="G549" s="2" t="n">
        <v>4</v>
      </c>
      <c r="H549" s="2" t="n">
        <v>4</v>
      </c>
      <c r="I549" s="2" t="n">
        <v>14</v>
      </c>
      <c r="J549" s="5">
        <f>SUM(F549:I549)</f>
        <v/>
      </c>
      <c r="K549" s="4" t="inlineStr">
        <is>
          <t>表示色設定、OPTIONSで可</t>
        </is>
      </c>
      <c r="L549" s="3" t="inlineStr">
        <is>
          <t>JTB World (Jimmy Bergmark)</t>
        </is>
      </c>
      <c r="M549" s="3" t="inlineStr">
        <is>
          <t>JTB World</t>
        </is>
      </c>
      <c r="N549" s="6" t="inlineStr">
        <is>
          <t>開く</t>
        </is>
      </c>
    </row>
    <row r="550">
      <c r="A550" s="2">
        <f>RANK(J550,$J$2:$J$697)</f>
        <v/>
      </c>
      <c r="B550" s="3" t="inlineStr">
        <is>
          <t>設定・環境</t>
        </is>
      </c>
      <c r="C550" s="3" t="inlineStr">
        <is>
          <t>-</t>
        </is>
      </c>
      <c r="D550" s="4" t="inlineStr">
        <is>
          <t>DisplayProperties.lsp</t>
        </is>
      </c>
      <c r="E550" s="4" t="inlineStr">
        <is>
          <t>表示タブ設定の操作</t>
        </is>
      </c>
      <c r="F550" s="2" t="n">
        <v>6</v>
      </c>
      <c r="G550" s="2" t="n">
        <v>5</v>
      </c>
      <c r="H550" s="2" t="n">
        <v>4</v>
      </c>
      <c r="I550" s="2" t="n">
        <v>13</v>
      </c>
      <c r="J550" s="5">
        <f>SUM(F550:I550)</f>
        <v/>
      </c>
      <c r="K550" s="4" t="inlineStr">
        <is>
          <t>表示設定の関数</t>
        </is>
      </c>
      <c r="L550" s="3" t="inlineStr">
        <is>
          <t>JTB World (Jimmy Bergmark)</t>
        </is>
      </c>
      <c r="M550" s="3" t="inlineStr">
        <is>
          <t>JTB World</t>
        </is>
      </c>
      <c r="N550" s="6" t="inlineStr">
        <is>
          <t>開く</t>
        </is>
      </c>
    </row>
    <row r="551">
      <c r="A551" s="2">
        <f>RANK(J551,$J$2:$J$697)</f>
        <v/>
      </c>
      <c r="B551" s="3" t="inlineStr">
        <is>
          <t>画層</t>
        </is>
      </c>
      <c r="C551" s="3" t="inlineStr">
        <is>
          <t>-</t>
        </is>
      </c>
      <c r="D551" s="4" t="inlineStr">
        <is>
          <t>Layer Match (Lmatch.lsp)</t>
        </is>
      </c>
      <c r="E551" s="4" t="inlineStr">
        <is>
          <t>図形の画層を選択図形に合わせる</t>
        </is>
      </c>
      <c r="F551" s="2" t="n">
        <v>3</v>
      </c>
      <c r="G551" s="2" t="n">
        <v>3</v>
      </c>
      <c r="H551" s="2" t="n">
        <v>4</v>
      </c>
      <c r="I551" s="2" t="n">
        <v>18</v>
      </c>
      <c r="J551" s="5">
        <f>SUM(F551:I551)</f>
        <v/>
      </c>
      <c r="K551" s="4" t="inlineStr">
        <is>
          <t>LAYMCHで代替可</t>
        </is>
      </c>
      <c r="L551" s="3" t="inlineStr"/>
      <c r="M551" s="3" t="inlineStr">
        <is>
          <t>draftsperson.net</t>
        </is>
      </c>
      <c r="N551" s="6" t="inlineStr">
        <is>
          <t>開く</t>
        </is>
      </c>
    </row>
    <row r="552">
      <c r="A552" s="2">
        <f>RANK(J552,$J$2:$J$697)</f>
        <v/>
      </c>
      <c r="B552" s="3" t="inlineStr">
        <is>
          <t>画層</t>
        </is>
      </c>
      <c r="C552" s="3" t="inlineStr">
        <is>
          <t>LFREEZE</t>
        </is>
      </c>
      <c r="D552" s="4" t="inlineStr">
        <is>
          <t>LayerFreezeSelect.lsp</t>
        </is>
      </c>
      <c r="E552" s="4" t="inlineStr">
        <is>
          <t>図形選択で画層フリーズ</t>
        </is>
      </c>
      <c r="F552" s="2" t="n">
        <v>3</v>
      </c>
      <c r="G552" s="2" t="n">
        <v>3</v>
      </c>
      <c r="H552" s="2" t="n">
        <v>4</v>
      </c>
      <c r="I552" s="2" t="n">
        <v>18</v>
      </c>
      <c r="J552" s="5">
        <f>SUM(F552:I552)</f>
        <v/>
      </c>
      <c r="K552" s="4" t="inlineStr">
        <is>
          <t>LAYFRZで代替可</t>
        </is>
      </c>
      <c r="L552" s="3" t="inlineStr">
        <is>
          <t>CADAuthority</t>
        </is>
      </c>
      <c r="M552" s="3" t="inlineStr">
        <is>
          <t>CAD Authority</t>
        </is>
      </c>
      <c r="N552" s="6" t="inlineStr">
        <is>
          <t>開く</t>
        </is>
      </c>
    </row>
    <row r="553">
      <c r="A553" s="2">
        <f>RANK(J553,$J$2:$J$697)</f>
        <v/>
      </c>
      <c r="B553" s="3" t="inlineStr">
        <is>
          <t>線・ポリライン編集</t>
        </is>
      </c>
      <c r="C553" s="3" t="inlineStr">
        <is>
          <t>-</t>
        </is>
      </c>
      <c r="D553" s="4" t="inlineStr">
        <is>
          <t>Line or Arc to Polyline (c2p.LSP)</t>
        </is>
      </c>
      <c r="E553" s="4" t="inlineStr">
        <is>
          <t>線・円弧をポリラインに変換</t>
        </is>
      </c>
      <c r="F553" s="2" t="n">
        <v>4</v>
      </c>
      <c r="G553" s="2" t="n">
        <v>4</v>
      </c>
      <c r="H553" s="2" t="n">
        <v>7</v>
      </c>
      <c r="I553" s="2" t="n">
        <v>13</v>
      </c>
      <c r="J553" s="5">
        <f>SUM(F553:I553)</f>
        <v/>
      </c>
      <c r="K553" s="4" t="inlineStr">
        <is>
          <t>PEDIT/JOINで代替</t>
        </is>
      </c>
      <c r="L553" s="3" t="inlineStr"/>
      <c r="M553" s="3" t="inlineStr">
        <is>
          <t>draftsperson.net</t>
        </is>
      </c>
      <c r="N553" s="6" t="inlineStr">
        <is>
          <t>開く</t>
        </is>
      </c>
    </row>
    <row r="554">
      <c r="A554" s="2">
        <f>RANK(J554,$J$2:$J$697)</f>
        <v/>
      </c>
      <c r="B554" s="3" t="inlineStr">
        <is>
          <t>その他</t>
        </is>
      </c>
      <c r="C554" s="3" t="inlineStr">
        <is>
          <t>Logistic</t>
        </is>
      </c>
      <c r="D554" s="4" t="inlineStr">
        <is>
          <t>Logistic Map</t>
        </is>
      </c>
      <c r="E554" s="4" t="inlineStr">
        <is>
          <t>ロジスティック写像を作図</t>
        </is>
      </c>
      <c r="F554" s="2" t="n">
        <v>14</v>
      </c>
      <c r="G554" s="2" t="n">
        <v>11</v>
      </c>
      <c r="H554" s="2" t="n">
        <v>1</v>
      </c>
      <c r="I554" s="2" t="n">
        <v>2</v>
      </c>
      <c r="J554" s="5">
        <f>SUM(F554:I554)</f>
        <v/>
      </c>
      <c r="K554" s="4" t="inlineStr">
        <is>
          <t>娯楽・数学作図</t>
        </is>
      </c>
      <c r="L554" s="3" t="inlineStr">
        <is>
          <t>Lee Mac</t>
        </is>
      </c>
      <c r="M554" s="3" t="inlineStr">
        <is>
          <t>Lee Mac Programming</t>
        </is>
      </c>
      <c r="N554" s="6" t="inlineStr">
        <is>
          <t>開く</t>
        </is>
      </c>
    </row>
    <row r="555">
      <c r="A555" s="2">
        <f>RANK(J555,$J$2:$J$697)</f>
        <v/>
      </c>
      <c r="B555" s="3" t="inlineStr">
        <is>
          <t>文字・テキスト</t>
        </is>
      </c>
      <c r="C555" s="3" t="inlineStr">
        <is>
          <t>mljust</t>
        </is>
      </c>
      <c r="D555" s="4" t="inlineStr">
        <is>
          <t>Multiline Justification</t>
        </is>
      </c>
      <c r="E555" s="4" t="inlineStr">
        <is>
          <t>マルチ引出線文字位置を調整</t>
        </is>
      </c>
      <c r="F555" s="2" t="n">
        <v>6</v>
      </c>
      <c r="G555" s="2" t="n">
        <v>5</v>
      </c>
      <c r="H555" s="2" t="n">
        <v>5</v>
      </c>
      <c r="I555" s="2" t="n">
        <v>12</v>
      </c>
      <c r="J555" s="5">
        <f>SUM(F555:I555)</f>
        <v/>
      </c>
      <c r="K555" s="4" t="inlineStr">
        <is>
          <t>MLEADERALIGN等で概ね代替</t>
        </is>
      </c>
      <c r="L555" s="3" t="inlineStr">
        <is>
          <t>Lee Mac</t>
        </is>
      </c>
      <c r="M555" s="3" t="inlineStr">
        <is>
          <t>Lee Mac Programming</t>
        </is>
      </c>
      <c r="N555" s="6" t="inlineStr">
        <is>
          <t>開く</t>
        </is>
      </c>
    </row>
    <row r="556">
      <c r="A556" s="2">
        <f>RANK(J556,$J$2:$J$697)</f>
        <v/>
      </c>
      <c r="B556" s="3" t="inlineStr">
        <is>
          <t>外部参照・図面管理・一括処理</t>
        </is>
      </c>
      <c r="C556" s="3" t="inlineStr">
        <is>
          <t>-</t>
        </is>
      </c>
      <c r="D556" s="4" t="inlineStr">
        <is>
          <t>PURGEB.LSP</t>
        </is>
      </c>
      <c r="E556" s="4" t="inlineStr">
        <is>
          <t>未参照ブロックを一括パージ</t>
        </is>
      </c>
      <c r="F556" s="2" t="n">
        <v>4</v>
      </c>
      <c r="G556" s="2" t="n">
        <v>3</v>
      </c>
      <c r="H556" s="2" t="n">
        <v>6</v>
      </c>
      <c r="I556" s="2" t="n">
        <v>15</v>
      </c>
      <c r="J556" s="5">
        <f>SUM(F556:I556)</f>
        <v/>
      </c>
      <c r="K556" s="4" t="inlineStr">
        <is>
          <t>標準PURGEで代替可</t>
        </is>
      </c>
      <c r="L556" s="3" t="inlineStr">
        <is>
          <t>Owen Wengerd (ManuSoft)</t>
        </is>
      </c>
      <c r="M556" s="3" t="inlineStr">
        <is>
          <t>ManuSoft</t>
        </is>
      </c>
      <c r="N556" s="6" t="inlineStr">
        <is>
          <t>開く</t>
        </is>
      </c>
    </row>
    <row r="557">
      <c r="A557" s="2">
        <f>RANK(J557,$J$2:$J$697)</f>
        <v/>
      </c>
      <c r="B557" s="3" t="inlineStr">
        <is>
          <t>線・ポリライン編集</t>
        </is>
      </c>
      <c r="C557" s="3" t="inlineStr">
        <is>
          <t>S2P</t>
        </is>
      </c>
      <c r="D557" s="4" t="inlineStr">
        <is>
          <t>SplineToPoly.lsp</t>
        </is>
      </c>
      <c r="E557" s="4" t="inlineStr">
        <is>
          <t>スプラインをポリラインに変換</t>
        </is>
      </c>
      <c r="F557" s="2" t="n">
        <v>4</v>
      </c>
      <c r="G557" s="2" t="n">
        <v>5</v>
      </c>
      <c r="H557" s="2" t="n">
        <v>8</v>
      </c>
      <c r="I557" s="2" t="n">
        <v>11</v>
      </c>
      <c r="J557" s="5">
        <f>SUM(F557:I557)</f>
        <v/>
      </c>
      <c r="K557" s="4" t="inlineStr">
        <is>
          <t>PEDITでスプライン変換可</t>
        </is>
      </c>
      <c r="L557" s="3" t="inlineStr">
        <is>
          <t>CADAuthority</t>
        </is>
      </c>
      <c r="M557" s="3" t="inlineStr">
        <is>
          <t>CAD Authority</t>
        </is>
      </c>
      <c r="N557" s="6" t="inlineStr">
        <is>
          <t>開く</t>
        </is>
      </c>
    </row>
    <row r="558">
      <c r="A558" s="2">
        <f>RANK(J558,$J$2:$J$697)</f>
        <v/>
      </c>
      <c r="B558" s="3" t="inlineStr">
        <is>
          <t>文字・テキスト</t>
        </is>
      </c>
      <c r="C558" s="3" t="inlineStr">
        <is>
          <t>STX / USTX</t>
        </is>
      </c>
      <c r="D558" s="4" t="inlineStr">
        <is>
          <t>StText</t>
        </is>
      </c>
      <c r="E558" s="4" t="inlineStr">
        <is>
          <t>文字の伸縮・解除</t>
        </is>
      </c>
      <c r="F558" s="2" t="n">
        <v>8</v>
      </c>
      <c r="G558" s="2" t="n">
        <v>6</v>
      </c>
      <c r="H558" s="2" t="n">
        <v>4</v>
      </c>
      <c r="I558" s="2" t="n">
        <v>10</v>
      </c>
      <c r="J558" s="5">
        <f>SUM(F558:I558)</f>
        <v/>
      </c>
      <c r="K558" s="4" t="inlineStr">
        <is>
          <t>幅係数で代替可</t>
        </is>
      </c>
      <c r="L558" s="3" t="inlineStr">
        <is>
          <t>Jeffery P. Sanders</t>
        </is>
      </c>
      <c r="M558" s="3" t="inlineStr">
        <is>
          <t>JefferyPSanders.com</t>
        </is>
      </c>
      <c r="N558" s="6" t="inlineStr">
        <is>
          <t>開く</t>
        </is>
      </c>
    </row>
    <row r="559">
      <c r="A559" s="2">
        <f>RANK(J559,$J$2:$J$697)</f>
        <v/>
      </c>
      <c r="B559" s="3" t="inlineStr">
        <is>
          <t>文字・テキスト</t>
        </is>
      </c>
      <c r="C559" s="3" t="inlineStr">
        <is>
          <t>TCASE</t>
        </is>
      </c>
      <c r="D559" s="4" t="inlineStr">
        <is>
          <t>TextCaseSwitcher.lsp</t>
        </is>
      </c>
      <c r="E559" s="4" t="inlineStr">
        <is>
          <t>文字の大文字小文字を切替</t>
        </is>
      </c>
      <c r="F559" s="2" t="n">
        <v>2</v>
      </c>
      <c r="G559" s="2" t="n">
        <v>3</v>
      </c>
      <c r="H559" s="2" t="n">
        <v>5</v>
      </c>
      <c r="I559" s="2" t="n">
        <v>18</v>
      </c>
      <c r="J559" s="5">
        <f>SUM(F559:I559)</f>
        <v/>
      </c>
      <c r="K559" s="4" t="inlineStr">
        <is>
          <t>標準TCASEで代替可</t>
        </is>
      </c>
      <c r="L559" s="3" t="inlineStr">
        <is>
          <t>CADAuthority</t>
        </is>
      </c>
      <c r="M559" s="3" t="inlineStr">
        <is>
          <t>CAD Authority</t>
        </is>
      </c>
      <c r="N559" s="6" t="inlineStr">
        <is>
          <t>開く</t>
        </is>
      </c>
    </row>
    <row r="560">
      <c r="A560" s="2">
        <f>RANK(J560,$J$2:$J$697)</f>
        <v/>
      </c>
      <c r="B560" s="3" t="inlineStr">
        <is>
          <t>文字・テキスト</t>
        </is>
      </c>
      <c r="C560" s="3" t="inlineStr">
        <is>
          <t>txtrot</t>
        </is>
      </c>
      <c r="D560" s="4" t="inlineStr">
        <is>
          <t>txtRot.lsp</t>
        </is>
      </c>
      <c r="E560" s="4" t="inlineStr">
        <is>
          <t>文字を指定角度に回転</t>
        </is>
      </c>
      <c r="F560" s="2" t="n">
        <v>4</v>
      </c>
      <c r="G560" s="2" t="n">
        <v>3</v>
      </c>
      <c r="H560" s="2" t="n">
        <v>5</v>
      </c>
      <c r="I560" s="2" t="n">
        <v>16</v>
      </c>
      <c r="J560" s="5">
        <f>SUM(F560:I560)</f>
        <v/>
      </c>
      <c r="K560" s="4" t="inlineStr">
        <is>
          <t>プロパティで一括回転可</t>
        </is>
      </c>
      <c r="L560" s="3" t="inlineStr">
        <is>
          <t>JTB World (Jimmy Bergmark)</t>
        </is>
      </c>
      <c r="M560" s="3" t="inlineStr">
        <is>
          <t>JTB World</t>
        </is>
      </c>
      <c r="N560" s="6" t="inlineStr">
        <is>
          <t>開く</t>
        </is>
      </c>
    </row>
    <row r="561">
      <c r="A561" s="2">
        <f>RANK(J561,$J$2:$J$697)</f>
        <v/>
      </c>
      <c r="B561" s="3" t="inlineStr">
        <is>
          <t>線・ポリライン編集</t>
        </is>
      </c>
      <c r="C561" s="3" t="inlineStr">
        <is>
          <t>-</t>
        </is>
      </c>
      <c r="D561" s="4" t="inlineStr">
        <is>
          <t>Zero Elevation (zp.lsp)</t>
        </is>
      </c>
      <c r="E561" s="4" t="inlineStr">
        <is>
          <t>線の標高を0にする</t>
        </is>
      </c>
      <c r="F561" s="2" t="n">
        <v>4</v>
      </c>
      <c r="G561" s="2" t="n">
        <v>3</v>
      </c>
      <c r="H561" s="2" t="n">
        <v>8</v>
      </c>
      <c r="I561" s="2" t="n">
        <v>13</v>
      </c>
      <c r="J561" s="5">
        <f>SUM(F561:I561)</f>
        <v/>
      </c>
      <c r="K561" s="4" t="inlineStr">
        <is>
          <t>FLATTENで代替可</t>
        </is>
      </c>
      <c r="L561" s="3" t="inlineStr"/>
      <c r="M561" s="3" t="inlineStr">
        <is>
          <t>draftsperson.net</t>
        </is>
      </c>
      <c r="N561" s="6" t="inlineStr">
        <is>
          <t>開く</t>
        </is>
      </c>
    </row>
    <row r="562">
      <c r="A562" s="2">
        <f>RANK(J562,$J$2:$J$697)</f>
        <v/>
      </c>
      <c r="B562" s="3" t="inlineStr">
        <is>
          <t>ハッチ・面積・長さ集計</t>
        </is>
      </c>
      <c r="C562" s="3" t="inlineStr">
        <is>
          <t>areaOfObject</t>
        </is>
      </c>
      <c r="D562" s="4" t="inlineStr">
        <is>
          <t>areaOfObject.lsp</t>
        </is>
      </c>
      <c r="E562" s="4" t="inlineStr">
        <is>
          <t>選択図形の面積を表示</t>
        </is>
      </c>
      <c r="F562" s="2" t="n">
        <v>5</v>
      </c>
      <c r="G562" s="2" t="n">
        <v>3</v>
      </c>
      <c r="H562" s="2" t="n">
        <v>4</v>
      </c>
      <c r="I562" s="2" t="n">
        <v>15</v>
      </c>
      <c r="J562" s="5">
        <f>SUM(F562:I562)</f>
        <v/>
      </c>
      <c r="K562" s="4" t="inlineStr">
        <is>
          <t>プロパティで面積確認可</t>
        </is>
      </c>
      <c r="L562" s="3" t="inlineStr">
        <is>
          <t>JTB World (Jimmy Bergmark)</t>
        </is>
      </c>
      <c r="M562" s="3" t="inlineStr">
        <is>
          <t>JTB World</t>
        </is>
      </c>
      <c r="N562" s="6" t="inlineStr">
        <is>
          <t>開く</t>
        </is>
      </c>
    </row>
    <row r="563">
      <c r="A563" s="2">
        <f>RANK(J563,$J$2:$J$697)</f>
        <v/>
      </c>
      <c r="B563" s="3" t="inlineStr">
        <is>
          <t>作図</t>
        </is>
      </c>
      <c r="C563" s="3" t="inlineStr">
        <is>
          <t>CLine</t>
        </is>
      </c>
      <c r="D563" s="4" t="inlineStr">
        <is>
          <t>Centerline</t>
        </is>
      </c>
      <c r="E563" s="4" t="inlineStr">
        <is>
          <t>円・円弧に中心線を作図</t>
        </is>
      </c>
      <c r="F563" s="2" t="n">
        <v>3</v>
      </c>
      <c r="G563" s="2" t="n">
        <v>5</v>
      </c>
      <c r="H563" s="2" t="n">
        <v>7</v>
      </c>
      <c r="I563" s="2" t="n">
        <v>12</v>
      </c>
      <c r="J563" s="5">
        <f>SUM(F563:I563)</f>
        <v/>
      </c>
      <c r="K563" s="4" t="inlineStr">
        <is>
          <t>標準CENTERMARKで代替</t>
        </is>
      </c>
      <c r="L563" s="3" t="inlineStr">
        <is>
          <t>Lee Mac</t>
        </is>
      </c>
      <c r="M563" s="3" t="inlineStr">
        <is>
          <t>Lee Mac Programming</t>
        </is>
      </c>
      <c r="N563" s="6" t="inlineStr">
        <is>
          <t>開く</t>
        </is>
      </c>
    </row>
    <row r="564">
      <c r="A564" s="2">
        <f>RANK(J564,$J$2:$J$697)</f>
        <v/>
      </c>
      <c r="B564" s="3" t="inlineStr">
        <is>
          <t>その他</t>
        </is>
      </c>
      <c r="C564" s="3" t="inlineStr">
        <is>
          <t>clock / runclock</t>
        </is>
      </c>
      <c r="D564" s="4" t="inlineStr">
        <is>
          <t>Clock</t>
        </is>
      </c>
      <c r="E564" s="4" t="inlineStr">
        <is>
          <t>図面上に時計を表示</t>
        </is>
      </c>
      <c r="F564" s="2" t="n">
        <v>12</v>
      </c>
      <c r="G564" s="2" t="n">
        <v>12</v>
      </c>
      <c r="H564" s="2" t="n">
        <v>1</v>
      </c>
      <c r="I564" s="2" t="n">
        <v>2</v>
      </c>
      <c r="J564" s="5">
        <f>SUM(F564:I564)</f>
        <v/>
      </c>
      <c r="K564" s="4" t="inlineStr">
        <is>
          <t>娯楽</t>
        </is>
      </c>
      <c r="L564" s="3" t="inlineStr">
        <is>
          <t>Lee Mac</t>
        </is>
      </c>
      <c r="M564" s="3" t="inlineStr">
        <is>
          <t>Lee Mac Programming</t>
        </is>
      </c>
      <c r="N564" s="6" t="inlineStr">
        <is>
          <t>開く</t>
        </is>
      </c>
    </row>
    <row r="565">
      <c r="A565" s="2">
        <f>RANK(J565,$J$2:$J$697)</f>
        <v/>
      </c>
      <c r="B565" s="3" t="inlineStr">
        <is>
          <t>LISP開発用の部品</t>
        </is>
      </c>
      <c r="C565" s="3" t="inlineStr">
        <is>
          <t>-</t>
        </is>
      </c>
      <c r="D565" s="4" t="inlineStr">
        <is>
          <t>Copy Folder</t>
        </is>
      </c>
      <c r="E565" s="4" t="inlineStr">
        <is>
          <t>フォルダコピー関数</t>
        </is>
      </c>
      <c r="F565" s="2" t="n">
        <v>11</v>
      </c>
      <c r="G565" s="2" t="n">
        <v>6</v>
      </c>
      <c r="H565" s="2" t="n">
        <v>4</v>
      </c>
      <c r="I565" s="2" t="n">
        <v>6</v>
      </c>
      <c r="J565" s="5">
        <f>SUM(F565:I565)</f>
        <v/>
      </c>
      <c r="K565" s="4" t="inlineStr">
        <is>
          <t>フォルダコピー</t>
        </is>
      </c>
      <c r="L565" s="3" t="inlineStr">
        <is>
          <t>Lee Mac</t>
        </is>
      </c>
      <c r="M565" s="3" t="inlineStr">
        <is>
          <t>Lee Mac Programming</t>
        </is>
      </c>
      <c r="N565" s="6" t="inlineStr">
        <is>
          <t>開く</t>
        </is>
      </c>
    </row>
    <row r="566">
      <c r="A566" s="2">
        <f>RANK(J566,$J$2:$J$697)</f>
        <v/>
      </c>
      <c r="B566" s="3" t="inlineStr">
        <is>
          <t>LISP開発用の部品</t>
        </is>
      </c>
      <c r="C566" s="3" t="inlineStr">
        <is>
          <t>-</t>
        </is>
      </c>
      <c r="D566" s="4" t="inlineStr">
        <is>
          <t>Directory Files</t>
        </is>
      </c>
      <c r="E566" s="4" t="inlineStr">
        <is>
          <t>フォルダ内ファイル取得関数</t>
        </is>
      </c>
      <c r="F566" s="2" t="n">
        <v>10</v>
      </c>
      <c r="G566" s="2" t="n">
        <v>6</v>
      </c>
      <c r="H566" s="2" t="n">
        <v>4</v>
      </c>
      <c r="I566" s="2" t="n">
        <v>7</v>
      </c>
      <c r="J566" s="5">
        <f>SUM(F566:I566)</f>
        <v/>
      </c>
      <c r="K566" s="4" t="inlineStr">
        <is>
          <t>再帰ファイル取得</t>
        </is>
      </c>
      <c r="L566" s="3" t="inlineStr">
        <is>
          <t>Lee Mac</t>
        </is>
      </c>
      <c r="M566" s="3" t="inlineStr">
        <is>
          <t>Lee Mac Programming</t>
        </is>
      </c>
      <c r="N566" s="6" t="inlineStr">
        <is>
          <t>開く</t>
        </is>
      </c>
    </row>
    <row r="567">
      <c r="A567" s="2">
        <f>RANK(J567,$J$2:$J$697)</f>
        <v/>
      </c>
      <c r="B567" s="3" t="inlineStr">
        <is>
          <t>画層</t>
        </is>
      </c>
      <c r="C567" s="3" t="inlineStr">
        <is>
          <t>FZ / UFZ</t>
        </is>
      </c>
      <c r="D567" s="4" t="inlineStr">
        <is>
          <t>FZ / UFZ</t>
        </is>
      </c>
      <c r="E567" s="4" t="inlineStr">
        <is>
          <t>全画層の凍結・解凍</t>
        </is>
      </c>
      <c r="F567" s="2" t="n">
        <v>4</v>
      </c>
      <c r="G567" s="2" t="n">
        <v>3</v>
      </c>
      <c r="H567" s="2" t="n">
        <v>4</v>
      </c>
      <c r="I567" s="2" t="n">
        <v>16</v>
      </c>
      <c r="J567" s="5">
        <f>SUM(F567:I567)</f>
        <v/>
      </c>
      <c r="K567" s="4" t="inlineStr">
        <is>
          <t>LAYTHW等で代替可</t>
        </is>
      </c>
      <c r="L567" s="3" t="inlineStr">
        <is>
          <t>Jeffery P. Sanders</t>
        </is>
      </c>
      <c r="M567" s="3" t="inlineStr">
        <is>
          <t>JefferyPSanders.com</t>
        </is>
      </c>
      <c r="N567" s="6" t="inlineStr">
        <is>
          <t>開く</t>
        </is>
      </c>
    </row>
    <row r="568">
      <c r="A568" s="2">
        <f>RANK(J568,$J$2:$J$697)</f>
        <v/>
      </c>
      <c r="B568" s="3" t="inlineStr">
        <is>
          <t>LISP開発用の部品</t>
        </is>
      </c>
      <c r="C568" s="3" t="inlineStr">
        <is>
          <t>-</t>
        </is>
      </c>
      <c r="D568" s="4" t="inlineStr">
        <is>
          <t>List Box Functions</t>
        </is>
      </c>
      <c r="E568" s="4" t="inlineStr">
        <is>
          <t>リストボックス操作関数</t>
        </is>
      </c>
      <c r="F568" s="2" t="n">
        <v>9</v>
      </c>
      <c r="G568" s="2" t="n">
        <v>7</v>
      </c>
      <c r="H568" s="2" t="n">
        <v>4</v>
      </c>
      <c r="I568" s="2" t="n">
        <v>7</v>
      </c>
      <c r="J568" s="5">
        <f>SUM(F568:I568)</f>
        <v/>
      </c>
      <c r="K568" s="4" t="inlineStr">
        <is>
          <t>リストボックス操作</t>
        </is>
      </c>
      <c r="L568" s="3" t="inlineStr">
        <is>
          <t>Lee Mac</t>
        </is>
      </c>
      <c r="M568" s="3" t="inlineStr">
        <is>
          <t>Lee Mac Programming</t>
        </is>
      </c>
      <c r="N568" s="6" t="inlineStr">
        <is>
          <t>開く</t>
        </is>
      </c>
    </row>
    <row r="569">
      <c r="A569" s="2">
        <f>RANK(J569,$J$2:$J$697)</f>
        <v/>
      </c>
      <c r="B569" s="3" t="inlineStr">
        <is>
          <t>LISP開発用の部品</t>
        </is>
      </c>
      <c r="C569" s="3" t="inlineStr">
        <is>
          <t>-</t>
        </is>
      </c>
      <c r="D569" s="4" t="inlineStr">
        <is>
          <t>Parse Numbers</t>
        </is>
      </c>
      <c r="E569" s="4" t="inlineStr">
        <is>
          <t>文字列から数値抽出関数</t>
        </is>
      </c>
      <c r="F569" s="2" t="n">
        <v>9</v>
      </c>
      <c r="G569" s="2" t="n">
        <v>7</v>
      </c>
      <c r="H569" s="2" t="n">
        <v>4</v>
      </c>
      <c r="I569" s="2" t="n">
        <v>7</v>
      </c>
      <c r="J569" s="5">
        <f>SUM(F569:I569)</f>
        <v/>
      </c>
      <c r="K569" s="4" t="inlineStr">
        <is>
          <t>文字列から数値抽出</t>
        </is>
      </c>
      <c r="L569" s="3" t="inlineStr">
        <is>
          <t>Lee Mac</t>
        </is>
      </c>
      <c r="M569" s="3" t="inlineStr">
        <is>
          <t>Lee Mac Programming</t>
        </is>
      </c>
      <c r="N569" s="6" t="inlineStr">
        <is>
          <t>開く</t>
        </is>
      </c>
    </row>
    <row r="570">
      <c r="A570" s="2">
        <f>RANK(J570,$J$2:$J$697)</f>
        <v/>
      </c>
      <c r="B570" s="3" t="inlineStr">
        <is>
          <t>ブロック・属性</t>
        </is>
      </c>
      <c r="C570" s="3" t="inlineStr">
        <is>
          <t>-</t>
        </is>
      </c>
      <c r="D570" s="4" t="inlineStr">
        <is>
          <t>Paste As Block (pasteasblock.LSP)</t>
        </is>
      </c>
      <c r="E570" s="4" t="inlineStr">
        <is>
          <t>選択図形をブロック化して配置</t>
        </is>
      </c>
      <c r="F570" s="2" t="n">
        <v>3</v>
      </c>
      <c r="G570" s="2" t="n">
        <v>4</v>
      </c>
      <c r="H570" s="2" t="n">
        <v>6</v>
      </c>
      <c r="I570" s="2" t="n">
        <v>14</v>
      </c>
      <c r="J570" s="5">
        <f>SUM(F570:I570)</f>
        <v/>
      </c>
      <c r="K570" s="4" t="inlineStr">
        <is>
          <t>標準PASTEBLOCKで代替</t>
        </is>
      </c>
      <c r="L570" s="3" t="inlineStr"/>
      <c r="M570" s="3" t="inlineStr">
        <is>
          <t>draftsperson.net</t>
        </is>
      </c>
      <c r="N570" s="6" t="inlineStr">
        <is>
          <t>開く</t>
        </is>
      </c>
    </row>
    <row r="571">
      <c r="A571" s="2">
        <f>RANK(J571,$J$2:$J$697)</f>
        <v/>
      </c>
      <c r="B571" s="3" t="inlineStr">
        <is>
          <t>印刷・レイアウト・図枠</t>
        </is>
      </c>
      <c r="C571" s="3" t="inlineStr">
        <is>
          <t>plotdialog</t>
        </is>
      </c>
      <c r="D571" s="4" t="inlineStr">
        <is>
          <t>plotdialog.lsp</t>
        </is>
      </c>
      <c r="E571" s="4" t="inlineStr">
        <is>
          <t>印刷ダイアログを強制表示</t>
        </is>
      </c>
      <c r="F571" s="2" t="n">
        <v>6</v>
      </c>
      <c r="G571" s="2" t="n">
        <v>5</v>
      </c>
      <c r="H571" s="2" t="n">
        <v>4</v>
      </c>
      <c r="I571" s="2" t="n">
        <v>12</v>
      </c>
      <c r="J571" s="5">
        <f>SUM(F571:I571)</f>
        <v/>
      </c>
      <c r="K571" s="4" t="inlineStr">
        <is>
          <t>CMDDIA設定で代替</t>
        </is>
      </c>
      <c r="L571" s="3" t="inlineStr">
        <is>
          <t>JTB World (Jimmy Bergmark)</t>
        </is>
      </c>
      <c r="M571" s="3" t="inlineStr">
        <is>
          <t>JTB World</t>
        </is>
      </c>
      <c r="N571" s="6" t="inlineStr">
        <is>
          <t>開く</t>
        </is>
      </c>
    </row>
    <row r="572">
      <c r="A572" s="2">
        <f>RANK(J572,$J$2:$J$697)</f>
        <v/>
      </c>
      <c r="B572" s="3" t="inlineStr">
        <is>
          <t>LISP開発用の部品</t>
        </is>
      </c>
      <c r="C572" s="3" t="inlineStr">
        <is>
          <t>-</t>
        </is>
      </c>
      <c r="D572" s="4" t="inlineStr">
        <is>
          <t>Random Number Functions</t>
        </is>
      </c>
      <c r="E572" s="4" t="inlineStr">
        <is>
          <t>乱数生成関数</t>
        </is>
      </c>
      <c r="F572" s="2" t="n">
        <v>11</v>
      </c>
      <c r="G572" s="2" t="n">
        <v>8</v>
      </c>
      <c r="H572" s="2" t="n">
        <v>3</v>
      </c>
      <c r="I572" s="2" t="n">
        <v>5</v>
      </c>
      <c r="J572" s="5">
        <f>SUM(F572:I572)</f>
        <v/>
      </c>
      <c r="K572" s="4" t="inlineStr">
        <is>
          <t>乱数生成</t>
        </is>
      </c>
      <c r="L572" s="3" t="inlineStr">
        <is>
          <t>Lee Mac</t>
        </is>
      </c>
      <c r="M572" s="3" t="inlineStr">
        <is>
          <t>Lee Mac Programming</t>
        </is>
      </c>
      <c r="N572" s="6" t="inlineStr">
        <is>
          <t>開く</t>
        </is>
      </c>
    </row>
    <row r="573">
      <c r="A573" s="2">
        <f>RANK(J573,$J$2:$J$697)</f>
        <v/>
      </c>
      <c r="B573" s="3" t="inlineStr">
        <is>
          <t>印刷・レイアウト・図枠</t>
        </is>
      </c>
      <c r="C573" s="3" t="inlineStr">
        <is>
          <t>SelectPlotter</t>
        </is>
      </c>
      <c r="D573" s="4" t="inlineStr">
        <is>
          <t>SelectPlotter</t>
        </is>
      </c>
      <c r="E573" s="4" t="inlineStr">
        <is>
          <t>一覧からプリンタを選択</t>
        </is>
      </c>
      <c r="F573" s="2" t="n">
        <v>5</v>
      </c>
      <c r="G573" s="2" t="n">
        <v>5</v>
      </c>
      <c r="H573" s="2" t="n">
        <v>4</v>
      </c>
      <c r="I573" s="2" t="n">
        <v>13</v>
      </c>
      <c r="J573" s="5">
        <f>SUM(F573:I573)</f>
        <v/>
      </c>
      <c r="K573" s="4" t="inlineStr">
        <is>
          <t>標準印刷ダイアログで可</t>
        </is>
      </c>
      <c r="L573" s="3" t="inlineStr">
        <is>
          <t>Jeffery P. Sanders</t>
        </is>
      </c>
      <c r="M573" s="3" t="inlineStr">
        <is>
          <t>JefferyPSanders.com</t>
        </is>
      </c>
      <c r="N573" s="6" t="inlineStr">
        <is>
          <t>開く</t>
        </is>
      </c>
    </row>
    <row r="574">
      <c r="A574" s="2">
        <f>RANK(J574,$J$2:$J$697)</f>
        <v/>
      </c>
      <c r="B574" s="3" t="inlineStr">
        <is>
          <t>構造・鉄骨・機械</t>
        </is>
      </c>
      <c r="C574" s="3" t="inlineStr">
        <is>
          <t>-</t>
        </is>
      </c>
      <c r="D574" s="4" t="inlineStr">
        <is>
          <t>Slot in Circle (slot.zip)</t>
        </is>
      </c>
      <c r="E574" s="4" t="inlineStr">
        <is>
          <t>円に長穴を切る</t>
        </is>
      </c>
      <c r="F574" s="2" t="n">
        <v>10</v>
      </c>
      <c r="G574" s="2" t="n">
        <v>6</v>
      </c>
      <c r="H574" s="2" t="n">
        <v>5</v>
      </c>
      <c r="I574" s="2" t="n">
        <v>6</v>
      </c>
      <c r="J574" s="5">
        <f>SUM(F574:I574)</f>
        <v/>
      </c>
      <c r="K574" s="4" t="inlineStr">
        <is>
          <t>TRIMで数手で可</t>
        </is>
      </c>
      <c r="L574" s="3" t="inlineStr"/>
      <c r="M574" s="3" t="inlineStr">
        <is>
          <t>draftsperson.net</t>
        </is>
      </c>
      <c r="N574" s="6" t="inlineStr">
        <is>
          <t>開く</t>
        </is>
      </c>
    </row>
    <row r="575">
      <c r="A575" s="2">
        <f>RANK(J575,$J$2:$J$697)</f>
        <v/>
      </c>
      <c r="B575" s="3" t="inlineStr">
        <is>
          <t>作図</t>
        </is>
      </c>
      <c r="C575" s="3" t="inlineStr">
        <is>
          <t>tp</t>
        </is>
      </c>
      <c r="D575" s="4" t="inlineStr">
        <is>
          <t>Tape Measure</t>
        </is>
      </c>
      <c r="E575" s="4" t="inlineStr">
        <is>
          <t>巻尺形状を作図</t>
        </is>
      </c>
      <c r="F575" s="2" t="n">
        <v>12</v>
      </c>
      <c r="G575" s="2" t="n">
        <v>10</v>
      </c>
      <c r="H575" s="2" t="n">
        <v>2</v>
      </c>
      <c r="I575" s="2" t="n">
        <v>3</v>
      </c>
      <c r="J575" s="5">
        <f>SUM(F575:I575)</f>
        <v/>
      </c>
      <c r="K575" s="4" t="inlineStr">
        <is>
          <t>巻尺形状の遊び</t>
        </is>
      </c>
      <c r="L575" s="3" t="inlineStr">
        <is>
          <t>Mark Beggs</t>
        </is>
      </c>
      <c r="M575" s="3" t="inlineStr">
        <is>
          <t>JTB World</t>
        </is>
      </c>
      <c r="N575" s="6" t="inlineStr">
        <is>
          <t>開く</t>
        </is>
      </c>
    </row>
    <row r="576">
      <c r="A576" s="2">
        <f>RANK(J576,$J$2:$J$697)</f>
        <v/>
      </c>
      <c r="B576" s="3" t="inlineStr">
        <is>
          <t>文字・テキスト</t>
        </is>
      </c>
      <c r="C576" s="3" t="inlineStr">
        <is>
          <t>TXTFIT</t>
        </is>
      </c>
      <c r="D576" s="4" t="inlineStr">
        <is>
          <t>TextFitToWidth.lsp</t>
        </is>
      </c>
      <c r="E576" s="4" t="inlineStr">
        <is>
          <t>文字を2点間幅に合わせる</t>
        </is>
      </c>
      <c r="F576" s="2" t="n">
        <v>3</v>
      </c>
      <c r="G576" s="2" t="n">
        <v>4</v>
      </c>
      <c r="H576" s="2" t="n">
        <v>5</v>
      </c>
      <c r="I576" s="2" t="n">
        <v>15</v>
      </c>
      <c r="J576" s="5">
        <f>SUM(F576:I576)</f>
        <v/>
      </c>
      <c r="K576" s="4" t="inlineStr">
        <is>
          <t>標準TEXTFITで代替可</t>
        </is>
      </c>
      <c r="L576" s="3" t="inlineStr">
        <is>
          <t>CADAuthority</t>
        </is>
      </c>
      <c r="M576" s="3" t="inlineStr">
        <is>
          <t>CAD Authority</t>
        </is>
      </c>
      <c r="N576" s="6" t="inlineStr">
        <is>
          <t>開く</t>
        </is>
      </c>
    </row>
    <row r="577">
      <c r="A577" s="2">
        <f>RANK(J577,$J$2:$J$697)</f>
        <v/>
      </c>
      <c r="B577" s="3" t="inlineStr">
        <is>
          <t>文字・テキスト</t>
        </is>
      </c>
      <c r="C577" s="3" t="inlineStr">
        <is>
          <t>WORDS</t>
        </is>
      </c>
      <c r="D577" s="4" t="inlineStr">
        <is>
          <t>Words</t>
        </is>
      </c>
      <c r="E577" s="4" t="inlineStr">
        <is>
          <t>図面内の単語数を数える</t>
        </is>
      </c>
      <c r="F577" s="2" t="n">
        <v>10</v>
      </c>
      <c r="G577" s="2" t="n">
        <v>6</v>
      </c>
      <c r="H577" s="2" t="n">
        <v>3</v>
      </c>
      <c r="I577" s="2" t="n">
        <v>8</v>
      </c>
      <c r="J577" s="5">
        <f>SUM(F577:I577)</f>
        <v/>
      </c>
      <c r="K577" s="4" t="inlineStr">
        <is>
          <t>単語数カウントは稀</t>
        </is>
      </c>
      <c r="L577" s="3" t="inlineStr">
        <is>
          <t>Jeffery P. Sanders</t>
        </is>
      </c>
      <c r="M577" s="3" t="inlineStr">
        <is>
          <t>JefferyPSanders.com</t>
        </is>
      </c>
      <c r="N577" s="6" t="inlineStr">
        <is>
          <t>開く</t>
        </is>
      </c>
    </row>
    <row r="578">
      <c r="A578" s="2">
        <f>RANK(J578,$J$2:$J$697)</f>
        <v/>
      </c>
      <c r="B578" s="3" t="inlineStr">
        <is>
          <t>建築</t>
        </is>
      </c>
      <c r="C578" s="3" t="inlineStr">
        <is>
          <t>-</t>
        </is>
      </c>
      <c r="D578" s="4" t="inlineStr">
        <is>
          <t>AecExportToAutoCAD.lsp</t>
        </is>
      </c>
      <c r="E578" s="4" t="inlineStr">
        <is>
          <t>AEC書出し設定の読書き</t>
        </is>
      </c>
      <c r="F578" s="2" t="n">
        <v>10</v>
      </c>
      <c r="G578" s="2" t="n">
        <v>8</v>
      </c>
      <c r="H578" s="2" t="n">
        <v>5</v>
      </c>
      <c r="I578" s="2" t="n">
        <v>3</v>
      </c>
      <c r="J578" s="5">
        <f>SUM(F578:I578)</f>
        <v/>
      </c>
      <c r="K578" s="4" t="inlineStr">
        <is>
          <t>AEC専用の書出し設定</t>
        </is>
      </c>
      <c r="L578" s="3" t="inlineStr">
        <is>
          <t>JTB World (Jimmy Bergmark)</t>
        </is>
      </c>
      <c r="M578" s="3" t="inlineStr">
        <is>
          <t>JTB World</t>
        </is>
      </c>
      <c r="N578" s="6" t="inlineStr">
        <is>
          <t>開く</t>
        </is>
      </c>
    </row>
    <row r="579">
      <c r="A579" s="2">
        <f>RANK(J579,$J$2:$J$697)</f>
        <v/>
      </c>
      <c r="B579" s="3" t="inlineStr">
        <is>
          <t>LISP開発用の部品</t>
        </is>
      </c>
      <c r="C579" s="3" t="inlineStr">
        <is>
          <t>-</t>
        </is>
      </c>
      <c r="D579" s="4" t="inlineStr">
        <is>
          <t>axBlock.LSP</t>
        </is>
      </c>
      <c r="E579" s="4" t="inlineStr">
        <is>
          <t>ブロック・属性操作関数集</t>
        </is>
      </c>
      <c r="F579" s="2" t="n">
        <v>7</v>
      </c>
      <c r="G579" s="2" t="n">
        <v>6</v>
      </c>
      <c r="H579" s="2" t="n">
        <v>5</v>
      </c>
      <c r="I579" s="2" t="n">
        <v>8</v>
      </c>
      <c r="J579" s="5">
        <f>SUM(F579:I579)</f>
        <v/>
      </c>
      <c r="K579" s="4" t="inlineStr">
        <is>
          <t>ActiveXの薄いラッパ</t>
        </is>
      </c>
      <c r="L579" s="3" t="inlineStr">
        <is>
          <t>JTB World (Jimmy Bergmark)</t>
        </is>
      </c>
      <c r="M579" s="3" t="inlineStr">
        <is>
          <t>JTB World</t>
        </is>
      </c>
      <c r="N579" s="6" t="inlineStr">
        <is>
          <t>開く</t>
        </is>
      </c>
    </row>
    <row r="580">
      <c r="A580" s="2">
        <f>RANK(J580,$J$2:$J$697)</f>
        <v/>
      </c>
      <c r="B580" s="3" t="inlineStr">
        <is>
          <t>LISP開発用の部品</t>
        </is>
      </c>
      <c r="C580" s="3" t="inlineStr">
        <is>
          <t>-</t>
        </is>
      </c>
      <c r="D580" s="4" t="inlineStr">
        <is>
          <t>axCreateVP.LSP</t>
        </is>
      </c>
      <c r="E580" s="4" t="inlineStr">
        <is>
          <t>ビューポート作成関数</t>
        </is>
      </c>
      <c r="F580" s="2" t="n">
        <v>8</v>
      </c>
      <c r="G580" s="2" t="n">
        <v>6</v>
      </c>
      <c r="H580" s="2" t="n">
        <v>5</v>
      </c>
      <c r="I580" s="2" t="n">
        <v>7</v>
      </c>
      <c r="J580" s="5">
        <f>SUM(F580:I580)</f>
        <v/>
      </c>
      <c r="K580" s="4" t="inlineStr">
        <is>
          <t>VP作成ラッパ</t>
        </is>
      </c>
      <c r="L580" s="3" t="inlineStr">
        <is>
          <t>JTB World (Jimmy Bergmark)</t>
        </is>
      </c>
      <c r="M580" s="3" t="inlineStr">
        <is>
          <t>JTB World</t>
        </is>
      </c>
      <c r="N580" s="6" t="inlineStr">
        <is>
          <t>開く</t>
        </is>
      </c>
    </row>
    <row r="581">
      <c r="A581" s="2">
        <f>RANK(J581,$J$2:$J$697)</f>
        <v/>
      </c>
      <c r="B581" s="3" t="inlineStr">
        <is>
          <t>線・ポリライン編集</t>
        </is>
      </c>
      <c r="C581" s="3" t="inlineStr">
        <is>
          <t>-</t>
        </is>
      </c>
      <c r="D581" s="4" t="inlineStr">
        <is>
          <t>Change Entity Properties (CHG3.LSP)</t>
        </is>
      </c>
      <c r="E581" s="4" t="inlineStr">
        <is>
          <t>図形プロパティを番号選択で変更</t>
        </is>
      </c>
      <c r="F581" s="2" t="n">
        <v>3</v>
      </c>
      <c r="G581" s="2" t="n">
        <v>5</v>
      </c>
      <c r="H581" s="2" t="n">
        <v>6</v>
      </c>
      <c r="I581" s="2" t="n">
        <v>12</v>
      </c>
      <c r="J581" s="5">
        <f>SUM(F581:I581)</f>
        <v/>
      </c>
      <c r="K581" s="4" t="inlineStr">
        <is>
          <t>プロパティパレットで代替</t>
        </is>
      </c>
      <c r="L581" s="3" t="inlineStr"/>
      <c r="M581" s="3" t="inlineStr">
        <is>
          <t>draftsperson.net</t>
        </is>
      </c>
      <c r="N581" s="6" t="inlineStr">
        <is>
          <t>開く</t>
        </is>
      </c>
    </row>
    <row r="582">
      <c r="A582" s="2">
        <f>RANK(J582,$J$2:$J$697)</f>
        <v/>
      </c>
      <c r="B582" s="3" t="inlineStr">
        <is>
          <t>線・ポリライン編集</t>
        </is>
      </c>
      <c r="C582" s="3" t="inlineStr">
        <is>
          <t>FZ</t>
        </is>
      </c>
      <c r="D582" s="4" t="inlineStr">
        <is>
          <t>FilletZero.lsp</t>
        </is>
      </c>
      <c r="E582" s="4" t="inlineStr">
        <is>
          <t>半径0でフィレット</t>
        </is>
      </c>
      <c r="F582" s="2" t="n">
        <v>2</v>
      </c>
      <c r="G582" s="2" t="n">
        <v>2</v>
      </c>
      <c r="H582" s="2" t="n">
        <v>6</v>
      </c>
      <c r="I582" s="2" t="n">
        <v>16</v>
      </c>
      <c r="J582" s="5">
        <f>SUM(F582:I582)</f>
        <v/>
      </c>
      <c r="K582" s="4" t="inlineStr">
        <is>
          <t>FILLET半径0で済む</t>
        </is>
      </c>
      <c r="L582" s="3" t="inlineStr">
        <is>
          <t>CADAuthority</t>
        </is>
      </c>
      <c r="M582" s="3" t="inlineStr">
        <is>
          <t>CAD Authority</t>
        </is>
      </c>
      <c r="N582" s="6" t="inlineStr">
        <is>
          <t>開く</t>
        </is>
      </c>
    </row>
    <row r="583">
      <c r="A583" s="2">
        <f>RANK(J583,$J$2:$J$697)</f>
        <v/>
      </c>
      <c r="B583" s="3" t="inlineStr">
        <is>
          <t>画層</t>
        </is>
      </c>
      <c r="C583" s="3" t="inlineStr">
        <is>
          <t>-</t>
        </is>
      </c>
      <c r="D583" s="4" t="inlineStr">
        <is>
          <t>layer-toggle-freeze.lsp</t>
        </is>
      </c>
      <c r="E583" s="4" t="inlineStr">
        <is>
          <t>画層の凍結を切替え</t>
        </is>
      </c>
      <c r="F583" s="2" t="n">
        <v>3</v>
      </c>
      <c r="G583" s="2" t="n">
        <v>3</v>
      </c>
      <c r="H583" s="2" t="n">
        <v>4</v>
      </c>
      <c r="I583" s="2" t="n">
        <v>16</v>
      </c>
      <c r="J583" s="5">
        <f>SUM(F583:I583)</f>
        <v/>
      </c>
      <c r="K583" s="4" t="inlineStr">
        <is>
          <t>LAYFRZ/LAYTHWで代替可</t>
        </is>
      </c>
      <c r="L583" s="3" t="inlineStr">
        <is>
          <t>JTB World (Jimmy Bergmark)</t>
        </is>
      </c>
      <c r="M583" s="3" t="inlineStr">
        <is>
          <t>JTB World</t>
        </is>
      </c>
      <c r="N583" s="6" t="inlineStr">
        <is>
          <t>開く</t>
        </is>
      </c>
    </row>
    <row r="584">
      <c r="A584" s="2">
        <f>RANK(J584,$J$2:$J$697)</f>
        <v/>
      </c>
      <c r="B584" s="3" t="inlineStr">
        <is>
          <t>ハッチ・面積・長さ集計</t>
        </is>
      </c>
      <c r="C584" s="3" t="inlineStr">
        <is>
          <t>lengthOfObject</t>
        </is>
      </c>
      <c r="D584" s="4" t="inlineStr">
        <is>
          <t>lengthOfObject.lsp</t>
        </is>
      </c>
      <c r="E584" s="4" t="inlineStr">
        <is>
          <t>図形の長さ・周長を表示</t>
        </is>
      </c>
      <c r="F584" s="2" t="n">
        <v>4</v>
      </c>
      <c r="G584" s="2" t="n">
        <v>3</v>
      </c>
      <c r="H584" s="2" t="n">
        <v>4</v>
      </c>
      <c r="I584" s="2" t="n">
        <v>15</v>
      </c>
      <c r="J584" s="5">
        <f>SUM(F584:I584)</f>
        <v/>
      </c>
      <c r="K584" s="4" t="inlineStr">
        <is>
          <t>プロパティで長さ確認可</t>
        </is>
      </c>
      <c r="L584" s="3" t="inlineStr">
        <is>
          <t>JTB World (Jimmy Bergmark)</t>
        </is>
      </c>
      <c r="M584" s="3" t="inlineStr">
        <is>
          <t>JTB World</t>
        </is>
      </c>
      <c r="N584" s="6" t="inlineStr">
        <is>
          <t>開く</t>
        </is>
      </c>
    </row>
    <row r="585">
      <c r="A585" s="2">
        <f>RANK(J585,$J$2:$J$697)</f>
        <v/>
      </c>
      <c r="B585" s="3" t="inlineStr">
        <is>
          <t>線・ポリライン編集</t>
        </is>
      </c>
      <c r="C585" s="3" t="inlineStr">
        <is>
          <t>PLW</t>
        </is>
      </c>
      <c r="D585" s="4" t="inlineStr">
        <is>
          <t>PolyWidthChange.lsp</t>
        </is>
      </c>
      <c r="E585" s="4" t="inlineStr">
        <is>
          <t>ポリライン幅を一括変更</t>
        </is>
      </c>
      <c r="F585" s="2" t="n">
        <v>3</v>
      </c>
      <c r="G585" s="2" t="n">
        <v>3</v>
      </c>
      <c r="H585" s="2" t="n">
        <v>7</v>
      </c>
      <c r="I585" s="2" t="n">
        <v>13</v>
      </c>
      <c r="J585" s="5">
        <f>SUM(F585:I585)</f>
        <v/>
      </c>
      <c r="K585" s="4" t="inlineStr">
        <is>
          <t>PEDIT複数で幅変更可</t>
        </is>
      </c>
      <c r="L585" s="3" t="inlineStr">
        <is>
          <t>CADAuthority</t>
        </is>
      </c>
      <c r="M585" s="3" t="inlineStr">
        <is>
          <t>CAD Authority</t>
        </is>
      </c>
      <c r="N585" s="6" t="inlineStr">
        <is>
          <t>開く</t>
        </is>
      </c>
    </row>
    <row r="586">
      <c r="A586" s="2">
        <f>RANK(J586,$J$2:$J$697)</f>
        <v/>
      </c>
      <c r="B586" s="3" t="inlineStr">
        <is>
          <t>線・ポリライン編集</t>
        </is>
      </c>
      <c r="C586" s="3" t="inlineStr">
        <is>
          <t>(PWIDTH)</t>
        </is>
      </c>
      <c r="D586" s="4" t="inlineStr">
        <is>
          <t>PWIDTH.LSP</t>
        </is>
      </c>
      <c r="E586" s="4" t="inlineStr">
        <is>
          <t>全ポリラインの幅を変更</t>
        </is>
      </c>
      <c r="F586" s="2" t="n">
        <v>3</v>
      </c>
      <c r="G586" s="2" t="n">
        <v>3</v>
      </c>
      <c r="H586" s="2" t="n">
        <v>7</v>
      </c>
      <c r="I586" s="2" t="n">
        <v>13</v>
      </c>
      <c r="J586" s="5">
        <f>SUM(F586:I586)</f>
        <v/>
      </c>
      <c r="K586" s="4" t="inlineStr">
        <is>
          <t>PEDIT複数で代替</t>
        </is>
      </c>
      <c r="L586" s="3" t="inlineStr">
        <is>
          <t>Owen Wengerd (ManuSoft)</t>
        </is>
      </c>
      <c r="M586" s="3" t="inlineStr">
        <is>
          <t>ManuSoft</t>
        </is>
      </c>
      <c r="N586" s="6" t="inlineStr">
        <is>
          <t>開く</t>
        </is>
      </c>
    </row>
    <row r="587">
      <c r="A587" s="2">
        <f>RANK(J587,$J$2:$J$697)</f>
        <v/>
      </c>
      <c r="B587" s="3" t="inlineStr">
        <is>
          <t>作図</t>
        </is>
      </c>
      <c r="C587" s="3" t="inlineStr">
        <is>
          <t>TINT</t>
        </is>
      </c>
      <c r="D587" s="4" t="inlineStr">
        <is>
          <t>TINT.LSP</t>
        </is>
      </c>
      <c r="E587" s="4" t="inlineStr">
        <is>
          <t>2線の仮想交点を取得</t>
        </is>
      </c>
      <c r="F587" s="2" t="n">
        <v>4</v>
      </c>
      <c r="G587" s="2" t="n">
        <v>5</v>
      </c>
      <c r="H587" s="2" t="n">
        <v>5</v>
      </c>
      <c r="I587" s="2" t="n">
        <v>12</v>
      </c>
      <c r="J587" s="5">
        <f>SUM(F587:I587)</f>
        <v/>
      </c>
      <c r="K587" s="4" t="inlineStr">
        <is>
          <t>仮想交点スナップで代替</t>
        </is>
      </c>
      <c r="L587" s="3" t="inlineStr">
        <is>
          <t>Owen Wengerd (ManuSoft)</t>
        </is>
      </c>
      <c r="M587" s="3" t="inlineStr">
        <is>
          <t>ManuSoft</t>
        </is>
      </c>
      <c r="N587" s="6" t="inlineStr">
        <is>
          <t>開く</t>
        </is>
      </c>
    </row>
    <row r="588">
      <c r="A588" s="2">
        <f>RANK(J588,$J$2:$J$697)</f>
        <v/>
      </c>
      <c r="B588" s="3" t="inlineStr">
        <is>
          <t>建築</t>
        </is>
      </c>
      <c r="C588" s="3" t="inlineStr">
        <is>
          <t>-</t>
        </is>
      </c>
      <c r="D588" s="4" t="inlineStr">
        <is>
          <t>AECObjectsExplodeOptions.lsp</t>
        </is>
      </c>
      <c r="E588" s="4" t="inlineStr">
        <is>
          <t>AEC分解設定の読書き</t>
        </is>
      </c>
      <c r="F588" s="2" t="n">
        <v>10</v>
      </c>
      <c r="G588" s="2" t="n">
        <v>8</v>
      </c>
      <c r="H588" s="2" t="n">
        <v>4</v>
      </c>
      <c r="I588" s="2" t="n">
        <v>3</v>
      </c>
      <c r="J588" s="5">
        <f>SUM(F588:I588)</f>
        <v/>
      </c>
      <c r="K588" s="4" t="inlineStr">
        <is>
          <t>AEC専用の分解設定</t>
        </is>
      </c>
      <c r="L588" s="3" t="inlineStr">
        <is>
          <t>JTB World (Jimmy Bergmark)</t>
        </is>
      </c>
      <c r="M588" s="3" t="inlineStr">
        <is>
          <t>JTB World</t>
        </is>
      </c>
      <c r="N588" s="6" t="inlineStr">
        <is>
          <t>開く</t>
        </is>
      </c>
    </row>
    <row r="589">
      <c r="A589" s="2">
        <f>RANK(J589,$J$2:$J$697)</f>
        <v/>
      </c>
      <c r="B589" s="3" t="inlineStr">
        <is>
          <t>LISP開発用の部品</t>
        </is>
      </c>
      <c r="C589" s="3" t="inlineStr">
        <is>
          <t>-</t>
        </is>
      </c>
      <c r="D589" s="4" t="inlineStr">
        <is>
          <t>Base Conversion Functions</t>
        </is>
      </c>
      <c r="E589" s="4" t="inlineStr">
        <is>
          <t>基数変換関数</t>
        </is>
      </c>
      <c r="F589" s="2" t="n">
        <v>10</v>
      </c>
      <c r="G589" s="2" t="n">
        <v>7</v>
      </c>
      <c r="H589" s="2" t="n">
        <v>3</v>
      </c>
      <c r="I589" s="2" t="n">
        <v>5</v>
      </c>
      <c r="J589" s="5">
        <f>SUM(F589:I589)</f>
        <v/>
      </c>
      <c r="K589" s="4" t="inlineStr">
        <is>
          <t>基数変換</t>
        </is>
      </c>
      <c r="L589" s="3" t="inlineStr">
        <is>
          <t>Lee Mac</t>
        </is>
      </c>
      <c r="M589" s="3" t="inlineStr">
        <is>
          <t>Lee Mac Programming</t>
        </is>
      </c>
      <c r="N589" s="6" t="inlineStr">
        <is>
          <t>開く</t>
        </is>
      </c>
    </row>
    <row r="590">
      <c r="A590" s="2">
        <f>RANK(J590,$J$2:$J$697)</f>
        <v/>
      </c>
      <c r="B590" s="3" t="inlineStr">
        <is>
          <t>LISP開発用の部品</t>
        </is>
      </c>
      <c r="C590" s="3" t="inlineStr">
        <is>
          <t>-</t>
        </is>
      </c>
      <c r="D590" s="4" t="inlineStr">
        <is>
          <t>Bounding Box</t>
        </is>
      </c>
      <c r="E590" s="4" t="inlineStr">
        <is>
          <t>外接矩形取得関数</t>
        </is>
      </c>
      <c r="F590" s="2" t="n">
        <v>6</v>
      </c>
      <c r="G590" s="2" t="n">
        <v>6</v>
      </c>
      <c r="H590" s="2" t="n">
        <v>4</v>
      </c>
      <c r="I590" s="2" t="n">
        <v>9</v>
      </c>
      <c r="J590" s="5">
        <f>SUM(F590:I590)</f>
        <v/>
      </c>
      <c r="K590" s="4" t="inlineStr">
        <is>
          <t>vla-getboundingbox有</t>
        </is>
      </c>
      <c r="L590" s="3" t="inlineStr">
        <is>
          <t>Lee Mac</t>
        </is>
      </c>
      <c r="M590" s="3" t="inlineStr">
        <is>
          <t>Lee Mac Programming</t>
        </is>
      </c>
      <c r="N590" s="6" t="inlineStr">
        <is>
          <t>開く</t>
        </is>
      </c>
    </row>
    <row r="591">
      <c r="A591" s="2">
        <f>RANK(J591,$J$2:$J$697)</f>
        <v/>
      </c>
      <c r="B591" s="3" t="inlineStr">
        <is>
          <t>文字・テキスト</t>
        </is>
      </c>
      <c r="C591" s="3" t="inlineStr">
        <is>
          <t>CASE</t>
        </is>
      </c>
      <c r="D591" s="4" t="inlineStr">
        <is>
          <t>CASE</t>
        </is>
      </c>
      <c r="E591" s="4" t="inlineStr">
        <is>
          <t>文字の大文字小文字を変換</t>
        </is>
      </c>
      <c r="F591" s="2" t="n">
        <v>2</v>
      </c>
      <c r="G591" s="2" t="n">
        <v>3</v>
      </c>
      <c r="H591" s="2" t="n">
        <v>4</v>
      </c>
      <c r="I591" s="2" t="n">
        <v>16</v>
      </c>
      <c r="J591" s="5">
        <f>SUM(F591:I591)</f>
        <v/>
      </c>
      <c r="K591" s="4" t="inlineStr">
        <is>
          <t>TCASEで代替可</t>
        </is>
      </c>
      <c r="L591" s="3" t="inlineStr">
        <is>
          <t>Jeffery P. Sanders</t>
        </is>
      </c>
      <c r="M591" s="3" t="inlineStr">
        <is>
          <t>JefferyPSanders.com</t>
        </is>
      </c>
      <c r="N591" s="6" t="inlineStr">
        <is>
          <t>開く</t>
        </is>
      </c>
    </row>
    <row r="592">
      <c r="A592" s="2">
        <f>RANK(J592,$J$2:$J$697)</f>
        <v/>
      </c>
      <c r="B592" s="3" t="inlineStr">
        <is>
          <t>文字・テキスト</t>
        </is>
      </c>
      <c r="C592" s="3" t="inlineStr">
        <is>
          <t>CRTEXT</t>
        </is>
      </c>
      <c r="D592" s="4" t="inlineStr">
        <is>
          <t>CrText</t>
        </is>
      </c>
      <c r="E592" s="4" t="inlineStr">
        <is>
          <t>円形に文字を配置</t>
        </is>
      </c>
      <c r="F592" s="2" t="n">
        <v>5</v>
      </c>
      <c r="G592" s="2" t="n">
        <v>6</v>
      </c>
      <c r="H592" s="2" t="n">
        <v>4</v>
      </c>
      <c r="I592" s="2" t="n">
        <v>10</v>
      </c>
      <c r="J592" s="5">
        <f>SUM(F592:I592)</f>
        <v/>
      </c>
      <c r="K592" s="4" t="inlineStr">
        <is>
          <t>ARCTEXTで代替可</t>
        </is>
      </c>
      <c r="L592" s="3" t="inlineStr">
        <is>
          <t>Jeffery P. Sanders</t>
        </is>
      </c>
      <c r="M592" s="3" t="inlineStr">
        <is>
          <t>JefferyPSanders.com</t>
        </is>
      </c>
      <c r="N592" s="6" t="inlineStr">
        <is>
          <t>開く</t>
        </is>
      </c>
    </row>
    <row r="593">
      <c r="A593" s="2">
        <f>RANK(J593,$J$2:$J$697)</f>
        <v/>
      </c>
      <c r="B593" s="3" t="inlineStr">
        <is>
          <t>3D</t>
        </is>
      </c>
      <c r="C593" s="3" t="inlineStr">
        <is>
          <t>CYL</t>
        </is>
      </c>
      <c r="D593" s="4" t="inlineStr">
        <is>
          <t>CYL</t>
        </is>
      </c>
      <c r="E593" s="4" t="inlineStr">
        <is>
          <t>中空の3D円筒・角筒を作成</t>
        </is>
      </c>
      <c r="F593" s="2" t="n">
        <v>7</v>
      </c>
      <c r="G593" s="2" t="n">
        <v>4</v>
      </c>
      <c r="H593" s="2" t="n">
        <v>6</v>
      </c>
      <c r="I593" s="2" t="n">
        <v>8</v>
      </c>
      <c r="J593" s="5">
        <f>SUM(F593:I593)</f>
        <v/>
      </c>
      <c r="K593" s="4" t="inlineStr">
        <is>
          <t>標準のソリッド作成で可</t>
        </is>
      </c>
      <c r="L593" s="3" t="inlineStr">
        <is>
          <t>Jeffery P. Sanders</t>
        </is>
      </c>
      <c r="M593" s="3" t="inlineStr">
        <is>
          <t>JefferyPSanders.com</t>
        </is>
      </c>
      <c r="N593" s="6" t="inlineStr">
        <is>
          <t>開く</t>
        </is>
      </c>
    </row>
    <row r="594">
      <c r="A594" s="2">
        <f>RANK(J594,$J$2:$J$697)</f>
        <v/>
      </c>
      <c r="B594" s="3" t="inlineStr">
        <is>
          <t>LISP開発用の部品</t>
        </is>
      </c>
      <c r="C594" s="3" t="inlineStr">
        <is>
          <t>dump / dumpn</t>
        </is>
      </c>
      <c r="D594" s="4" t="inlineStr">
        <is>
          <t>Dump Object</t>
        </is>
      </c>
      <c r="E594" s="4" t="inlineStr">
        <is>
          <t>オブジェクトのプロパティ一覧</t>
        </is>
      </c>
      <c r="F594" s="2" t="n">
        <v>6</v>
      </c>
      <c r="G594" s="2" t="n">
        <v>6</v>
      </c>
      <c r="H594" s="2" t="n">
        <v>5</v>
      </c>
      <c r="I594" s="2" t="n">
        <v>8</v>
      </c>
      <c r="J594" s="5">
        <f>SUM(F594:I594)</f>
        <v/>
      </c>
      <c r="K594" s="4" t="inlineStr">
        <is>
          <t>vlax-dump-object有</t>
        </is>
      </c>
      <c r="L594" s="3" t="inlineStr">
        <is>
          <t>Lee Mac</t>
        </is>
      </c>
      <c r="M594" s="3" t="inlineStr">
        <is>
          <t>Lee Mac Programming</t>
        </is>
      </c>
      <c r="N594" s="6" t="inlineStr">
        <is>
          <t>開く</t>
        </is>
      </c>
    </row>
    <row r="595">
      <c r="A595" s="2">
        <f>RANK(J595,$J$2:$J$697)</f>
        <v/>
      </c>
      <c r="B595" s="3" t="inlineStr">
        <is>
          <t>LISP開発用の部品</t>
        </is>
      </c>
      <c r="C595" s="3" t="inlineStr">
        <is>
          <t>-</t>
        </is>
      </c>
      <c r="D595" s="4" t="inlineStr">
        <is>
          <t>Effective Block Name</t>
        </is>
      </c>
      <c r="E595" s="4" t="inlineStr">
        <is>
          <t>実効ブロック名取得関数</t>
        </is>
      </c>
      <c r="F595" s="2" t="n">
        <v>7</v>
      </c>
      <c r="G595" s="2" t="n">
        <v>6</v>
      </c>
      <c r="H595" s="2" t="n">
        <v>4</v>
      </c>
      <c r="I595" s="2" t="n">
        <v>8</v>
      </c>
      <c r="J595" s="5">
        <f>SUM(F595:I595)</f>
        <v/>
      </c>
      <c r="K595" s="4" t="inlineStr">
        <is>
          <t>EffectiveNameで可</t>
        </is>
      </c>
      <c r="L595" s="3" t="inlineStr">
        <is>
          <t>Lee Mac</t>
        </is>
      </c>
      <c r="M595" s="3" t="inlineStr">
        <is>
          <t>Lee Mac Programming</t>
        </is>
      </c>
      <c r="N595" s="6" t="inlineStr">
        <is>
          <t>開く</t>
        </is>
      </c>
    </row>
    <row r="596">
      <c r="A596" s="2">
        <f>RANK(J596,$J$2:$J$697)</f>
        <v/>
      </c>
      <c r="B596" s="3" t="inlineStr">
        <is>
          <t>その他</t>
        </is>
      </c>
      <c r="C596" s="3" t="inlineStr">
        <is>
          <t>koch</t>
        </is>
      </c>
      <c r="D596" s="4" t="inlineStr">
        <is>
          <t>Koch Snowflake</t>
        </is>
      </c>
      <c r="E596" s="4" t="inlineStr">
        <is>
          <t>コッホ雪片を作図</t>
        </is>
      </c>
      <c r="F596" s="2" t="n">
        <v>13</v>
      </c>
      <c r="G596" s="2" t="n">
        <v>9</v>
      </c>
      <c r="H596" s="2" t="n">
        <v>1</v>
      </c>
      <c r="I596" s="2" t="n">
        <v>2</v>
      </c>
      <c r="J596" s="5">
        <f>SUM(F596:I596)</f>
        <v/>
      </c>
      <c r="K596" s="4" t="inlineStr">
        <is>
          <t>娯楽・数学作図</t>
        </is>
      </c>
      <c r="L596" s="3" t="inlineStr">
        <is>
          <t>Lee Mac</t>
        </is>
      </c>
      <c r="M596" s="3" t="inlineStr">
        <is>
          <t>Lee Mac Programming</t>
        </is>
      </c>
      <c r="N596" s="6" t="inlineStr">
        <is>
          <t>開く</t>
        </is>
      </c>
    </row>
    <row r="597">
      <c r="A597" s="2">
        <f>RANK(J597,$J$2:$J$697)</f>
        <v/>
      </c>
      <c r="B597" s="3" t="inlineStr">
        <is>
          <t>LISP開発用の部品</t>
        </is>
      </c>
      <c r="C597" s="3" t="inlineStr">
        <is>
          <t>-</t>
        </is>
      </c>
      <c r="D597" s="4" t="inlineStr">
        <is>
          <t>Popup</t>
        </is>
      </c>
      <c r="E597" s="4" t="inlineStr">
        <is>
          <t>メッセージボックス関数</t>
        </is>
      </c>
      <c r="F597" s="2" t="n">
        <v>9</v>
      </c>
      <c r="G597" s="2" t="n">
        <v>5</v>
      </c>
      <c r="H597" s="2" t="n">
        <v>4</v>
      </c>
      <c r="I597" s="2" t="n">
        <v>7</v>
      </c>
      <c r="J597" s="5">
        <f>SUM(F597:I597)</f>
        <v/>
      </c>
      <c r="K597" s="4" t="inlineStr">
        <is>
          <t>メッセージボックス</t>
        </is>
      </c>
      <c r="L597" s="3" t="inlineStr">
        <is>
          <t>Lee Mac</t>
        </is>
      </c>
      <c r="M597" s="3" t="inlineStr">
        <is>
          <t>Lee Mac Programming</t>
        </is>
      </c>
      <c r="N597" s="6" t="inlineStr">
        <is>
          <t>開く</t>
        </is>
      </c>
    </row>
    <row r="598">
      <c r="A598" s="2">
        <f>RANK(J598,$J$2:$J$697)</f>
        <v/>
      </c>
      <c r="B598" s="3" t="inlineStr">
        <is>
          <t>画層</t>
        </is>
      </c>
      <c r="C598" s="3" t="inlineStr">
        <is>
          <t>-</t>
        </is>
      </c>
      <c r="D598" s="4" t="inlineStr">
        <is>
          <t>Set Layer from Entity (sl.lsp)</t>
        </is>
      </c>
      <c r="E598" s="4" t="inlineStr">
        <is>
          <t>選択図形の画層を現在画層に</t>
        </is>
      </c>
      <c r="F598" s="2" t="n">
        <v>2</v>
      </c>
      <c r="G598" s="2" t="n">
        <v>2</v>
      </c>
      <c r="H598" s="2" t="n">
        <v>3</v>
      </c>
      <c r="I598" s="2" t="n">
        <v>18</v>
      </c>
      <c r="J598" s="5">
        <f>SUM(F598:I598)</f>
        <v/>
      </c>
      <c r="K598" s="4" t="inlineStr">
        <is>
          <t>LAYMCURで代替可</t>
        </is>
      </c>
      <c r="L598" s="3" t="inlineStr"/>
      <c r="M598" s="3" t="inlineStr">
        <is>
          <t>draftsperson.net</t>
        </is>
      </c>
      <c r="N598" s="6" t="inlineStr">
        <is>
          <t>開く</t>
        </is>
      </c>
    </row>
    <row r="599">
      <c r="A599" s="2">
        <f>RANK(J599,$J$2:$J$697)</f>
        <v/>
      </c>
      <c r="B599" s="3" t="inlineStr">
        <is>
          <t>外部参照・図面管理・一括処理</t>
        </is>
      </c>
      <c r="C599" s="3" t="inlineStr">
        <is>
          <t>-</t>
        </is>
      </c>
      <c r="D599" s="4" t="inlineStr">
        <is>
          <t>SOpen.lsp</t>
        </is>
      </c>
      <c r="E599" s="4" t="inlineStr">
        <is>
          <t>SDIに依存しない図面を開く</t>
        </is>
      </c>
      <c r="F599" s="2" t="n">
        <v>6</v>
      </c>
      <c r="G599" s="2" t="n">
        <v>5</v>
      </c>
      <c r="H599" s="2" t="n">
        <v>4</v>
      </c>
      <c r="I599" s="2" t="n">
        <v>10</v>
      </c>
      <c r="J599" s="5">
        <f>SUM(F599:I599)</f>
        <v/>
      </c>
      <c r="K599" s="4" t="inlineStr">
        <is>
          <t>SDI対応オープン、旧式</t>
        </is>
      </c>
      <c r="L599" s="3" t="inlineStr">
        <is>
          <t>JTB World (Jimmy Bergmark)</t>
        </is>
      </c>
      <c r="M599" s="3" t="inlineStr">
        <is>
          <t>JTB World</t>
        </is>
      </c>
      <c r="N599" s="6" t="inlineStr">
        <is>
          <t>開く</t>
        </is>
      </c>
    </row>
    <row r="600">
      <c r="A600" s="2">
        <f>RANK(J600,$J$2:$J$697)</f>
        <v/>
      </c>
      <c r="B600" s="3" t="inlineStr">
        <is>
          <t>LISP開発用の部品</t>
        </is>
      </c>
      <c r="C600" s="3" t="inlineStr">
        <is>
          <t>-</t>
        </is>
      </c>
      <c r="D600" s="4" t="inlineStr">
        <is>
          <t>String to List</t>
        </is>
      </c>
      <c r="E600" s="4" t="inlineStr">
        <is>
          <t>区切り文字列分割関数</t>
        </is>
      </c>
      <c r="F600" s="2" t="n">
        <v>8</v>
      </c>
      <c r="G600" s="2" t="n">
        <v>5</v>
      </c>
      <c r="H600" s="2" t="n">
        <v>4</v>
      </c>
      <c r="I600" s="2" t="n">
        <v>8</v>
      </c>
      <c r="J600" s="5">
        <f>SUM(F600:I600)</f>
        <v/>
      </c>
      <c r="K600" s="4" t="inlineStr">
        <is>
          <t>文字列分割の定番</t>
        </is>
      </c>
      <c r="L600" s="3" t="inlineStr">
        <is>
          <t>Lee Mac</t>
        </is>
      </c>
      <c r="M600" s="3" t="inlineStr">
        <is>
          <t>Lee Mac Programming</t>
        </is>
      </c>
      <c r="N600" s="6" t="inlineStr">
        <is>
          <t>開く</t>
        </is>
      </c>
    </row>
    <row r="601">
      <c r="A601" s="2">
        <f>RANK(J601,$J$2:$J$697)</f>
        <v/>
      </c>
      <c r="B601" s="3" t="inlineStr">
        <is>
          <t>文字・テキスト</t>
        </is>
      </c>
      <c r="C601" s="3" t="inlineStr">
        <is>
          <t>-</t>
        </is>
      </c>
      <c r="D601" s="4" t="inlineStr">
        <is>
          <t>Text Along Arc (atext.zip)</t>
        </is>
      </c>
      <c r="E601" s="4" t="inlineStr">
        <is>
          <t>円弧に沿って文字配置</t>
        </is>
      </c>
      <c r="F601" s="2" t="n">
        <v>5</v>
      </c>
      <c r="G601" s="2" t="n">
        <v>6</v>
      </c>
      <c r="H601" s="2" t="n">
        <v>4</v>
      </c>
      <c r="I601" s="2" t="n">
        <v>10</v>
      </c>
      <c r="J601" s="5">
        <f>SUM(F601:I601)</f>
        <v/>
      </c>
      <c r="K601" s="4" t="inlineStr">
        <is>
          <t>ARCTEXTで代替可</t>
        </is>
      </c>
      <c r="L601" s="3" t="inlineStr"/>
      <c r="M601" s="3" t="inlineStr">
        <is>
          <t>draftsperson.net</t>
        </is>
      </c>
      <c r="N601" s="6" t="inlineStr">
        <is>
          <t>開く</t>
        </is>
      </c>
    </row>
    <row r="602">
      <c r="A602" s="2">
        <f>RANK(J602,$J$2:$J$697)</f>
        <v/>
      </c>
      <c r="B602" s="3" t="inlineStr">
        <is>
          <t>その他</t>
        </is>
      </c>
      <c r="C602" s="3" t="inlineStr">
        <is>
          <t>Troy</t>
        </is>
      </c>
      <c r="D602" s="4" t="inlineStr">
        <is>
          <t>Troy</t>
        </is>
      </c>
      <c r="E602" s="4" t="inlineStr">
        <is>
          <t>アステロイド風ゲーム</t>
        </is>
      </c>
      <c r="F602" s="2" t="n">
        <v>12</v>
      </c>
      <c r="G602" s="2" t="n">
        <v>12</v>
      </c>
      <c r="H602" s="2" t="n">
        <v>0</v>
      </c>
      <c r="I602" s="2" t="n">
        <v>1</v>
      </c>
      <c r="J602" s="5">
        <f>SUM(F602:I602)</f>
        <v/>
      </c>
      <c r="K602" s="4" t="inlineStr">
        <is>
          <t>ゲーム</t>
        </is>
      </c>
      <c r="L602" s="3" t="inlineStr">
        <is>
          <t>Terry Miller</t>
        </is>
      </c>
      <c r="M602" s="3" t="inlineStr">
        <is>
          <t>AutoLISP Exchange</t>
        </is>
      </c>
      <c r="N602" s="6" t="inlineStr">
        <is>
          <t>開く</t>
        </is>
      </c>
    </row>
    <row r="603">
      <c r="A603" s="2">
        <f>RANK(J603,$J$2:$J$697)</f>
        <v/>
      </c>
      <c r="B603" s="3" t="inlineStr">
        <is>
          <t>作図</t>
        </is>
      </c>
      <c r="C603" s="3" t="inlineStr">
        <is>
          <t>XX / XH / XV / XA</t>
        </is>
      </c>
      <c r="D603" s="4" t="inlineStr">
        <is>
          <t>XLine</t>
        </is>
      </c>
      <c r="E603" s="4" t="inlineStr">
        <is>
          <t>構築線を素早く作図</t>
        </is>
      </c>
      <c r="F603" s="2" t="n">
        <v>3</v>
      </c>
      <c r="G603" s="2" t="n">
        <v>4</v>
      </c>
      <c r="H603" s="2" t="n">
        <v>6</v>
      </c>
      <c r="I603" s="2" t="n">
        <v>12</v>
      </c>
      <c r="J603" s="5">
        <f>SUM(F603:I603)</f>
        <v/>
      </c>
      <c r="K603" s="4" t="inlineStr">
        <is>
          <t>標準XLINEで十分</t>
        </is>
      </c>
      <c r="L603" s="3" t="inlineStr">
        <is>
          <t>Lee Mac</t>
        </is>
      </c>
      <c r="M603" s="3" t="inlineStr">
        <is>
          <t>Lee Mac Programming</t>
        </is>
      </c>
      <c r="N603" s="6" t="inlineStr">
        <is>
          <t>開く</t>
        </is>
      </c>
    </row>
    <row r="604">
      <c r="A604" s="2">
        <f>RANK(J604,$J$2:$J$697)</f>
        <v/>
      </c>
      <c r="B604" s="3" t="inlineStr">
        <is>
          <t>線・ポリライン編集</t>
        </is>
      </c>
      <c r="C604" s="3" t="inlineStr">
        <is>
          <t>-</t>
        </is>
      </c>
      <c r="D604" s="4" t="inlineStr">
        <is>
          <t>Zero Radius Fillet (FILLET0.LSP)</t>
        </is>
      </c>
      <c r="E604" s="4" t="inlineStr">
        <is>
          <t>半径0でフィレット</t>
        </is>
      </c>
      <c r="F604" s="2" t="n">
        <v>2</v>
      </c>
      <c r="G604" s="2" t="n">
        <v>2</v>
      </c>
      <c r="H604" s="2" t="n">
        <v>6</v>
      </c>
      <c r="I604" s="2" t="n">
        <v>15</v>
      </c>
      <c r="J604" s="5">
        <f>SUM(F604:I604)</f>
        <v/>
      </c>
      <c r="K604" s="4" t="inlineStr">
        <is>
          <t>FILLET半径0で済む</t>
        </is>
      </c>
      <c r="L604" s="3" t="inlineStr"/>
      <c r="M604" s="3" t="inlineStr">
        <is>
          <t>draftsperson.net</t>
        </is>
      </c>
      <c r="N604" s="6" t="inlineStr">
        <is>
          <t>開く</t>
        </is>
      </c>
    </row>
    <row r="605">
      <c r="A605" s="2">
        <f>RANK(J605,$J$2:$J$697)</f>
        <v/>
      </c>
      <c r="B605" s="3" t="inlineStr">
        <is>
          <t>その他</t>
        </is>
      </c>
      <c r="C605" s="3" t="inlineStr">
        <is>
          <t>-</t>
        </is>
      </c>
      <c r="D605" s="4" t="inlineStr">
        <is>
          <t>66-55 (grdraw examples)</t>
        </is>
      </c>
      <c r="E605" s="4" t="inlineStr">
        <is>
          <t>grdrawアニメーション例</t>
        </is>
      </c>
      <c r="F605" s="2" t="n">
        <v>12</v>
      </c>
      <c r="G605" s="2" t="n">
        <v>9</v>
      </c>
      <c r="H605" s="2" t="n">
        <v>1</v>
      </c>
      <c r="I605" s="2" t="n">
        <v>2</v>
      </c>
      <c r="J605" s="5">
        <f>SUM(F605:I605)</f>
        <v/>
      </c>
      <c r="K605" s="4" t="inlineStr">
        <is>
          <t>grdraw演出の例</t>
        </is>
      </c>
      <c r="L605" s="3" t="inlineStr">
        <is>
          <t>Paul Silva</t>
        </is>
      </c>
      <c r="M605" s="3" t="inlineStr">
        <is>
          <t>AutoLISP Exchange</t>
        </is>
      </c>
      <c r="N605" s="6" t="inlineStr">
        <is>
          <t>開く</t>
        </is>
      </c>
    </row>
    <row r="606">
      <c r="A606" s="2">
        <f>RANK(J606,$J$2:$J$697)</f>
        <v/>
      </c>
      <c r="B606" s="3" t="inlineStr">
        <is>
          <t>線・ポリライン編集</t>
        </is>
      </c>
      <c r="C606" s="3" t="inlineStr">
        <is>
          <t>BP</t>
        </is>
      </c>
      <c r="D606" s="4" t="inlineStr">
        <is>
          <t>Breakpoint (breakpoint.LSP)</t>
        </is>
      </c>
      <c r="E606" s="4" t="inlineStr">
        <is>
          <t>指定1点で図形を切断</t>
        </is>
      </c>
      <c r="F606" s="2" t="n">
        <v>2</v>
      </c>
      <c r="G606" s="2" t="n">
        <v>3</v>
      </c>
      <c r="H606" s="2" t="n">
        <v>5</v>
      </c>
      <c r="I606" s="2" t="n">
        <v>14</v>
      </c>
      <c r="J606" s="5">
        <f>SUM(F606:I606)</f>
        <v/>
      </c>
      <c r="K606" s="4" t="inlineStr">
        <is>
          <t>標準BREAKATPOINTで代替</t>
        </is>
      </c>
      <c r="L606" s="3" t="inlineStr"/>
      <c r="M606" s="3" t="inlineStr">
        <is>
          <t>draftsperson.net</t>
        </is>
      </c>
      <c r="N606" s="6" t="inlineStr">
        <is>
          <t>開く</t>
        </is>
      </c>
    </row>
    <row r="607">
      <c r="A607" s="2">
        <f>RANK(J607,$J$2:$J$697)</f>
        <v/>
      </c>
      <c r="B607" s="3" t="inlineStr">
        <is>
          <t>文字・テキスト</t>
        </is>
      </c>
      <c r="C607" s="3" t="inlineStr">
        <is>
          <t>CHTXHT</t>
        </is>
      </c>
      <c r="D607" s="4" t="inlineStr">
        <is>
          <t>ChTxHt</t>
        </is>
      </c>
      <c r="E607" s="4" t="inlineStr">
        <is>
          <t>文字高さを変更</t>
        </is>
      </c>
      <c r="F607" s="2" t="n">
        <v>2</v>
      </c>
      <c r="G607" s="2" t="n">
        <v>2</v>
      </c>
      <c r="H607" s="2" t="n">
        <v>4</v>
      </c>
      <c r="I607" s="2" t="n">
        <v>16</v>
      </c>
      <c r="J607" s="5">
        <f>SUM(F607:I607)</f>
        <v/>
      </c>
      <c r="K607" s="4" t="inlineStr">
        <is>
          <t>プロパティで代替可</t>
        </is>
      </c>
      <c r="L607" s="3" t="inlineStr">
        <is>
          <t>Jeffery P. Sanders</t>
        </is>
      </c>
      <c r="M607" s="3" t="inlineStr">
        <is>
          <t>JefferyPSanders.com</t>
        </is>
      </c>
      <c r="N607" s="6" t="inlineStr">
        <is>
          <t>開く</t>
        </is>
      </c>
    </row>
    <row r="608">
      <c r="A608" s="2">
        <f>RANK(J608,$J$2:$J$697)</f>
        <v/>
      </c>
      <c r="B608" s="3" t="inlineStr">
        <is>
          <t>画層</t>
        </is>
      </c>
      <c r="C608" s="3" t="inlineStr">
        <is>
          <t>-</t>
        </is>
      </c>
      <c r="D608" s="4" t="inlineStr">
        <is>
          <t>Delete Layer (del-layer.lsp)</t>
        </is>
      </c>
      <c r="E608" s="4" t="inlineStr">
        <is>
          <t>図形ごと画層を削除</t>
        </is>
      </c>
      <c r="F608" s="2" t="n">
        <v>2</v>
      </c>
      <c r="G608" s="2" t="n">
        <v>2</v>
      </c>
      <c r="H608" s="2" t="n">
        <v>4</v>
      </c>
      <c r="I608" s="2" t="n">
        <v>16</v>
      </c>
      <c r="J608" s="5">
        <f>SUM(F608:I608)</f>
        <v/>
      </c>
      <c r="K608" s="4" t="inlineStr">
        <is>
          <t>LAYDELで代替可</t>
        </is>
      </c>
      <c r="L608" s="3" t="inlineStr"/>
      <c r="M608" s="3" t="inlineStr">
        <is>
          <t>draftsperson.net</t>
        </is>
      </c>
      <c r="N608" s="6" t="inlineStr">
        <is>
          <t>開く</t>
        </is>
      </c>
    </row>
    <row r="609">
      <c r="A609" s="2">
        <f>RANK(J609,$J$2:$J$697)</f>
        <v/>
      </c>
      <c r="B609" s="3" t="inlineStr">
        <is>
          <t>LISP開発用の部品</t>
        </is>
      </c>
      <c r="C609" s="3" t="inlineStr">
        <is>
          <t>-</t>
        </is>
      </c>
      <c r="D609" s="4" t="inlineStr">
        <is>
          <t>Group List by Number</t>
        </is>
      </c>
      <c r="E609" s="4" t="inlineStr">
        <is>
          <t>リストをN個ずつ分割する関数</t>
        </is>
      </c>
      <c r="F609" s="2" t="n">
        <v>8</v>
      </c>
      <c r="G609" s="2" t="n">
        <v>7</v>
      </c>
      <c r="H609" s="2" t="n">
        <v>3</v>
      </c>
      <c r="I609" s="2" t="n">
        <v>6</v>
      </c>
      <c r="J609" s="5">
        <f>SUM(F609:I609)</f>
        <v/>
      </c>
      <c r="K609" s="4" t="inlineStr">
        <is>
          <t>リスト分割</t>
        </is>
      </c>
      <c r="L609" s="3" t="inlineStr">
        <is>
          <t>Lee Mac</t>
        </is>
      </c>
      <c r="M609" s="3" t="inlineStr">
        <is>
          <t>Lee Mac Programming</t>
        </is>
      </c>
      <c r="N609" s="6" t="inlineStr">
        <is>
          <t>開く</t>
        </is>
      </c>
    </row>
    <row r="610">
      <c r="A610" s="2">
        <f>RANK(J610,$J$2:$J$697)</f>
        <v/>
      </c>
      <c r="B610" s="3" t="inlineStr">
        <is>
          <t>LISP開発用の部品</t>
        </is>
      </c>
      <c r="C610" s="3" t="inlineStr">
        <is>
          <t>-</t>
        </is>
      </c>
      <c r="D610" s="4" t="inlineStr">
        <is>
          <t>Load Linetypes</t>
        </is>
      </c>
      <c r="E610" s="4" t="inlineStr">
        <is>
          <t>線種ロード関数</t>
        </is>
      </c>
      <c r="F610" s="2" t="n">
        <v>8</v>
      </c>
      <c r="G610" s="2" t="n">
        <v>5</v>
      </c>
      <c r="H610" s="2" t="n">
        <v>4</v>
      </c>
      <c r="I610" s="2" t="n">
        <v>7</v>
      </c>
      <c r="J610" s="5">
        <f>SUM(F610:I610)</f>
        <v/>
      </c>
      <c r="K610" s="4" t="inlineStr">
        <is>
          <t>線種ロード関数</t>
        </is>
      </c>
      <c r="L610" s="3" t="inlineStr">
        <is>
          <t>Lee Mac</t>
        </is>
      </c>
      <c r="M610" s="3" t="inlineStr">
        <is>
          <t>Lee Mac Programming</t>
        </is>
      </c>
      <c r="N610" s="6" t="inlineStr">
        <is>
          <t>開く</t>
        </is>
      </c>
    </row>
    <row r="611">
      <c r="A611" s="2">
        <f>RANK(J611,$J$2:$J$697)</f>
        <v/>
      </c>
      <c r="B611" s="3" t="inlineStr">
        <is>
          <t>その他</t>
        </is>
      </c>
      <c r="C611" s="3" t="inlineStr">
        <is>
          <t>sierpinski / sierpinski3D</t>
        </is>
      </c>
      <c r="D611" s="4" t="inlineStr">
        <is>
          <t>Sierpinski Triangle</t>
        </is>
      </c>
      <c r="E611" s="4" t="inlineStr">
        <is>
          <t>シェルピンスキー三角形作図</t>
        </is>
      </c>
      <c r="F611" s="2" t="n">
        <v>12</v>
      </c>
      <c r="G611" s="2" t="n">
        <v>9</v>
      </c>
      <c r="H611" s="2" t="n">
        <v>1</v>
      </c>
      <c r="I611" s="2" t="n">
        <v>2</v>
      </c>
      <c r="J611" s="5">
        <f>SUM(F611:I611)</f>
        <v/>
      </c>
      <c r="K611" s="4" t="inlineStr">
        <is>
          <t>娯楽・数学作図</t>
        </is>
      </c>
      <c r="L611" s="3" t="inlineStr">
        <is>
          <t>Lee Mac</t>
        </is>
      </c>
      <c r="M611" s="3" t="inlineStr">
        <is>
          <t>Lee Mac Programming</t>
        </is>
      </c>
      <c r="N611" s="6" t="inlineStr">
        <is>
          <t>開く</t>
        </is>
      </c>
    </row>
    <row r="612">
      <c r="A612" s="2">
        <f>RANK(J612,$J$2:$J$697)</f>
        <v/>
      </c>
      <c r="B612" s="3" t="inlineStr">
        <is>
          <t>作図</t>
        </is>
      </c>
      <c r="C612" s="3" t="inlineStr">
        <is>
          <t>star</t>
        </is>
      </c>
      <c r="D612" s="4" t="inlineStr">
        <is>
          <t>Star</t>
        </is>
      </c>
      <c r="E612" s="4" t="inlineStr">
        <is>
          <t>星形を作図</t>
        </is>
      </c>
      <c r="F612" s="2" t="n">
        <v>12</v>
      </c>
      <c r="G612" s="2" t="n">
        <v>5</v>
      </c>
      <c r="H612" s="2" t="n">
        <v>3</v>
      </c>
      <c r="I612" s="2" t="n">
        <v>4</v>
      </c>
      <c r="J612" s="5">
        <f>SUM(F612:I612)</f>
        <v/>
      </c>
      <c r="K612" s="4" t="inlineStr">
        <is>
          <t>星形は用途なし</t>
        </is>
      </c>
      <c r="L612" s="3" t="inlineStr">
        <is>
          <t>Lee Mac</t>
        </is>
      </c>
      <c r="M612" s="3" t="inlineStr">
        <is>
          <t>Lee Mac Programming</t>
        </is>
      </c>
      <c r="N612" s="6" t="inlineStr">
        <is>
          <t>開く</t>
        </is>
      </c>
    </row>
    <row r="613">
      <c r="A613" s="2">
        <f>RANK(J613,$J$2:$J$697)</f>
        <v/>
      </c>
      <c r="B613" s="3" t="inlineStr">
        <is>
          <t>その他</t>
        </is>
      </c>
      <c r="C613" s="3" t="inlineStr">
        <is>
          <t>-</t>
        </is>
      </c>
      <c r="D613" s="4" t="inlineStr">
        <is>
          <t>Analogue Clock (clock.zip)</t>
        </is>
      </c>
      <c r="E613" s="4" t="inlineStr">
        <is>
          <t>アナログ時計を表示</t>
        </is>
      </c>
      <c r="F613" s="2" t="n">
        <v>10</v>
      </c>
      <c r="G613" s="2" t="n">
        <v>10</v>
      </c>
      <c r="H613" s="2" t="n">
        <v>1</v>
      </c>
      <c r="I613" s="2" t="n">
        <v>2</v>
      </c>
      <c r="J613" s="5">
        <f>SUM(F613:I613)</f>
        <v/>
      </c>
      <c r="K613" s="4" t="inlineStr">
        <is>
          <t>娯楽</t>
        </is>
      </c>
      <c r="L613" s="3" t="inlineStr"/>
      <c r="M613" s="3" t="inlineStr">
        <is>
          <t>draftsperson.net</t>
        </is>
      </c>
      <c r="N613" s="6" t="inlineStr">
        <is>
          <t>開く</t>
        </is>
      </c>
    </row>
    <row r="614">
      <c r="A614" s="2">
        <f>RANK(J614,$J$2:$J$697)</f>
        <v/>
      </c>
      <c r="B614" s="3" t="inlineStr">
        <is>
          <t>文字・テキスト</t>
        </is>
      </c>
      <c r="C614" s="3" t="inlineStr">
        <is>
          <t>CHTXLY</t>
        </is>
      </c>
      <c r="D614" s="4" t="inlineStr">
        <is>
          <t>ChTxLy</t>
        </is>
      </c>
      <c r="E614" s="4" t="inlineStr">
        <is>
          <t>文字の画層を変更</t>
        </is>
      </c>
      <c r="F614" s="2" t="n">
        <v>2</v>
      </c>
      <c r="G614" s="2" t="n">
        <v>2</v>
      </c>
      <c r="H614" s="2" t="n">
        <v>3</v>
      </c>
      <c r="I614" s="2" t="n">
        <v>16</v>
      </c>
      <c r="J614" s="5">
        <f>SUM(F614:I614)</f>
        <v/>
      </c>
      <c r="K614" s="4" t="inlineStr">
        <is>
          <t>プロパティで代替可</t>
        </is>
      </c>
      <c r="L614" s="3" t="inlineStr">
        <is>
          <t>Jeffery P. Sanders</t>
        </is>
      </c>
      <c r="M614" s="3" t="inlineStr">
        <is>
          <t>JefferyPSanders.com</t>
        </is>
      </c>
      <c r="N614" s="6" t="inlineStr">
        <is>
          <t>開く</t>
        </is>
      </c>
    </row>
    <row r="615">
      <c r="A615" s="2">
        <f>RANK(J615,$J$2:$J$697)</f>
        <v/>
      </c>
      <c r="B615" s="3" t="inlineStr">
        <is>
          <t>文字・テキスト</t>
        </is>
      </c>
      <c r="C615" s="3" t="inlineStr">
        <is>
          <t>CHTXRT</t>
        </is>
      </c>
      <c r="D615" s="4" t="inlineStr">
        <is>
          <t>ChTxRt</t>
        </is>
      </c>
      <c r="E615" s="4" t="inlineStr">
        <is>
          <t>文字の回転角を変更</t>
        </is>
      </c>
      <c r="F615" s="2" t="n">
        <v>2</v>
      </c>
      <c r="G615" s="2" t="n">
        <v>2</v>
      </c>
      <c r="H615" s="2" t="n">
        <v>3</v>
      </c>
      <c r="I615" s="2" t="n">
        <v>16</v>
      </c>
      <c r="J615" s="5">
        <f>SUM(F615:I615)</f>
        <v/>
      </c>
      <c r="K615" s="4" t="inlineStr">
        <is>
          <t>プロパティで代替可</t>
        </is>
      </c>
      <c r="L615" s="3" t="inlineStr">
        <is>
          <t>Jeffery P. Sanders</t>
        </is>
      </c>
      <c r="M615" s="3" t="inlineStr">
        <is>
          <t>JefferyPSanders.com</t>
        </is>
      </c>
      <c r="N615" s="6" t="inlineStr">
        <is>
          <t>開く</t>
        </is>
      </c>
    </row>
    <row r="616">
      <c r="A616" s="2">
        <f>RANK(J616,$J$2:$J$697)</f>
        <v/>
      </c>
      <c r="B616" s="3" t="inlineStr">
        <is>
          <t>文字・テキスト</t>
        </is>
      </c>
      <c r="C616" s="3" t="inlineStr">
        <is>
          <t>CHTXST</t>
        </is>
      </c>
      <c r="D616" s="4" t="inlineStr">
        <is>
          <t>ChTxSt</t>
        </is>
      </c>
      <c r="E616" s="4" t="inlineStr">
        <is>
          <t>文字スタイルを変更</t>
        </is>
      </c>
      <c r="F616" s="2" t="n">
        <v>2</v>
      </c>
      <c r="G616" s="2" t="n">
        <v>2</v>
      </c>
      <c r="H616" s="2" t="n">
        <v>3</v>
      </c>
      <c r="I616" s="2" t="n">
        <v>16</v>
      </c>
      <c r="J616" s="5">
        <f>SUM(F616:I616)</f>
        <v/>
      </c>
      <c r="K616" s="4" t="inlineStr">
        <is>
          <t>プロパティで代替可</t>
        </is>
      </c>
      <c r="L616" s="3" t="inlineStr">
        <is>
          <t>Jeffery P. Sanders</t>
        </is>
      </c>
      <c r="M616" s="3" t="inlineStr">
        <is>
          <t>JefferyPSanders.com</t>
        </is>
      </c>
      <c r="N616" s="6" t="inlineStr">
        <is>
          <t>開く</t>
        </is>
      </c>
    </row>
    <row r="617">
      <c r="A617" s="2">
        <f>RANK(J617,$J$2:$J$697)</f>
        <v/>
      </c>
      <c r="B617" s="3" t="inlineStr">
        <is>
          <t>LISP開発用の部品</t>
        </is>
      </c>
      <c r="C617" s="3" t="inlineStr">
        <is>
          <t>-</t>
        </is>
      </c>
      <c r="D617" s="4" t="inlineStr">
        <is>
          <t>Create Directory</t>
        </is>
      </c>
      <c r="E617" s="4" t="inlineStr">
        <is>
          <t>フォルダ作成関数</t>
        </is>
      </c>
      <c r="F617" s="2" t="n">
        <v>9</v>
      </c>
      <c r="G617" s="2" t="n">
        <v>5</v>
      </c>
      <c r="H617" s="2" t="n">
        <v>3</v>
      </c>
      <c r="I617" s="2" t="n">
        <v>6</v>
      </c>
      <c r="J617" s="5">
        <f>SUM(F617:I617)</f>
        <v/>
      </c>
      <c r="K617" s="4" t="inlineStr">
        <is>
          <t>多階層フォルダ作成</t>
        </is>
      </c>
      <c r="L617" s="3" t="inlineStr">
        <is>
          <t>Lee Mac</t>
        </is>
      </c>
      <c r="M617" s="3" t="inlineStr">
        <is>
          <t>Lee Mac Programming</t>
        </is>
      </c>
      <c r="N617" s="6" t="inlineStr">
        <is>
          <t>開く</t>
        </is>
      </c>
    </row>
    <row r="618">
      <c r="A618" s="2">
        <f>RANK(J618,$J$2:$J$697)</f>
        <v/>
      </c>
      <c r="B618" s="3" t="inlineStr">
        <is>
          <t>LISP開発用の部品</t>
        </is>
      </c>
      <c r="C618" s="3" t="inlineStr">
        <is>
          <t>-</t>
        </is>
      </c>
      <c r="D618" s="4" t="inlineStr">
        <is>
          <t>Environment Variable Functions</t>
        </is>
      </c>
      <c r="E618" s="4" t="inlineStr">
        <is>
          <t>環境変数操作関数</t>
        </is>
      </c>
      <c r="F618" s="2" t="n">
        <v>8</v>
      </c>
      <c r="G618" s="2" t="n">
        <v>6</v>
      </c>
      <c r="H618" s="2" t="n">
        <v>3</v>
      </c>
      <c r="I618" s="2" t="n">
        <v>6</v>
      </c>
      <c r="J618" s="5">
        <f>SUM(F618:I618)</f>
        <v/>
      </c>
      <c r="K618" s="4" t="inlineStr">
        <is>
          <t>getenv等で可</t>
        </is>
      </c>
      <c r="L618" s="3" t="inlineStr">
        <is>
          <t>Lee Mac</t>
        </is>
      </c>
      <c r="M618" s="3" t="inlineStr">
        <is>
          <t>Lee Mac Programming</t>
        </is>
      </c>
      <c r="N618" s="6" t="inlineStr">
        <is>
          <t>開く</t>
        </is>
      </c>
    </row>
    <row r="619">
      <c r="A619" s="2">
        <f>RANK(J619,$J$2:$J$697)</f>
        <v/>
      </c>
      <c r="B619" s="3" t="inlineStr">
        <is>
          <t>画層</t>
        </is>
      </c>
      <c r="C619" s="3" t="inlineStr">
        <is>
          <t>-</t>
        </is>
      </c>
      <c r="D619" s="4" t="inlineStr">
        <is>
          <t>Layer Set (ls.lsp)</t>
        </is>
      </c>
      <c r="E619" s="4" t="inlineStr">
        <is>
          <t>画層を設定</t>
        </is>
      </c>
      <c r="F619" s="2" t="n">
        <v>2</v>
      </c>
      <c r="G619" s="2" t="n">
        <v>2</v>
      </c>
      <c r="H619" s="2" t="n">
        <v>3</v>
      </c>
      <c r="I619" s="2" t="n">
        <v>16</v>
      </c>
      <c r="J619" s="5">
        <f>SUM(F619:I619)</f>
        <v/>
      </c>
      <c r="K619" s="4" t="inlineStr">
        <is>
          <t>標準画層操作で代替可</t>
        </is>
      </c>
      <c r="L619" s="3" t="inlineStr"/>
      <c r="M619" s="3" t="inlineStr">
        <is>
          <t>draftsperson.net</t>
        </is>
      </c>
      <c r="N619" s="6" t="inlineStr">
        <is>
          <t>開く</t>
        </is>
      </c>
    </row>
    <row r="620">
      <c r="A620" s="2">
        <f>RANK(J620,$J$2:$J$697)</f>
        <v/>
      </c>
      <c r="B620" s="3" t="inlineStr">
        <is>
          <t>画層</t>
        </is>
      </c>
      <c r="C620" s="3" t="inlineStr">
        <is>
          <t>LWALK</t>
        </is>
      </c>
      <c r="D620" s="4" t="inlineStr">
        <is>
          <t>LayerWalkDCL.lsp</t>
        </is>
      </c>
      <c r="E620" s="4" t="inlineStr">
        <is>
          <t>画層をダイアログで閲覧</t>
        </is>
      </c>
      <c r="F620" s="2" t="n">
        <v>3</v>
      </c>
      <c r="G620" s="2" t="n">
        <v>3</v>
      </c>
      <c r="H620" s="2" t="n">
        <v>3</v>
      </c>
      <c r="I620" s="2" t="n">
        <v>14</v>
      </c>
      <c r="J620" s="5">
        <f>SUM(F620:I620)</f>
        <v/>
      </c>
      <c r="K620" s="4" t="inlineStr">
        <is>
          <t>LAYWALKで代替可</t>
        </is>
      </c>
      <c r="L620" s="3" t="inlineStr">
        <is>
          <t>CADAuthority</t>
        </is>
      </c>
      <c r="M620" s="3" t="inlineStr">
        <is>
          <t>CAD Authority</t>
        </is>
      </c>
      <c r="N620" s="6" t="inlineStr">
        <is>
          <t>開く</t>
        </is>
      </c>
    </row>
    <row r="621">
      <c r="A621" s="2">
        <f>RANK(J621,$J$2:$J$697)</f>
        <v/>
      </c>
      <c r="B621" s="3" t="inlineStr">
        <is>
          <t>LISP開発用の部品</t>
        </is>
      </c>
      <c r="C621" s="3" t="inlineStr">
        <is>
          <t>-</t>
        </is>
      </c>
      <c r="D621" s="4" t="inlineStr">
        <is>
          <t>Mathematical Functions</t>
        </is>
      </c>
      <c r="E621" s="4" t="inlineStr">
        <is>
          <t>数学関数集</t>
        </is>
      </c>
      <c r="F621" s="2" t="n">
        <v>8</v>
      </c>
      <c r="G621" s="2" t="n">
        <v>6</v>
      </c>
      <c r="H621" s="2" t="n">
        <v>3</v>
      </c>
      <c r="I621" s="2" t="n">
        <v>6</v>
      </c>
      <c r="J621" s="5">
        <f>SUM(F621:I621)</f>
        <v/>
      </c>
      <c r="K621" s="4" t="inlineStr">
        <is>
          <t>数学関数集</t>
        </is>
      </c>
      <c r="L621" s="3" t="inlineStr">
        <is>
          <t>Lee Mac</t>
        </is>
      </c>
      <c r="M621" s="3" t="inlineStr">
        <is>
          <t>Lee Mac Programming</t>
        </is>
      </c>
      <c r="N621" s="6" t="inlineStr">
        <is>
          <t>開く</t>
        </is>
      </c>
    </row>
    <row r="622">
      <c r="A622" s="2">
        <f>RANK(J622,$J$2:$J$697)</f>
        <v/>
      </c>
      <c r="B622" s="3" t="inlineStr">
        <is>
          <t>線・ポリライン編集</t>
        </is>
      </c>
      <c r="C622" s="3" t="inlineStr">
        <is>
          <t>SCALEREL</t>
        </is>
      </c>
      <c r="D622" s="4" t="inlineStr">
        <is>
          <t>ScaleRelative.lsp</t>
        </is>
      </c>
      <c r="E622" s="4" t="inlineStr">
        <is>
          <t>基準長さで尺度変更</t>
        </is>
      </c>
      <c r="F622" s="2" t="n">
        <v>2</v>
      </c>
      <c r="G622" s="2" t="n">
        <v>3</v>
      </c>
      <c r="H622" s="2" t="n">
        <v>4</v>
      </c>
      <c r="I622" s="2" t="n">
        <v>14</v>
      </c>
      <c r="J622" s="5">
        <f>SUM(F622:I622)</f>
        <v/>
      </c>
      <c r="K622" s="4" t="inlineStr">
        <is>
          <t>SCALE参照で代替</t>
        </is>
      </c>
      <c r="L622" s="3" t="inlineStr">
        <is>
          <t>CADAuthority</t>
        </is>
      </c>
      <c r="M622" s="3" t="inlineStr">
        <is>
          <t>CAD Authority</t>
        </is>
      </c>
      <c r="N622" s="6" t="inlineStr">
        <is>
          <t>開く</t>
        </is>
      </c>
    </row>
    <row r="623">
      <c r="A623" s="2">
        <f>RANK(J623,$J$2:$J$697)</f>
        <v/>
      </c>
      <c r="B623" s="3" t="inlineStr">
        <is>
          <t>作図</t>
        </is>
      </c>
      <c r="C623" s="3" t="inlineStr">
        <is>
          <t>TANDRAW</t>
        </is>
      </c>
      <c r="D623" s="4" t="inlineStr">
        <is>
          <t>TangentDraw.lsp</t>
        </is>
      </c>
      <c r="E623" s="4" t="inlineStr">
        <is>
          <t>2円に接する接線を作図</t>
        </is>
      </c>
      <c r="F623" s="2" t="n">
        <v>3</v>
      </c>
      <c r="G623" s="2" t="n">
        <v>4</v>
      </c>
      <c r="H623" s="2" t="n">
        <v>5</v>
      </c>
      <c r="I623" s="2" t="n">
        <v>11</v>
      </c>
      <c r="J623" s="5">
        <f>SUM(F623:I623)</f>
        <v/>
      </c>
      <c r="K623" s="4" t="inlineStr">
        <is>
          <t>接線スナップで代替</t>
        </is>
      </c>
      <c r="L623" s="3" t="inlineStr">
        <is>
          <t>CADAuthority</t>
        </is>
      </c>
      <c r="M623" s="3" t="inlineStr">
        <is>
          <t>CAD Authority</t>
        </is>
      </c>
      <c r="N623" s="6" t="inlineStr">
        <is>
          <t>開く</t>
        </is>
      </c>
    </row>
    <row r="624">
      <c r="A624" s="2">
        <f>RANK(J624,$J$2:$J$697)</f>
        <v/>
      </c>
      <c r="B624" s="3" t="inlineStr">
        <is>
          <t>その他</t>
        </is>
      </c>
      <c r="C624" s="3" t="inlineStr">
        <is>
          <t>Troy</t>
        </is>
      </c>
      <c r="D624" s="4" t="inlineStr">
        <is>
          <t>Troy-I</t>
        </is>
      </c>
      <c r="E624" s="4" t="inlineStr">
        <is>
          <t>アステロイド風ゲーム（多言語版）</t>
        </is>
      </c>
      <c r="F624" s="2" t="n">
        <v>11</v>
      </c>
      <c r="G624" s="2" t="n">
        <v>11</v>
      </c>
      <c r="H624" s="2" t="n">
        <v>0</v>
      </c>
      <c r="I624" s="2" t="n">
        <v>1</v>
      </c>
      <c r="J624" s="5">
        <f>SUM(F624:I624)</f>
        <v/>
      </c>
      <c r="K624" s="4" t="inlineStr">
        <is>
          <t>ゲーム</t>
        </is>
      </c>
      <c r="L624" s="3" t="inlineStr">
        <is>
          <t>Terry Miller / Vladimir Michl</t>
        </is>
      </c>
      <c r="M624" s="3" t="inlineStr">
        <is>
          <t>AutoLISP Exchange</t>
        </is>
      </c>
      <c r="N624" s="6" t="inlineStr">
        <is>
          <t>開く</t>
        </is>
      </c>
    </row>
    <row r="625">
      <c r="A625" s="2">
        <f>RANK(J625,$J$2:$J$697)</f>
        <v/>
      </c>
      <c r="B625" s="3" t="inlineStr">
        <is>
          <t>設定・環境</t>
        </is>
      </c>
      <c r="C625" s="3" t="inlineStr">
        <is>
          <t>-</t>
        </is>
      </c>
      <c r="D625" s="4" t="inlineStr">
        <is>
          <t>Units Precision Editor (epu.lsp)</t>
        </is>
      </c>
      <c r="E625" s="4" t="inlineStr">
        <is>
          <t>単位精度を変更</t>
        </is>
      </c>
      <c r="F625" s="2" t="n">
        <v>5</v>
      </c>
      <c r="G625" s="2" t="n">
        <v>3</v>
      </c>
      <c r="H625" s="2" t="n">
        <v>3</v>
      </c>
      <c r="I625" s="2" t="n">
        <v>12</v>
      </c>
      <c r="J625" s="5">
        <f>SUM(F625:I625)</f>
        <v/>
      </c>
      <c r="K625" s="4" t="inlineStr">
        <is>
          <t>UNITSで代替可</t>
        </is>
      </c>
      <c r="L625" s="3" t="inlineStr"/>
      <c r="M625" s="3" t="inlineStr">
        <is>
          <t>draftsperson.net</t>
        </is>
      </c>
      <c r="N625" s="6" t="inlineStr">
        <is>
          <t>開く</t>
        </is>
      </c>
    </row>
    <row r="626">
      <c r="A626" s="2">
        <f>RANK(J626,$J$2:$J$697)</f>
        <v/>
      </c>
      <c r="B626" s="3" t="inlineStr">
        <is>
          <t>寸法</t>
        </is>
      </c>
      <c r="C626" s="3" t="inlineStr">
        <is>
          <t>ai_dim_textbelow</t>
        </is>
      </c>
      <c r="D626" s="4" t="inlineStr">
        <is>
          <t>AI_DIM_TEXTBELOW</t>
        </is>
      </c>
      <c r="E626" s="4" t="inlineStr">
        <is>
          <t>寸法値を寸法線の下に移動</t>
        </is>
      </c>
      <c r="F626" s="2" t="n">
        <v>4</v>
      </c>
      <c r="G626" s="2" t="n">
        <v>3</v>
      </c>
      <c r="H626" s="2" t="n">
        <v>3</v>
      </c>
      <c r="I626" s="2" t="n">
        <v>12</v>
      </c>
      <c r="J626" s="5">
        <f>SUM(F626:I626)</f>
        <v/>
      </c>
      <c r="K626" s="4" t="inlineStr">
        <is>
          <t>寸法プロパティで代替可</t>
        </is>
      </c>
      <c r="L626" s="3" t="inlineStr">
        <is>
          <t>JTB World (Jimmy Bergmark)</t>
        </is>
      </c>
      <c r="M626" s="3" t="inlineStr">
        <is>
          <t>JTB World</t>
        </is>
      </c>
      <c r="N626" s="6" t="inlineStr">
        <is>
          <t>開く</t>
        </is>
      </c>
    </row>
    <row r="627">
      <c r="A627" s="2">
        <f>RANK(J627,$J$2:$J$697)</f>
        <v/>
      </c>
      <c r="B627" s="3" t="inlineStr">
        <is>
          <t>文字・テキスト</t>
        </is>
      </c>
      <c r="C627" s="3" t="inlineStr">
        <is>
          <t>AU</t>
        </is>
      </c>
      <c r="D627" s="4" t="inlineStr">
        <is>
          <t>Au</t>
        </is>
      </c>
      <c r="E627" s="4" t="inlineStr">
        <is>
          <t>文字に下線コードを付加</t>
        </is>
      </c>
      <c r="F627" s="2" t="n">
        <v>4</v>
      </c>
      <c r="G627" s="2" t="n">
        <v>3</v>
      </c>
      <c r="H627" s="2" t="n">
        <v>3</v>
      </c>
      <c r="I627" s="2" t="n">
        <v>12</v>
      </c>
      <c r="J627" s="5">
        <f>SUM(F627:I627)</f>
        <v/>
      </c>
      <c r="K627" s="4" t="inlineStr">
        <is>
          <t>書式で下線可、単純ラッパ</t>
        </is>
      </c>
      <c r="L627" s="3" t="inlineStr">
        <is>
          <t>Jeffery P. Sanders</t>
        </is>
      </c>
      <c r="M627" s="3" t="inlineStr">
        <is>
          <t>JefferyPSanders.com</t>
        </is>
      </c>
      <c r="N627" s="6" t="inlineStr">
        <is>
          <t>開く</t>
        </is>
      </c>
    </row>
    <row r="628">
      <c r="A628" s="2">
        <f>RANK(J628,$J$2:$J$697)</f>
        <v/>
      </c>
      <c r="B628" s="3" t="inlineStr">
        <is>
          <t>線・ポリライン編集</t>
        </is>
      </c>
      <c r="C628" s="3" t="inlineStr">
        <is>
          <t>cbrk</t>
        </is>
      </c>
      <c r="D628" s="4" t="inlineStr">
        <is>
          <t>Circle Break</t>
        </is>
      </c>
      <c r="E628" s="4" t="inlineStr">
        <is>
          <t>円を2点で切断</t>
        </is>
      </c>
      <c r="F628" s="2" t="n">
        <v>3</v>
      </c>
      <c r="G628" s="2" t="n">
        <v>4</v>
      </c>
      <c r="H628" s="2" t="n">
        <v>5</v>
      </c>
      <c r="I628" s="2" t="n">
        <v>10</v>
      </c>
      <c r="J628" s="5">
        <f>SUM(F628:I628)</f>
        <v/>
      </c>
      <c r="K628" s="4" t="inlineStr">
        <is>
          <t>標準BREAKで代替</t>
        </is>
      </c>
      <c r="L628" s="3" t="inlineStr">
        <is>
          <t>Lee Mac</t>
        </is>
      </c>
      <c r="M628" s="3" t="inlineStr">
        <is>
          <t>Lee Mac Programming</t>
        </is>
      </c>
      <c r="N628" s="6" t="inlineStr">
        <is>
          <t>開く</t>
        </is>
      </c>
    </row>
    <row r="629">
      <c r="A629" s="2">
        <f>RANK(J629,$J$2:$J$697)</f>
        <v/>
      </c>
      <c r="B629" s="3" t="inlineStr">
        <is>
          <t>LISP開発用の部品</t>
        </is>
      </c>
      <c r="C629" s="3" t="inlineStr">
        <is>
          <t>-</t>
        </is>
      </c>
      <c r="D629" s="4" t="inlineStr">
        <is>
          <t>Collection Functions</t>
        </is>
      </c>
      <c r="E629" s="4" t="inlineStr">
        <is>
          <t>コレクション操作関数</t>
        </is>
      </c>
      <c r="F629" s="2" t="n">
        <v>7</v>
      </c>
      <c r="G629" s="2" t="n">
        <v>6</v>
      </c>
      <c r="H629" s="2" t="n">
        <v>3</v>
      </c>
      <c r="I629" s="2" t="n">
        <v>6</v>
      </c>
      <c r="J629" s="5">
        <f>SUM(F629:I629)</f>
        <v/>
      </c>
      <c r="K629" s="4" t="inlineStr">
        <is>
          <t>コレクション操作</t>
        </is>
      </c>
      <c r="L629" s="3" t="inlineStr">
        <is>
          <t>Lee Mac</t>
        </is>
      </c>
      <c r="M629" s="3" t="inlineStr">
        <is>
          <t>Lee Mac Programming</t>
        </is>
      </c>
      <c r="N629" s="6" t="inlineStr">
        <is>
          <t>開く</t>
        </is>
      </c>
    </row>
    <row r="630">
      <c r="A630" s="2">
        <f>RANK(J630,$J$2:$J$697)</f>
        <v/>
      </c>
      <c r="B630" s="3" t="inlineStr">
        <is>
          <t>座標・測量・土木</t>
        </is>
      </c>
      <c r="C630" s="3" t="inlineStr">
        <is>
          <t>COLOURBYSET</t>
        </is>
      </c>
      <c r="D630" s="4" t="inlineStr">
        <is>
          <t>COLOURBY.LSP</t>
        </is>
      </c>
      <c r="E630" s="4" t="inlineStr">
        <is>
          <t>色分け設定を変更</t>
        </is>
      </c>
      <c r="F630" s="2" t="n">
        <v>7</v>
      </c>
      <c r="G630" s="2" t="n">
        <v>5</v>
      </c>
      <c r="H630" s="2" t="n">
        <v>4</v>
      </c>
      <c r="I630" s="2" t="n">
        <v>6</v>
      </c>
      <c r="J630" s="5">
        <f>SUM(F630:I630)</f>
        <v/>
      </c>
      <c r="K630" s="4" t="inlineStr">
        <is>
          <t>色分け設定の変更</t>
        </is>
      </c>
      <c r="L630" s="3" t="inlineStr">
        <is>
          <t>Giles Darling</t>
        </is>
      </c>
      <c r="M630" s="3" t="inlineStr">
        <is>
          <t>gilesdarling.me.uk</t>
        </is>
      </c>
      <c r="N630" s="6" t="inlineStr">
        <is>
          <t>開く</t>
        </is>
      </c>
    </row>
    <row r="631">
      <c r="A631" s="2">
        <f>RANK(J631,$J$2:$J$697)</f>
        <v/>
      </c>
      <c r="B631" s="3" t="inlineStr">
        <is>
          <t>寸法</t>
        </is>
      </c>
      <c r="C631" s="3" t="inlineStr">
        <is>
          <t>DIMLINECHANGE / DLC</t>
        </is>
      </c>
      <c r="D631" s="4" t="inlineStr">
        <is>
          <t>dimlinechange.lsp</t>
        </is>
      </c>
      <c r="E631" s="4" t="inlineStr">
        <is>
          <t>寸法の線を現在画層へ変更</t>
        </is>
      </c>
      <c r="F631" s="2" t="n">
        <v>3</v>
      </c>
      <c r="G631" s="2" t="n">
        <v>2</v>
      </c>
      <c r="H631" s="2" t="n">
        <v>3</v>
      </c>
      <c r="I631" s="2" t="n">
        <v>14</v>
      </c>
      <c r="J631" s="5">
        <f>SUM(F631:I631)</f>
        <v/>
      </c>
      <c r="K631" s="4" t="inlineStr">
        <is>
          <t>プロパティで代替可</t>
        </is>
      </c>
      <c r="L631" s="3" t="inlineStr">
        <is>
          <t>JTB World (Jimmy Bergmark)</t>
        </is>
      </c>
      <c r="M631" s="3" t="inlineStr">
        <is>
          <t>JTB World</t>
        </is>
      </c>
      <c r="N631" s="6" t="inlineStr">
        <is>
          <t>開く</t>
        </is>
      </c>
    </row>
    <row r="632">
      <c r="A632" s="2">
        <f>RANK(J632,$J$2:$J$697)</f>
        <v/>
      </c>
      <c r="B632" s="3" t="inlineStr">
        <is>
          <t>LISP開発用の部品</t>
        </is>
      </c>
      <c r="C632" s="3" t="inlineStr">
        <is>
          <t>-</t>
        </is>
      </c>
      <c r="D632" s="4" t="inlineStr">
        <is>
          <t>Explore</t>
        </is>
      </c>
      <c r="E632" s="4" t="inlineStr">
        <is>
          <t>エクスプローラでフォルダを開く</t>
        </is>
      </c>
      <c r="F632" s="2" t="n">
        <v>7</v>
      </c>
      <c r="G632" s="2" t="n">
        <v>5</v>
      </c>
      <c r="H632" s="2" t="n">
        <v>4</v>
      </c>
      <c r="I632" s="2" t="n">
        <v>6</v>
      </c>
      <c r="J632" s="5">
        <f>SUM(F632:I632)</f>
        <v/>
      </c>
      <c r="K632" s="4" t="inlineStr">
        <is>
          <t>エクスプローラ起動</t>
        </is>
      </c>
      <c r="L632" s="3" t="inlineStr">
        <is>
          <t>Lee Mac</t>
        </is>
      </c>
      <c r="M632" s="3" t="inlineStr">
        <is>
          <t>Lee Mac Programming</t>
        </is>
      </c>
      <c r="N632" s="6" t="inlineStr">
        <is>
          <t>開く</t>
        </is>
      </c>
    </row>
    <row r="633">
      <c r="A633" s="2">
        <f>RANK(J633,$J$2:$J$697)</f>
        <v/>
      </c>
      <c r="B633" s="3" t="inlineStr">
        <is>
          <t>設定・環境</t>
        </is>
      </c>
      <c r="C633" s="3" t="inlineStr">
        <is>
          <t>JTB_SetTitleBarAutoCAD2005 他</t>
        </is>
      </c>
      <c r="D633" s="4" t="inlineStr">
        <is>
          <t>JTB_TitleBar.lsp</t>
        </is>
      </c>
      <c r="E633" s="4" t="inlineStr">
        <is>
          <t>タイトルバー表示を変更</t>
        </is>
      </c>
      <c r="F633" s="2" t="n">
        <v>6</v>
      </c>
      <c r="G633" s="2" t="n">
        <v>6</v>
      </c>
      <c r="H633" s="2" t="n">
        <v>2</v>
      </c>
      <c r="I633" s="2" t="n">
        <v>8</v>
      </c>
      <c r="J633" s="5">
        <f>SUM(F633:I633)</f>
        <v/>
      </c>
      <c r="K633" s="4" t="inlineStr">
        <is>
          <t>タイトルバー変更</t>
        </is>
      </c>
      <c r="L633" s="3" t="inlineStr">
        <is>
          <t>JTB World (Jimmy Bergmark)</t>
        </is>
      </c>
      <c r="M633" s="3" t="inlineStr">
        <is>
          <t>JTB World</t>
        </is>
      </c>
      <c r="N633" s="6" t="inlineStr">
        <is>
          <t>開く</t>
        </is>
      </c>
    </row>
    <row r="634">
      <c r="A634" s="2">
        <f>RANK(J634,$J$2:$J$697)</f>
        <v/>
      </c>
      <c r="B634" s="3" t="inlineStr">
        <is>
          <t>LISP開発用の部品</t>
        </is>
      </c>
      <c r="C634" s="3" t="inlineStr">
        <is>
          <t>-</t>
        </is>
      </c>
      <c r="D634" s="4" t="inlineStr">
        <is>
          <t>List to String</t>
        </is>
      </c>
      <c r="E634" s="4" t="inlineStr">
        <is>
          <t>リスト文字列変換関数</t>
        </is>
      </c>
      <c r="F634" s="2" t="n">
        <v>7</v>
      </c>
      <c r="G634" s="2" t="n">
        <v>5</v>
      </c>
      <c r="H634" s="2" t="n">
        <v>3</v>
      </c>
      <c r="I634" s="2" t="n">
        <v>7</v>
      </c>
      <c r="J634" s="5">
        <f>SUM(F634:I634)</f>
        <v/>
      </c>
      <c r="K634" s="4" t="inlineStr">
        <is>
          <t>単純な文字列操作</t>
        </is>
      </c>
      <c r="L634" s="3" t="inlineStr">
        <is>
          <t>Lee Mac</t>
        </is>
      </c>
      <c r="M634" s="3" t="inlineStr">
        <is>
          <t>Lee Mac Programming</t>
        </is>
      </c>
      <c r="N634" s="6" t="inlineStr">
        <is>
          <t>開く</t>
        </is>
      </c>
    </row>
    <row r="635">
      <c r="A635" s="2">
        <f>RANK(J635,$J$2:$J$697)</f>
        <v/>
      </c>
      <c r="B635" s="3" t="inlineStr">
        <is>
          <t>LISP開発用の部品</t>
        </is>
      </c>
      <c r="C635" s="3" t="inlineStr">
        <is>
          <t>-</t>
        </is>
      </c>
      <c r="D635" s="4" t="inlineStr">
        <is>
          <t>MatInv</t>
        </is>
      </c>
      <c r="E635" s="4" t="inlineStr">
        <is>
          <t>連想リスト関数集</t>
        </is>
      </c>
      <c r="F635" s="2" t="n">
        <v>8</v>
      </c>
      <c r="G635" s="2" t="n">
        <v>6</v>
      </c>
      <c r="H635" s="2" t="n">
        <v>3</v>
      </c>
      <c r="I635" s="2" t="n">
        <v>5</v>
      </c>
      <c r="J635" s="5">
        <f>SUM(F635:I635)</f>
        <v/>
      </c>
      <c r="K635" s="4" t="inlineStr">
        <is>
          <t>連想リスト関数</t>
        </is>
      </c>
      <c r="L635" s="3" t="inlineStr">
        <is>
          <t>Tihomir Bojanic</t>
        </is>
      </c>
      <c r="M635" s="3" t="inlineStr">
        <is>
          <t>AutoLISP Exchange</t>
        </is>
      </c>
      <c r="N635" s="6" t="inlineStr">
        <is>
          <t>開く</t>
        </is>
      </c>
    </row>
    <row r="636">
      <c r="A636" s="2">
        <f>RANK(J636,$J$2:$J$697)</f>
        <v/>
      </c>
      <c r="B636" s="3" t="inlineStr">
        <is>
          <t>LISP開発用の部品</t>
        </is>
      </c>
      <c r="C636" s="3" t="inlineStr">
        <is>
          <t>-</t>
        </is>
      </c>
      <c r="D636" s="4" t="inlineStr">
        <is>
          <t>Open</t>
        </is>
      </c>
      <c r="E636" s="4" t="inlineStr">
        <is>
          <t>ファイルを関連付けで開く関数</t>
        </is>
      </c>
      <c r="F636" s="2" t="n">
        <v>8</v>
      </c>
      <c r="G636" s="2" t="n">
        <v>5</v>
      </c>
      <c r="H636" s="2" t="n">
        <v>3</v>
      </c>
      <c r="I636" s="2" t="n">
        <v>6</v>
      </c>
      <c r="J636" s="5">
        <f>SUM(F636:I636)</f>
        <v/>
      </c>
      <c r="K636" s="4" t="inlineStr">
        <is>
          <t>関連付けで開く</t>
        </is>
      </c>
      <c r="L636" s="3" t="inlineStr">
        <is>
          <t>Lee Mac</t>
        </is>
      </c>
      <c r="M636" s="3" t="inlineStr">
        <is>
          <t>Lee Mac Programming</t>
        </is>
      </c>
      <c r="N636" s="6" t="inlineStr">
        <is>
          <t>開く</t>
        </is>
      </c>
    </row>
    <row r="637">
      <c r="A637" s="2">
        <f>RANK(J637,$J$2:$J$697)</f>
        <v/>
      </c>
      <c r="B637" s="3" t="inlineStr">
        <is>
          <t>LISP開発用の部品</t>
        </is>
      </c>
      <c r="C637" s="3" t="inlineStr">
        <is>
          <t>-</t>
        </is>
      </c>
      <c r="D637" s="4" t="inlineStr">
        <is>
          <t>Print List</t>
        </is>
      </c>
      <c r="E637" s="4" t="inlineStr">
        <is>
          <t>リストを整形出力</t>
        </is>
      </c>
      <c r="F637" s="2" t="n">
        <v>8</v>
      </c>
      <c r="G637" s="2" t="n">
        <v>6</v>
      </c>
      <c r="H637" s="2" t="n">
        <v>3</v>
      </c>
      <c r="I637" s="2" t="n">
        <v>5</v>
      </c>
      <c r="J637" s="5">
        <f>SUM(F637:I637)</f>
        <v/>
      </c>
      <c r="K637" s="4" t="inlineStr">
        <is>
          <t>デバッグ出力用</t>
        </is>
      </c>
      <c r="L637" s="3" t="inlineStr">
        <is>
          <t>Lee Mac</t>
        </is>
      </c>
      <c r="M637" s="3" t="inlineStr">
        <is>
          <t>Lee Mac Programming</t>
        </is>
      </c>
      <c r="N637" s="6" t="inlineStr">
        <is>
          <t>開く</t>
        </is>
      </c>
    </row>
    <row r="638">
      <c r="A638" s="2">
        <f>RANK(J638,$J$2:$J$697)</f>
        <v/>
      </c>
      <c r="B638" s="3" t="inlineStr">
        <is>
          <t>線・ポリライン編集</t>
        </is>
      </c>
      <c r="C638" s="3" t="inlineStr">
        <is>
          <t>REVPL</t>
        </is>
      </c>
      <c r="D638" s="4" t="inlineStr">
        <is>
          <t>ReversePolyline.lsp</t>
        </is>
      </c>
      <c r="E638" s="4" t="inlineStr">
        <is>
          <t>ポリラインの向きを反転</t>
        </is>
      </c>
      <c r="F638" s="2" t="n">
        <v>2</v>
      </c>
      <c r="G638" s="2" t="n">
        <v>3</v>
      </c>
      <c r="H638" s="2" t="n">
        <v>5</v>
      </c>
      <c r="I638" s="2" t="n">
        <v>12</v>
      </c>
      <c r="J638" s="5">
        <f>SUM(F638:I638)</f>
        <v/>
      </c>
      <c r="K638" s="4" t="inlineStr">
        <is>
          <t>標準REVERSEで代替</t>
        </is>
      </c>
      <c r="L638" s="3" t="inlineStr">
        <is>
          <t>CADAuthority</t>
        </is>
      </c>
      <c r="M638" s="3" t="inlineStr">
        <is>
          <t>CAD Authority</t>
        </is>
      </c>
      <c r="N638" s="6" t="inlineStr">
        <is>
          <t>開く</t>
        </is>
      </c>
    </row>
    <row r="639">
      <c r="A639" s="2">
        <f>RANK(J639,$J$2:$J$697)</f>
        <v/>
      </c>
      <c r="B639" s="3" t="inlineStr">
        <is>
          <t>設定・環境</t>
        </is>
      </c>
      <c r="C639" s="3" t="inlineStr">
        <is>
          <t>-</t>
        </is>
      </c>
      <c r="D639" s="4" t="inlineStr">
        <is>
          <t>Tip of the Day</t>
        </is>
      </c>
      <c r="E639" s="4" t="inlineStr">
        <is>
          <t>起動時に今日のヒント表示</t>
        </is>
      </c>
      <c r="F639" s="2" t="n">
        <v>6</v>
      </c>
      <c r="G639" s="2" t="n">
        <v>7</v>
      </c>
      <c r="H639" s="2" t="n">
        <v>1</v>
      </c>
      <c r="I639" s="2" t="n">
        <v>8</v>
      </c>
      <c r="J639" s="5">
        <f>SUM(F639:I639)</f>
        <v/>
      </c>
      <c r="K639" s="4" t="inlineStr">
        <is>
          <t>起動時ヒント表示</t>
        </is>
      </c>
      <c r="L639" s="3" t="inlineStr">
        <is>
          <t>Lee Mac</t>
        </is>
      </c>
      <c r="M639" s="3" t="inlineStr">
        <is>
          <t>Lee Mac Programming</t>
        </is>
      </c>
      <c r="N639" s="6" t="inlineStr">
        <is>
          <t>開く</t>
        </is>
      </c>
    </row>
    <row r="640">
      <c r="A640" s="2">
        <f>RANK(J640,$J$2:$J$697)</f>
        <v/>
      </c>
      <c r="B640" s="3" t="inlineStr">
        <is>
          <t>その他</t>
        </is>
      </c>
      <c r="C640" s="3" t="inlineStr">
        <is>
          <t>-</t>
        </is>
      </c>
      <c r="D640" s="4" t="inlineStr">
        <is>
          <t>Architectural Calculator (archcalc.zip)</t>
        </is>
      </c>
      <c r="E640" s="4" t="inlineStr">
        <is>
          <t>フィート・インチ計算機</t>
        </is>
      </c>
      <c r="F640" s="2" t="n">
        <v>5</v>
      </c>
      <c r="G640" s="2" t="n">
        <v>5</v>
      </c>
      <c r="H640" s="2" t="n">
        <v>5</v>
      </c>
      <c r="I640" s="2" t="n">
        <v>6</v>
      </c>
      <c r="J640" s="5">
        <f>SUM(F640:I640)</f>
        <v/>
      </c>
      <c r="K640" s="4" t="inlineStr">
        <is>
          <t>QUICKCALCで代替可</t>
        </is>
      </c>
      <c r="L640" s="3" t="inlineStr"/>
      <c r="M640" s="3" t="inlineStr">
        <is>
          <t>draftsperson.net</t>
        </is>
      </c>
      <c r="N640" s="6" t="inlineStr">
        <is>
          <t>開く</t>
        </is>
      </c>
    </row>
    <row r="641">
      <c r="A641" s="2">
        <f>RANK(J641,$J$2:$J$697)</f>
        <v/>
      </c>
      <c r="B641" s="3" t="inlineStr">
        <is>
          <t>文字・テキスト</t>
        </is>
      </c>
      <c r="C641" s="3" t="inlineStr">
        <is>
          <t>CASE</t>
        </is>
      </c>
      <c r="D641" s="4" t="inlineStr">
        <is>
          <t>Case (reverse)</t>
        </is>
      </c>
      <c r="E641" s="4" t="inlineStr">
        <is>
          <t>文字の大文字小文字を反転</t>
        </is>
      </c>
      <c r="F641" s="2" t="n">
        <v>4</v>
      </c>
      <c r="G641" s="2" t="n">
        <v>4</v>
      </c>
      <c r="H641" s="2" t="n">
        <v>3</v>
      </c>
      <c r="I641" s="2" t="n">
        <v>10</v>
      </c>
      <c r="J641" s="5">
        <f>SUM(F641:I641)</f>
        <v/>
      </c>
      <c r="K641" s="4" t="inlineStr">
        <is>
          <t>反転は用途少ない</t>
        </is>
      </c>
      <c r="L641" s="3" t="inlineStr">
        <is>
          <t>Jeffery P. Sanders</t>
        </is>
      </c>
      <c r="M641" s="3" t="inlineStr">
        <is>
          <t>JefferyPSanders.com</t>
        </is>
      </c>
      <c r="N641" s="6" t="inlineStr">
        <is>
          <t>開く</t>
        </is>
      </c>
    </row>
    <row r="642">
      <c r="A642" s="2">
        <f>RANK(J642,$J$2:$J$697)</f>
        <v/>
      </c>
      <c r="B642" s="3" t="inlineStr">
        <is>
          <t>作図</t>
        </is>
      </c>
      <c r="C642" s="3" t="inlineStr">
        <is>
          <t>-</t>
        </is>
      </c>
      <c r="D642" s="4" t="inlineStr">
        <is>
          <t>Circle Tangent to Three Points (ttt.zip)</t>
        </is>
      </c>
      <c r="E642" s="4" t="inlineStr">
        <is>
          <t>3点に接する円を作図</t>
        </is>
      </c>
      <c r="F642" s="2" t="n">
        <v>4</v>
      </c>
      <c r="G642" s="2" t="n">
        <v>4</v>
      </c>
      <c r="H642" s="2" t="n">
        <v>4</v>
      </c>
      <c r="I642" s="2" t="n">
        <v>9</v>
      </c>
      <c r="J642" s="5">
        <f>SUM(F642:I642)</f>
        <v/>
      </c>
      <c r="K642" s="4" t="inlineStr">
        <is>
          <t>CIRCLE接接接で代替</t>
        </is>
      </c>
      <c r="L642" s="3" t="inlineStr"/>
      <c r="M642" s="3" t="inlineStr">
        <is>
          <t>draftsperson.net</t>
        </is>
      </c>
      <c r="N642" s="6" t="inlineStr">
        <is>
          <t>開く</t>
        </is>
      </c>
    </row>
    <row r="643">
      <c r="A643" s="2">
        <f>RANK(J643,$J$2:$J$697)</f>
        <v/>
      </c>
      <c r="B643" s="3" t="inlineStr">
        <is>
          <t>引出線・注記</t>
        </is>
      </c>
      <c r="C643" s="3" t="inlineStr">
        <is>
          <t>CLOUD</t>
        </is>
      </c>
      <c r="D643" s="4" t="inlineStr">
        <is>
          <t>Cloud</t>
        </is>
      </c>
      <c r="E643" s="4" t="inlineStr">
        <is>
          <t>改訂雲マークを作図</t>
        </is>
      </c>
      <c r="F643" s="2" t="n">
        <v>2</v>
      </c>
      <c r="G643" s="2" t="n">
        <v>2</v>
      </c>
      <c r="H643" s="2" t="n">
        <v>3</v>
      </c>
      <c r="I643" s="2" t="n">
        <v>14</v>
      </c>
      <c r="J643" s="5">
        <f>SUM(F643:I643)</f>
        <v/>
      </c>
      <c r="K643" s="4" t="inlineStr">
        <is>
          <t>REVCLOUDで代替可</t>
        </is>
      </c>
      <c r="L643" s="3" t="inlineStr">
        <is>
          <t>Jeffery P. Sanders</t>
        </is>
      </c>
      <c r="M643" s="3" t="inlineStr">
        <is>
          <t>JefferyPSanders.com</t>
        </is>
      </c>
      <c r="N643" s="6" t="inlineStr">
        <is>
          <t>開く</t>
        </is>
      </c>
    </row>
    <row r="644">
      <c r="A644" s="2">
        <f>RANK(J644,$J$2:$J$697)</f>
        <v/>
      </c>
      <c r="B644" s="3" t="inlineStr">
        <is>
          <t>LISP開発用の部品</t>
        </is>
      </c>
      <c r="C644" s="3" t="inlineStr">
        <is>
          <t>-</t>
        </is>
      </c>
      <c r="D644" s="4" t="inlineStr">
        <is>
          <t>Find File</t>
        </is>
      </c>
      <c r="E644" s="4" t="inlineStr">
        <is>
          <t>ファイル検索関数</t>
        </is>
      </c>
      <c r="F644" s="2" t="n">
        <v>7</v>
      </c>
      <c r="G644" s="2" t="n">
        <v>5</v>
      </c>
      <c r="H644" s="2" t="n">
        <v>3</v>
      </c>
      <c r="I644" s="2" t="n">
        <v>6</v>
      </c>
      <c r="J644" s="5">
        <f>SUM(F644:I644)</f>
        <v/>
      </c>
      <c r="K644" s="4" t="inlineStr">
        <is>
          <t>findfileで概ね可</t>
        </is>
      </c>
      <c r="L644" s="3" t="inlineStr">
        <is>
          <t>Lee Mac</t>
        </is>
      </c>
      <c r="M644" s="3" t="inlineStr">
        <is>
          <t>Lee Mac Programming</t>
        </is>
      </c>
      <c r="N644" s="6" t="inlineStr">
        <is>
          <t>開く</t>
        </is>
      </c>
    </row>
    <row r="645">
      <c r="A645" s="2">
        <f>RANK(J645,$J$2:$J$697)</f>
        <v/>
      </c>
      <c r="B645" s="3" t="inlineStr">
        <is>
          <t>LISP開発用の部品</t>
        </is>
      </c>
      <c r="C645" s="3" t="inlineStr">
        <is>
          <t>-</t>
        </is>
      </c>
      <c r="D645" s="4" t="inlineStr">
        <is>
          <t>Flatten List</t>
        </is>
      </c>
      <c r="E645" s="4" t="inlineStr">
        <is>
          <t>リスト平坦化関数</t>
        </is>
      </c>
      <c r="F645" s="2" t="n">
        <v>6</v>
      </c>
      <c r="G645" s="2" t="n">
        <v>6</v>
      </c>
      <c r="H645" s="2" t="n">
        <v>3</v>
      </c>
      <c r="I645" s="2" t="n">
        <v>6</v>
      </c>
      <c r="J645" s="5">
        <f>SUM(F645:I645)</f>
        <v/>
      </c>
      <c r="K645" s="4" t="inlineStr">
        <is>
          <t>リスト平坦化</t>
        </is>
      </c>
      <c r="L645" s="3" t="inlineStr">
        <is>
          <t>Lee Mac</t>
        </is>
      </c>
      <c r="M645" s="3" t="inlineStr">
        <is>
          <t>Lee Mac Programming</t>
        </is>
      </c>
      <c r="N645" s="6" t="inlineStr">
        <is>
          <t>開く</t>
        </is>
      </c>
    </row>
    <row r="646">
      <c r="A646" s="2">
        <f>RANK(J646,$J$2:$J$697)</f>
        <v/>
      </c>
      <c r="B646" s="3" t="inlineStr">
        <is>
          <t>設定・環境</t>
        </is>
      </c>
      <c r="C646" s="3" t="inlineStr">
        <is>
          <t>cmdhistlines</t>
        </is>
      </c>
      <c r="D646" s="4" t="inlineStr">
        <is>
          <t>historylines.lsp</t>
        </is>
      </c>
      <c r="E646" s="4" t="inlineStr">
        <is>
          <t>コマンド履歴行数を変更</t>
        </is>
      </c>
      <c r="F646" s="2" t="n">
        <v>4</v>
      </c>
      <c r="G646" s="2" t="n">
        <v>3</v>
      </c>
      <c r="H646" s="2" t="n">
        <v>2</v>
      </c>
      <c r="I646" s="2" t="n">
        <v>12</v>
      </c>
      <c r="J646" s="5">
        <f>SUM(F646:I646)</f>
        <v/>
      </c>
      <c r="K646" s="4" t="inlineStr">
        <is>
          <t>コマンド履歴行数変更</t>
        </is>
      </c>
      <c r="L646" s="3" t="inlineStr">
        <is>
          <t>JTB World (Jimmy Bergmark)</t>
        </is>
      </c>
      <c r="M646" s="3" t="inlineStr">
        <is>
          <t>JTB World</t>
        </is>
      </c>
      <c r="N646" s="6" t="inlineStr">
        <is>
          <t>開く</t>
        </is>
      </c>
    </row>
    <row r="647">
      <c r="A647" s="2">
        <f>RANK(J647,$J$2:$J$697)</f>
        <v/>
      </c>
      <c r="B647" s="3" t="inlineStr">
        <is>
          <t>LISP開発用の部品</t>
        </is>
      </c>
      <c r="C647" s="3" t="inlineStr">
        <is>
          <t>-</t>
        </is>
      </c>
      <c r="D647" s="4" t="inlineStr">
        <is>
          <t>Ortho Point</t>
        </is>
      </c>
      <c r="E647" s="4" t="inlineStr">
        <is>
          <t>直交点計算関数</t>
        </is>
      </c>
      <c r="F647" s="2" t="n">
        <v>7</v>
      </c>
      <c r="G647" s="2" t="n">
        <v>6</v>
      </c>
      <c r="H647" s="2" t="n">
        <v>3</v>
      </c>
      <c r="I647" s="2" t="n">
        <v>5</v>
      </c>
      <c r="J647" s="5">
        <f>SUM(F647:I647)</f>
        <v/>
      </c>
      <c r="K647" s="4" t="inlineStr">
        <is>
          <t>単純な幾何計算</t>
        </is>
      </c>
      <c r="L647" s="3" t="inlineStr">
        <is>
          <t>Lee Mac</t>
        </is>
      </c>
      <c r="M647" s="3" t="inlineStr">
        <is>
          <t>Lee Mac Programming</t>
        </is>
      </c>
      <c r="N647" s="6" t="inlineStr">
        <is>
          <t>開く</t>
        </is>
      </c>
    </row>
    <row r="648">
      <c r="A648" s="2">
        <f>RANK(J648,$J$2:$J$697)</f>
        <v/>
      </c>
      <c r="B648" s="3" t="inlineStr">
        <is>
          <t>LISP開発用の部品</t>
        </is>
      </c>
      <c r="C648" s="3" t="inlineStr">
        <is>
          <t>-</t>
        </is>
      </c>
      <c r="D648" s="4" t="inlineStr">
        <is>
          <t>Rounding Functions</t>
        </is>
      </c>
      <c r="E648" s="4" t="inlineStr">
        <is>
          <t>数値丸め関数</t>
        </is>
      </c>
      <c r="F648" s="2" t="n">
        <v>7</v>
      </c>
      <c r="G648" s="2" t="n">
        <v>5</v>
      </c>
      <c r="H648" s="2" t="n">
        <v>3</v>
      </c>
      <c r="I648" s="2" t="n">
        <v>6</v>
      </c>
      <c r="J648" s="5">
        <f>SUM(F648:I648)</f>
        <v/>
      </c>
      <c r="K648" s="4" t="inlineStr">
        <is>
          <t>数値丸め</t>
        </is>
      </c>
      <c r="L648" s="3" t="inlineStr">
        <is>
          <t>Lee Mac</t>
        </is>
      </c>
      <c r="M648" s="3" t="inlineStr">
        <is>
          <t>Lee Mac Programming</t>
        </is>
      </c>
      <c r="N648" s="6" t="inlineStr">
        <is>
          <t>開く</t>
        </is>
      </c>
    </row>
    <row r="649">
      <c r="A649" s="2">
        <f>RANK(J649,$J$2:$J$697)</f>
        <v/>
      </c>
      <c r="B649" s="3" t="inlineStr">
        <is>
          <t>LISP開発用の部品</t>
        </is>
      </c>
      <c r="C649" s="3" t="inlineStr">
        <is>
          <t>-</t>
        </is>
      </c>
      <c r="D649" s="4" t="inlineStr">
        <is>
          <t>Text Case Functions</t>
        </is>
      </c>
      <c r="E649" s="4" t="inlineStr">
        <is>
          <t>大文字小文字変換関数</t>
        </is>
      </c>
      <c r="F649" s="2" t="n">
        <v>7</v>
      </c>
      <c r="G649" s="2" t="n">
        <v>5</v>
      </c>
      <c r="H649" s="2" t="n">
        <v>3</v>
      </c>
      <c r="I649" s="2" t="n">
        <v>6</v>
      </c>
      <c r="J649" s="5">
        <f>SUM(F649:I649)</f>
        <v/>
      </c>
      <c r="K649" s="4" t="inlineStr">
        <is>
          <t>strcaseで概ね可</t>
        </is>
      </c>
      <c r="L649" s="3" t="inlineStr">
        <is>
          <t>Lee Mac</t>
        </is>
      </c>
      <c r="M649" s="3" t="inlineStr">
        <is>
          <t>Lee Mac Programming</t>
        </is>
      </c>
      <c r="N649" s="6" t="inlineStr">
        <is>
          <t>開く</t>
        </is>
      </c>
    </row>
    <row r="650">
      <c r="A650" s="2">
        <f>RANK(J650,$J$2:$J$697)</f>
        <v/>
      </c>
      <c r="B650" s="3" t="inlineStr">
        <is>
          <t>LISP開発用の部品</t>
        </is>
      </c>
      <c r="C650" s="3" t="inlineStr">
        <is>
          <t>-</t>
        </is>
      </c>
      <c r="D650" s="4" t="inlineStr">
        <is>
          <t>ActiveSpace</t>
        </is>
      </c>
      <c r="E650" s="4" t="inlineStr">
        <is>
          <t>アクティブ空間取得関数</t>
        </is>
      </c>
      <c r="F650" s="2" t="n">
        <v>5</v>
      </c>
      <c r="G650" s="2" t="n">
        <v>4</v>
      </c>
      <c r="H650" s="2" t="n">
        <v>3</v>
      </c>
      <c r="I650" s="2" t="n">
        <v>8</v>
      </c>
      <c r="J650" s="5">
        <f>SUM(F650:I650)</f>
        <v/>
      </c>
      <c r="K650" s="4" t="inlineStr">
        <is>
          <t>数行で書ける</t>
        </is>
      </c>
      <c r="L650" s="3" t="inlineStr">
        <is>
          <t>Lee Mac</t>
        </is>
      </c>
      <c r="M650" s="3" t="inlineStr">
        <is>
          <t>Lee Mac Programming</t>
        </is>
      </c>
      <c r="N650" s="6" t="inlineStr">
        <is>
          <t>開く</t>
        </is>
      </c>
    </row>
    <row r="651">
      <c r="A651" s="2">
        <f>RANK(J651,$J$2:$J$697)</f>
        <v/>
      </c>
      <c r="B651" s="3" t="inlineStr">
        <is>
          <t>線・ポリライン編集</t>
        </is>
      </c>
      <c r="C651" s="3" t="inlineStr">
        <is>
          <t>-</t>
        </is>
      </c>
      <c r="D651" s="4" t="inlineStr">
        <is>
          <t>Join 2 Polylines (Join2.zip)</t>
        </is>
      </c>
      <c r="E651" s="4" t="inlineStr">
        <is>
          <t>2本のポリラインを結合</t>
        </is>
      </c>
      <c r="F651" s="2" t="n">
        <v>2</v>
      </c>
      <c r="G651" s="2" t="n">
        <v>2</v>
      </c>
      <c r="H651" s="2" t="n">
        <v>4</v>
      </c>
      <c r="I651" s="2" t="n">
        <v>12</v>
      </c>
      <c r="J651" s="5">
        <f>SUM(F651:I651)</f>
        <v/>
      </c>
      <c r="K651" s="4" t="inlineStr">
        <is>
          <t>標準JOINで代替</t>
        </is>
      </c>
      <c r="L651" s="3" t="inlineStr"/>
      <c r="M651" s="3" t="inlineStr">
        <is>
          <t>draftsperson.net</t>
        </is>
      </c>
      <c r="N651" s="6" t="inlineStr">
        <is>
          <t>開く</t>
        </is>
      </c>
    </row>
    <row r="652">
      <c r="A652" s="2">
        <f>RANK(J652,$J$2:$J$697)</f>
        <v/>
      </c>
      <c r="B652" s="3" t="inlineStr">
        <is>
          <t>座標・測量・土木</t>
        </is>
      </c>
      <c r="C652" s="3" t="inlineStr">
        <is>
          <t>-</t>
        </is>
      </c>
      <c r="D652" s="4" t="inlineStr">
        <is>
          <t>Lot Number (LONTO.LSP)</t>
        </is>
      </c>
      <c r="E652" s="4" t="inlineStr">
        <is>
          <t>区画番号記入(説明なし)</t>
        </is>
      </c>
      <c r="F652" s="2" t="n">
        <v>6</v>
      </c>
      <c r="G652" s="2" t="n">
        <v>4</v>
      </c>
      <c r="H652" s="2" t="n">
        <v>5</v>
      </c>
      <c r="I652" s="2" t="n">
        <v>5</v>
      </c>
      <c r="J652" s="5">
        <f>SUM(F652:I652)</f>
        <v/>
      </c>
      <c r="K652" s="4" t="inlineStr">
        <is>
          <t>説明なし区画番号</t>
        </is>
      </c>
      <c r="L652" s="3" t="inlineStr"/>
      <c r="M652" s="3" t="inlineStr">
        <is>
          <t>draftsperson.net</t>
        </is>
      </c>
      <c r="N652" s="6" t="inlineStr">
        <is>
          <t>開く</t>
        </is>
      </c>
    </row>
    <row r="653">
      <c r="A653" s="2">
        <f>RANK(J653,$J$2:$J$697)</f>
        <v/>
      </c>
      <c r="B653" s="3" t="inlineStr">
        <is>
          <t>その他</t>
        </is>
      </c>
      <c r="C653" s="3" t="inlineStr">
        <is>
          <t>Mastermind</t>
        </is>
      </c>
      <c r="D653" s="4" t="inlineStr">
        <is>
          <t>Mastermind</t>
        </is>
      </c>
      <c r="E653" s="4" t="inlineStr">
        <is>
          <t>マスターマインドゲーム</t>
        </is>
      </c>
      <c r="F653" s="2" t="n">
        <v>10</v>
      </c>
      <c r="G653" s="2" t="n">
        <v>9</v>
      </c>
      <c r="H653" s="2" t="n">
        <v>0</v>
      </c>
      <c r="I653" s="2" t="n">
        <v>1</v>
      </c>
      <c r="J653" s="5">
        <f>SUM(F653:I653)</f>
        <v/>
      </c>
      <c r="K653" s="4" t="inlineStr">
        <is>
          <t>ゲーム</t>
        </is>
      </c>
      <c r="L653" s="3" t="inlineStr">
        <is>
          <t>Lee Mac</t>
        </is>
      </c>
      <c r="M653" s="3" t="inlineStr">
        <is>
          <t>Lee Mac Programming</t>
        </is>
      </c>
      <c r="N653" s="6" t="inlineStr">
        <is>
          <t>開く</t>
        </is>
      </c>
    </row>
    <row r="654">
      <c r="A654" s="2">
        <f>RANK(J654,$J$2:$J$697)</f>
        <v/>
      </c>
      <c r="B654" s="3" t="inlineStr">
        <is>
          <t>LISP開発用の部品</t>
        </is>
      </c>
      <c r="C654" s="3" t="inlineStr">
        <is>
          <t>-</t>
        </is>
      </c>
      <c r="D654" s="4" t="inlineStr">
        <is>
          <t>Permutations</t>
        </is>
      </c>
      <c r="E654" s="4" t="inlineStr">
        <is>
          <t>順列生成関数</t>
        </is>
      </c>
      <c r="F654" s="2" t="n">
        <v>7</v>
      </c>
      <c r="G654" s="2" t="n">
        <v>8</v>
      </c>
      <c r="H654" s="2" t="n">
        <v>2</v>
      </c>
      <c r="I654" s="2" t="n">
        <v>3</v>
      </c>
      <c r="J654" s="5">
        <f>SUM(F654:I654)</f>
        <v/>
      </c>
      <c r="K654" s="4" t="inlineStr">
        <is>
          <t>順列生成</t>
        </is>
      </c>
      <c r="L654" s="3" t="inlineStr">
        <is>
          <t>Lee Mac</t>
        </is>
      </c>
      <c r="M654" s="3" t="inlineStr">
        <is>
          <t>Lee Mac Programming</t>
        </is>
      </c>
      <c r="N654" s="6" t="inlineStr">
        <is>
          <t>開く</t>
        </is>
      </c>
    </row>
    <row r="655">
      <c r="A655" s="2">
        <f>RANK(J655,$J$2:$J$697)</f>
        <v/>
      </c>
      <c r="B655" s="3" t="inlineStr">
        <is>
          <t>線・ポリライン編集</t>
        </is>
      </c>
      <c r="C655" s="3" t="inlineStr">
        <is>
          <t>PLINESWAPENDS</t>
        </is>
      </c>
      <c r="D655" s="4" t="inlineStr">
        <is>
          <t>PLINESWAPENDS.LSP</t>
        </is>
      </c>
      <c r="E655" s="4" t="inlineStr">
        <is>
          <t>ポリラインの向きを反転</t>
        </is>
      </c>
      <c r="F655" s="2" t="n">
        <v>2</v>
      </c>
      <c r="G655" s="2" t="n">
        <v>3</v>
      </c>
      <c r="H655" s="2" t="n">
        <v>4</v>
      </c>
      <c r="I655" s="2" t="n">
        <v>11</v>
      </c>
      <c r="J655" s="5">
        <f>SUM(F655:I655)</f>
        <v/>
      </c>
      <c r="K655" s="4" t="inlineStr">
        <is>
          <t>標準REVERSEで代替</t>
        </is>
      </c>
      <c r="L655" s="3" t="inlineStr">
        <is>
          <t>Giles Darling</t>
        </is>
      </c>
      <c r="M655" s="3" t="inlineStr">
        <is>
          <t>gilesdarling.me.uk</t>
        </is>
      </c>
      <c r="N655" s="6" t="inlineStr">
        <is>
          <t>開く</t>
        </is>
      </c>
    </row>
    <row r="656">
      <c r="A656" s="2">
        <f>RANK(J656,$J$2:$J$697)</f>
        <v/>
      </c>
      <c r="B656" s="3" t="inlineStr">
        <is>
          <t>設定・環境</t>
        </is>
      </c>
      <c r="C656" s="3" t="inlineStr">
        <is>
          <t>-</t>
        </is>
      </c>
      <c r="D656" s="4" t="inlineStr">
        <is>
          <t>remicons.lsp</t>
        </is>
      </c>
      <c r="E656" s="4" t="inlineStr">
        <is>
          <t>開くダイアログのアイコン削除</t>
        </is>
      </c>
      <c r="F656" s="2" t="n">
        <v>6</v>
      </c>
      <c r="G656" s="2" t="n">
        <v>4</v>
      </c>
      <c r="H656" s="2" t="n">
        <v>2</v>
      </c>
      <c r="I656" s="2" t="n">
        <v>8</v>
      </c>
      <c r="J656" s="5">
        <f>SUM(F656:I656)</f>
        <v/>
      </c>
      <c r="K656" s="4" t="inlineStr">
        <is>
          <t>旧ダイアログのアイコン削除</t>
        </is>
      </c>
      <c r="L656" s="3" t="inlineStr">
        <is>
          <t>JTB World (Jimmy Bergmark)</t>
        </is>
      </c>
      <c r="M656" s="3" t="inlineStr">
        <is>
          <t>JTB World</t>
        </is>
      </c>
      <c r="N656" s="6" t="inlineStr">
        <is>
          <t>開く</t>
        </is>
      </c>
    </row>
    <row r="657">
      <c r="A657" s="2">
        <f>RANK(J657,$J$2:$J$697)</f>
        <v/>
      </c>
      <c r="B657" s="3" t="inlineStr">
        <is>
          <t>LISP開発用の部品</t>
        </is>
      </c>
      <c r="C657" s="3" t="inlineStr">
        <is>
          <t>-</t>
        </is>
      </c>
      <c r="D657" s="4" t="inlineStr">
        <is>
          <t>Selection Set to List</t>
        </is>
      </c>
      <c r="E657" s="4" t="inlineStr">
        <is>
          <t>選択セットのリスト化関数</t>
        </is>
      </c>
      <c r="F657" s="2" t="n">
        <v>5</v>
      </c>
      <c r="G657" s="2" t="n">
        <v>4</v>
      </c>
      <c r="H657" s="2" t="n">
        <v>3</v>
      </c>
      <c r="I657" s="2" t="n">
        <v>8</v>
      </c>
      <c r="J657" s="5">
        <f>SUM(F657:I657)</f>
        <v/>
      </c>
      <c r="K657" s="4" t="inlineStr">
        <is>
          <t>数行で書ける</t>
        </is>
      </c>
      <c r="L657" s="3" t="inlineStr">
        <is>
          <t>Lee Mac</t>
        </is>
      </c>
      <c r="M657" s="3" t="inlineStr">
        <is>
          <t>Lee Mac Programming</t>
        </is>
      </c>
      <c r="N657" s="6" t="inlineStr">
        <is>
          <t>開く</t>
        </is>
      </c>
    </row>
    <row r="658">
      <c r="A658" s="2">
        <f>RANK(J658,$J$2:$J$697)</f>
        <v/>
      </c>
      <c r="B658" s="3" t="inlineStr">
        <is>
          <t>LISP開発用の部品</t>
        </is>
      </c>
      <c r="C658" s="3" t="inlineStr">
        <is>
          <t>-</t>
        </is>
      </c>
      <c r="D658" s="4" t="inlineStr">
        <is>
          <t>Unique &amp; Duplicate List Functions</t>
        </is>
      </c>
      <c r="E658" s="4" t="inlineStr">
        <is>
          <t>重複要素判定関数</t>
        </is>
      </c>
      <c r="F658" s="2" t="n">
        <v>6</v>
      </c>
      <c r="G658" s="2" t="n">
        <v>5</v>
      </c>
      <c r="H658" s="2" t="n">
        <v>3</v>
      </c>
      <c r="I658" s="2" t="n">
        <v>6</v>
      </c>
      <c r="J658" s="5">
        <f>SUM(F658:I658)</f>
        <v/>
      </c>
      <c r="K658" s="4" t="inlineStr">
        <is>
          <t>単純なリスト操作</t>
        </is>
      </c>
      <c r="L658" s="3" t="inlineStr">
        <is>
          <t>Lee Mac</t>
        </is>
      </c>
      <c r="M658" s="3" t="inlineStr">
        <is>
          <t>Lee Mac Programming</t>
        </is>
      </c>
      <c r="N658" s="6" t="inlineStr">
        <is>
          <t>開く</t>
        </is>
      </c>
    </row>
    <row r="659">
      <c r="A659" s="2">
        <f>RANK(J659,$J$2:$J$697)</f>
        <v/>
      </c>
      <c r="B659" s="3" t="inlineStr">
        <is>
          <t>その他</t>
        </is>
      </c>
      <c r="C659" s="3" t="inlineStr">
        <is>
          <t>-</t>
        </is>
      </c>
      <c r="D659" s="4" t="inlineStr">
        <is>
          <t>Bridges (game)</t>
        </is>
      </c>
      <c r="E659" s="4" t="inlineStr">
        <is>
          <t>ブリッジゲーム</t>
        </is>
      </c>
      <c r="F659" s="2" t="n">
        <v>10</v>
      </c>
      <c r="G659" s="2" t="n">
        <v>8</v>
      </c>
      <c r="H659" s="2" t="n">
        <v>0</v>
      </c>
      <c r="I659" s="2" t="n">
        <v>1</v>
      </c>
      <c r="J659" s="5">
        <f>SUM(F659:I659)</f>
        <v/>
      </c>
      <c r="K659" s="4" t="inlineStr">
        <is>
          <t>ゲーム</t>
        </is>
      </c>
      <c r="L659" s="3" t="inlineStr">
        <is>
          <t>Jeffery P. Sanders</t>
        </is>
      </c>
      <c r="M659" s="3" t="inlineStr">
        <is>
          <t>JefferyPSanders.com</t>
        </is>
      </c>
      <c r="N659" s="6" t="inlineStr">
        <is>
          <t>開く</t>
        </is>
      </c>
    </row>
    <row r="660">
      <c r="A660" s="2">
        <f>RANK(J660,$J$2:$J$697)</f>
        <v/>
      </c>
      <c r="B660" s="3" t="inlineStr">
        <is>
          <t>表・Excel連携</t>
        </is>
      </c>
      <c r="C660" s="3" t="inlineStr">
        <is>
          <t>CreateLT</t>
        </is>
      </c>
      <c r="D660" s="4" t="inlineStr">
        <is>
          <t>CAO_Link_Templates.lsp</t>
        </is>
      </c>
      <c r="E660" s="4" t="inlineStr">
        <is>
          <t>CAOリンクテンプレート作成・削除</t>
        </is>
      </c>
      <c r="F660" s="2" t="n">
        <v>5</v>
      </c>
      <c r="G660" s="2" t="n">
        <v>6</v>
      </c>
      <c r="H660" s="2" t="n">
        <v>5</v>
      </c>
      <c r="I660" s="2" t="n">
        <v>3</v>
      </c>
      <c r="J660" s="5">
        <f>SUM(F660:I660)</f>
        <v/>
      </c>
      <c r="K660" s="4" t="inlineStr">
        <is>
          <t>CAO固有・ニッチ</t>
        </is>
      </c>
      <c r="L660" s="3" t="inlineStr">
        <is>
          <t>JTB World (Jimmy Bergmark)</t>
        </is>
      </c>
      <c r="M660" s="3" t="inlineStr">
        <is>
          <t>JTB World</t>
        </is>
      </c>
      <c r="N660" s="6" t="inlineStr">
        <is>
          <t>開く</t>
        </is>
      </c>
    </row>
    <row r="661">
      <c r="A661" s="2">
        <f>RANK(J661,$J$2:$J$697)</f>
        <v/>
      </c>
      <c r="B661" s="3" t="inlineStr">
        <is>
          <t>LISP開発用の部品</t>
        </is>
      </c>
      <c r="C661" s="3" t="inlineStr">
        <is>
          <t>-</t>
        </is>
      </c>
      <c r="D661" s="4" t="inlineStr">
        <is>
          <t>DclDemo06</t>
        </is>
      </c>
      <c r="E661" s="4" t="inlineStr">
        <is>
          <t>DCLダイアログのデモ</t>
        </is>
      </c>
      <c r="F661" s="2" t="n">
        <v>8</v>
      </c>
      <c r="G661" s="2" t="n">
        <v>5</v>
      </c>
      <c r="H661" s="2" t="n">
        <v>2</v>
      </c>
      <c r="I661" s="2" t="n">
        <v>4</v>
      </c>
      <c r="J661" s="5">
        <f>SUM(F661:I661)</f>
        <v/>
      </c>
      <c r="K661" s="4" t="inlineStr">
        <is>
          <t>DCLデモのみ</t>
        </is>
      </c>
      <c r="L661" s="3" t="inlineStr">
        <is>
          <t>Phillip Norman</t>
        </is>
      </c>
      <c r="M661" s="3" t="inlineStr">
        <is>
          <t>AutoLISP Exchange</t>
        </is>
      </c>
      <c r="N661" s="6" t="inlineStr">
        <is>
          <t>開く</t>
        </is>
      </c>
    </row>
    <row r="662">
      <c r="A662" s="2">
        <f>RANK(J662,$J$2:$J$697)</f>
        <v/>
      </c>
      <c r="B662" s="3" t="inlineStr">
        <is>
          <t>LISP開発用の部品</t>
        </is>
      </c>
      <c r="C662" s="3" t="inlineStr">
        <is>
          <t>-</t>
        </is>
      </c>
      <c r="D662" s="4" t="inlineStr">
        <is>
          <t>List Difference</t>
        </is>
      </c>
      <c r="E662" s="4" t="inlineStr">
        <is>
          <t>リスト差集合関数</t>
        </is>
      </c>
      <c r="F662" s="2" t="n">
        <v>5</v>
      </c>
      <c r="G662" s="2" t="n">
        <v>5</v>
      </c>
      <c r="H662" s="2" t="n">
        <v>3</v>
      </c>
      <c r="I662" s="2" t="n">
        <v>6</v>
      </c>
      <c r="J662" s="5">
        <f>SUM(F662:I662)</f>
        <v/>
      </c>
      <c r="K662" s="4" t="inlineStr">
        <is>
          <t>単純なリスト操作</t>
        </is>
      </c>
      <c r="L662" s="3" t="inlineStr">
        <is>
          <t>Lee Mac</t>
        </is>
      </c>
      <c r="M662" s="3" t="inlineStr">
        <is>
          <t>Lee Mac Programming</t>
        </is>
      </c>
      <c r="N662" s="6" t="inlineStr">
        <is>
          <t>開く</t>
        </is>
      </c>
    </row>
    <row r="663">
      <c r="A663" s="2">
        <f>RANK(J663,$J$2:$J$697)</f>
        <v/>
      </c>
      <c r="B663" s="3" t="inlineStr">
        <is>
          <t>LISP開発用の部品</t>
        </is>
      </c>
      <c r="C663" s="3" t="inlineStr">
        <is>
          <t>-</t>
        </is>
      </c>
      <c r="D663" s="4" t="inlineStr">
        <is>
          <t>List Intersection</t>
        </is>
      </c>
      <c r="E663" s="4" t="inlineStr">
        <is>
          <t>リスト積集合関数</t>
        </is>
      </c>
      <c r="F663" s="2" t="n">
        <v>5</v>
      </c>
      <c r="G663" s="2" t="n">
        <v>5</v>
      </c>
      <c r="H663" s="2" t="n">
        <v>3</v>
      </c>
      <c r="I663" s="2" t="n">
        <v>6</v>
      </c>
      <c r="J663" s="5">
        <f>SUM(F663:I663)</f>
        <v/>
      </c>
      <c r="K663" s="4" t="inlineStr">
        <is>
          <t>単純なリスト操作</t>
        </is>
      </c>
      <c r="L663" s="3" t="inlineStr">
        <is>
          <t>Lee Mac</t>
        </is>
      </c>
      <c r="M663" s="3" t="inlineStr">
        <is>
          <t>Lee Mac Programming</t>
        </is>
      </c>
      <c r="N663" s="6" t="inlineStr">
        <is>
          <t>開く</t>
        </is>
      </c>
    </row>
    <row r="664">
      <c r="A664" s="2">
        <f>RANK(J664,$J$2:$J$697)</f>
        <v/>
      </c>
      <c r="B664" s="3" t="inlineStr">
        <is>
          <t>その他</t>
        </is>
      </c>
      <c r="C664" s="3" t="inlineStr">
        <is>
          <t>-</t>
        </is>
      </c>
      <c r="D664" s="4" t="inlineStr">
        <is>
          <t>Puzzle</t>
        </is>
      </c>
      <c r="E664" s="4" t="inlineStr">
        <is>
          <t>パズルゲーム</t>
        </is>
      </c>
      <c r="F664" s="2" t="n">
        <v>10</v>
      </c>
      <c r="G664" s="2" t="n">
        <v>8</v>
      </c>
      <c r="H664" s="2" t="n">
        <v>0</v>
      </c>
      <c r="I664" s="2" t="n">
        <v>1</v>
      </c>
      <c r="J664" s="5">
        <f>SUM(F664:I664)</f>
        <v/>
      </c>
      <c r="K664" s="4" t="inlineStr">
        <is>
          <t>ゲーム</t>
        </is>
      </c>
      <c r="L664" s="3" t="inlineStr">
        <is>
          <t>Paul Silva</t>
        </is>
      </c>
      <c r="M664" s="3" t="inlineStr">
        <is>
          <t>AutoLISP Exchange</t>
        </is>
      </c>
      <c r="N664" s="6" t="inlineStr">
        <is>
          <t>開く</t>
        </is>
      </c>
    </row>
    <row r="665">
      <c r="A665" s="2">
        <f>RANK(J665,$J$2:$J$697)</f>
        <v/>
      </c>
      <c r="B665" s="3" t="inlineStr">
        <is>
          <t>座標・測量・土木</t>
        </is>
      </c>
      <c r="C665" s="3" t="inlineStr">
        <is>
          <t>COLOURBYRESET</t>
        </is>
      </c>
      <c r="D665" s="4" t="inlineStr">
        <is>
          <t>COLOURBY.LSP</t>
        </is>
      </c>
      <c r="E665" s="4" t="inlineStr">
        <is>
          <t>色分け設定を初期化</t>
        </is>
      </c>
      <c r="F665" s="2" t="n">
        <v>5</v>
      </c>
      <c r="G665" s="2" t="n">
        <v>4</v>
      </c>
      <c r="H665" s="2" t="n">
        <v>3</v>
      </c>
      <c r="I665" s="2" t="n">
        <v>6</v>
      </c>
      <c r="J665" s="5">
        <f>SUM(F665:I665)</f>
        <v/>
      </c>
      <c r="K665" s="4" t="inlineStr">
        <is>
          <t>設定の初期化</t>
        </is>
      </c>
      <c r="L665" s="3" t="inlineStr">
        <is>
          <t>Giles Darling</t>
        </is>
      </c>
      <c r="M665" s="3" t="inlineStr">
        <is>
          <t>gilesdarling.me.uk</t>
        </is>
      </c>
      <c r="N665" s="6" t="inlineStr">
        <is>
          <t>開く</t>
        </is>
      </c>
    </row>
    <row r="666">
      <c r="A666" s="2">
        <f>RANK(J666,$J$2:$J$697)</f>
        <v/>
      </c>
      <c r="B666" s="3" t="inlineStr">
        <is>
          <t>その他</t>
        </is>
      </c>
      <c r="C666" s="3" t="inlineStr">
        <is>
          <t>ERASNODE</t>
        </is>
      </c>
      <c r="D666" s="4" t="inlineStr">
        <is>
          <t>ErasNode</t>
        </is>
      </c>
      <c r="E666" s="4" t="inlineStr">
        <is>
          <t>全ての点を削除</t>
        </is>
      </c>
      <c r="F666" s="2" t="n">
        <v>3</v>
      </c>
      <c r="G666" s="2" t="n">
        <v>2</v>
      </c>
      <c r="H666" s="2" t="n">
        <v>4</v>
      </c>
      <c r="I666" s="2" t="n">
        <v>9</v>
      </c>
      <c r="J666" s="5">
        <f>SUM(F666:I666)</f>
        <v/>
      </c>
      <c r="K666" s="4" t="inlineStr">
        <is>
          <t>QSELECTで代替可</t>
        </is>
      </c>
      <c r="L666" s="3" t="inlineStr">
        <is>
          <t>Jeffery P. Sanders</t>
        </is>
      </c>
      <c r="M666" s="3" t="inlineStr">
        <is>
          <t>JefferyPSanders.com</t>
        </is>
      </c>
      <c r="N666" s="6" t="inlineStr">
        <is>
          <t>開く</t>
        </is>
      </c>
    </row>
    <row r="667">
      <c r="A667" s="2">
        <f>RANK(J667,$J$2:$J$697)</f>
        <v/>
      </c>
      <c r="B667" s="3" t="inlineStr">
        <is>
          <t>3D</t>
        </is>
      </c>
      <c r="C667" s="3" t="inlineStr">
        <is>
          <t>-</t>
        </is>
      </c>
      <c r="D667" s="4" t="inlineStr">
        <is>
          <t>Extrude with Profile Backup (extrude_p.lsp)</t>
        </is>
      </c>
      <c r="E667" s="4" t="inlineStr">
        <is>
          <t>断面を残して押し出し</t>
        </is>
      </c>
      <c r="F667" s="2" t="n">
        <v>3</v>
      </c>
      <c r="G667" s="2" t="n">
        <v>3</v>
      </c>
      <c r="H667" s="2" t="n">
        <v>4</v>
      </c>
      <c r="I667" s="2" t="n">
        <v>8</v>
      </c>
      <c r="J667" s="5">
        <f>SUM(F667:I667)</f>
        <v/>
      </c>
      <c r="K667" s="4" t="inlineStr">
        <is>
          <t>DELOBJ設定で代替可</t>
        </is>
      </c>
      <c r="L667" s="3" t="inlineStr"/>
      <c r="M667" s="3" t="inlineStr">
        <is>
          <t>draftsperson.net</t>
        </is>
      </c>
      <c r="N667" s="6" t="inlineStr">
        <is>
          <t>開く</t>
        </is>
      </c>
    </row>
    <row r="668">
      <c r="A668" s="2">
        <f>RANK(J668,$J$2:$J$697)</f>
        <v/>
      </c>
      <c r="B668" s="3" t="inlineStr">
        <is>
          <t>LISP開発用の部品</t>
        </is>
      </c>
      <c r="C668" s="3" t="inlineStr">
        <is>
          <t>-</t>
        </is>
      </c>
      <c r="D668" s="4" t="inlineStr">
        <is>
          <t>linetype.LSP</t>
        </is>
      </c>
      <c r="E668" s="4" t="inlineStr">
        <is>
          <t>線種ロード・存在確認関数</t>
        </is>
      </c>
      <c r="F668" s="2" t="n">
        <v>5</v>
      </c>
      <c r="G668" s="2" t="n">
        <v>3</v>
      </c>
      <c r="H668" s="2" t="n">
        <v>3</v>
      </c>
      <c r="I668" s="2" t="n">
        <v>7</v>
      </c>
      <c r="J668" s="5">
        <f>SUM(F668:I668)</f>
        <v/>
      </c>
      <c r="K668" s="4" t="inlineStr">
        <is>
          <t>標準関数で容易</t>
        </is>
      </c>
      <c r="L668" s="3" t="inlineStr">
        <is>
          <t>JTB World (Jimmy Bergmark)</t>
        </is>
      </c>
      <c r="M668" s="3" t="inlineStr">
        <is>
          <t>JTB World</t>
        </is>
      </c>
      <c r="N668" s="6" t="inlineStr">
        <is>
          <t>開く</t>
        </is>
      </c>
    </row>
    <row r="669">
      <c r="A669" s="2">
        <f>RANK(J669,$J$2:$J$697)</f>
        <v/>
      </c>
      <c r="B669" s="3" t="inlineStr">
        <is>
          <t>LISP開発用の部品</t>
        </is>
      </c>
      <c r="C669" s="3" t="inlineStr">
        <is>
          <t>-</t>
        </is>
      </c>
      <c r="D669" s="4" t="inlineStr">
        <is>
          <t>List Symmetric Difference</t>
        </is>
      </c>
      <c r="E669" s="4" t="inlineStr">
        <is>
          <t>リスト対称差関数</t>
        </is>
      </c>
      <c r="F669" s="2" t="n">
        <v>5</v>
      </c>
      <c r="G669" s="2" t="n">
        <v>5</v>
      </c>
      <c r="H669" s="2" t="n">
        <v>3</v>
      </c>
      <c r="I669" s="2" t="n">
        <v>5</v>
      </c>
      <c r="J669" s="5">
        <f>SUM(F669:I669)</f>
        <v/>
      </c>
      <c r="K669" s="4" t="inlineStr">
        <is>
          <t>単純なリスト操作</t>
        </is>
      </c>
      <c r="L669" s="3" t="inlineStr">
        <is>
          <t>Lee Mac</t>
        </is>
      </c>
      <c r="M669" s="3" t="inlineStr">
        <is>
          <t>Lee Mac Programming</t>
        </is>
      </c>
      <c r="N669" s="6" t="inlineStr">
        <is>
          <t>開く</t>
        </is>
      </c>
    </row>
    <row r="670">
      <c r="A670" s="2">
        <f>RANK(J670,$J$2:$J$697)</f>
        <v/>
      </c>
      <c r="B670" s="3" t="inlineStr">
        <is>
          <t>LISP開発用の部品</t>
        </is>
      </c>
      <c r="C670" s="3" t="inlineStr">
        <is>
          <t>-</t>
        </is>
      </c>
      <c r="D670" s="4" t="inlineStr">
        <is>
          <t>List Union</t>
        </is>
      </c>
      <c r="E670" s="4" t="inlineStr">
        <is>
          <t>リスト和集合関数</t>
        </is>
      </c>
      <c r="F670" s="2" t="n">
        <v>5</v>
      </c>
      <c r="G670" s="2" t="n">
        <v>5</v>
      </c>
      <c r="H670" s="2" t="n">
        <v>3</v>
      </c>
      <c r="I670" s="2" t="n">
        <v>5</v>
      </c>
      <c r="J670" s="5">
        <f>SUM(F670:I670)</f>
        <v/>
      </c>
      <c r="K670" s="4" t="inlineStr">
        <is>
          <t>単純なリスト操作</t>
        </is>
      </c>
      <c r="L670" s="3" t="inlineStr">
        <is>
          <t>Lee Mac</t>
        </is>
      </c>
      <c r="M670" s="3" t="inlineStr">
        <is>
          <t>Lee Mac Programming</t>
        </is>
      </c>
      <c r="N670" s="6" t="inlineStr">
        <is>
          <t>開く</t>
        </is>
      </c>
    </row>
    <row r="671">
      <c r="A671" s="2">
        <f>RANK(J671,$J$2:$J$697)</f>
        <v/>
      </c>
      <c r="B671" s="3" t="inlineStr">
        <is>
          <t>その他</t>
        </is>
      </c>
      <c r="C671" s="3" t="inlineStr">
        <is>
          <t>-</t>
        </is>
      </c>
      <c r="D671" s="4" t="inlineStr">
        <is>
          <t>Memory (game)</t>
        </is>
      </c>
      <c r="E671" s="4" t="inlineStr">
        <is>
          <t>神経衰弱ゲーム</t>
        </is>
      </c>
      <c r="F671" s="2" t="n">
        <v>10</v>
      </c>
      <c r="G671" s="2" t="n">
        <v>7</v>
      </c>
      <c r="H671" s="2" t="n">
        <v>0</v>
      </c>
      <c r="I671" s="2" t="n">
        <v>1</v>
      </c>
      <c r="J671" s="5">
        <f>SUM(F671:I671)</f>
        <v/>
      </c>
      <c r="K671" s="4" t="inlineStr">
        <is>
          <t>ゲーム</t>
        </is>
      </c>
      <c r="L671" s="3" t="inlineStr">
        <is>
          <t>Jeffery P. Sanders</t>
        </is>
      </c>
      <c r="M671" s="3" t="inlineStr">
        <is>
          <t>JefferyPSanders.com</t>
        </is>
      </c>
      <c r="N671" s="6" t="inlineStr">
        <is>
          <t>開く</t>
        </is>
      </c>
    </row>
    <row r="672">
      <c r="A672" s="2">
        <f>RANK(J672,$J$2:$J$697)</f>
        <v/>
      </c>
      <c r="B672" s="3" t="inlineStr">
        <is>
          <t>LISP開発用の部品</t>
        </is>
      </c>
      <c r="C672" s="3" t="inlineStr">
        <is>
          <t>-</t>
        </is>
      </c>
      <c r="D672" s="4" t="inlineStr">
        <is>
          <t>Pad Between Strings</t>
        </is>
      </c>
      <c r="E672" s="4" t="inlineStr">
        <is>
          <t>文字列パディング関数</t>
        </is>
      </c>
      <c r="F672" s="2" t="n">
        <v>6</v>
      </c>
      <c r="G672" s="2" t="n">
        <v>4</v>
      </c>
      <c r="H672" s="2" t="n">
        <v>3</v>
      </c>
      <c r="I672" s="2" t="n">
        <v>5</v>
      </c>
      <c r="J672" s="5">
        <f>SUM(F672:I672)</f>
        <v/>
      </c>
      <c r="K672" s="4" t="inlineStr">
        <is>
          <t>単純な文字列操作</t>
        </is>
      </c>
      <c r="L672" s="3" t="inlineStr">
        <is>
          <t>Lee Mac</t>
        </is>
      </c>
      <c r="M672" s="3" t="inlineStr">
        <is>
          <t>Lee Mac Programming</t>
        </is>
      </c>
      <c r="N672" s="6" t="inlineStr">
        <is>
          <t>開く</t>
        </is>
      </c>
    </row>
    <row r="673">
      <c r="A673" s="2">
        <f>RANK(J673,$J$2:$J$697)</f>
        <v/>
      </c>
      <c r="B673" s="3" t="inlineStr">
        <is>
          <t>その他</t>
        </is>
      </c>
      <c r="C673" s="3" t="inlineStr">
        <is>
          <t>-</t>
        </is>
      </c>
      <c r="D673" s="4" t="inlineStr">
        <is>
          <t>Roulette</t>
        </is>
      </c>
      <c r="E673" s="4" t="inlineStr">
        <is>
          <t>ルーレットゲーム</t>
        </is>
      </c>
      <c r="F673" s="2" t="n">
        <v>10</v>
      </c>
      <c r="G673" s="2" t="n">
        <v>7</v>
      </c>
      <c r="H673" s="2" t="n">
        <v>0</v>
      </c>
      <c r="I673" s="2" t="n">
        <v>1</v>
      </c>
      <c r="J673" s="5">
        <f>SUM(F673:I673)</f>
        <v/>
      </c>
      <c r="K673" s="4" t="inlineStr">
        <is>
          <t>ゲーム</t>
        </is>
      </c>
      <c r="L673" s="3" t="inlineStr">
        <is>
          <t>Paul Silva</t>
        </is>
      </c>
      <c r="M673" s="3" t="inlineStr">
        <is>
          <t>AutoLISP Exchange</t>
        </is>
      </c>
      <c r="N673" s="6" t="inlineStr">
        <is>
          <t>開く</t>
        </is>
      </c>
    </row>
    <row r="674">
      <c r="A674" s="2">
        <f>RANK(J674,$J$2:$J$697)</f>
        <v/>
      </c>
      <c r="B674" s="3" t="inlineStr">
        <is>
          <t>その他</t>
        </is>
      </c>
      <c r="C674" s="3" t="inlineStr">
        <is>
          <t>-</t>
        </is>
      </c>
      <c r="D674" s="4" t="inlineStr">
        <is>
          <t>Slider (game)</t>
        </is>
      </c>
      <c r="E674" s="4" t="inlineStr">
        <is>
          <t>スライドパズルゲーム</t>
        </is>
      </c>
      <c r="F674" s="2" t="n">
        <v>10</v>
      </c>
      <c r="G674" s="2" t="n">
        <v>7</v>
      </c>
      <c r="H674" s="2" t="n">
        <v>0</v>
      </c>
      <c r="I674" s="2" t="n">
        <v>1</v>
      </c>
      <c r="J674" s="5">
        <f>SUM(F674:I674)</f>
        <v/>
      </c>
      <c r="K674" s="4" t="inlineStr">
        <is>
          <t>ゲーム</t>
        </is>
      </c>
      <c r="L674" s="3" t="inlineStr">
        <is>
          <t>Jeffery P. Sanders</t>
        </is>
      </c>
      <c r="M674" s="3" t="inlineStr">
        <is>
          <t>JefferyPSanders.com</t>
        </is>
      </c>
      <c r="N674" s="6" t="inlineStr">
        <is>
          <t>開く</t>
        </is>
      </c>
    </row>
    <row r="675">
      <c r="A675" s="2">
        <f>RANK(J675,$J$2:$J$697)</f>
        <v/>
      </c>
      <c r="B675" s="3" t="inlineStr">
        <is>
          <t>LISP開発用の部品</t>
        </is>
      </c>
      <c r="C675" s="3" t="inlineStr">
        <is>
          <t>-</t>
        </is>
      </c>
      <c r="D675" s="4" t="inlineStr">
        <is>
          <t>AutoLISP File Encryption (protxlsp.zip)</t>
        </is>
      </c>
      <c r="E675" s="4" t="inlineStr">
        <is>
          <t>LISPファイルを暗号化</t>
        </is>
      </c>
      <c r="F675" s="2" t="n">
        <v>5</v>
      </c>
      <c r="G675" s="2" t="n">
        <v>6</v>
      </c>
      <c r="H675" s="2" t="n">
        <v>3</v>
      </c>
      <c r="I675" s="2" t="n">
        <v>3</v>
      </c>
      <c r="J675" s="5">
        <f>SUM(F675:I675)</f>
        <v/>
      </c>
      <c r="K675" s="4" t="inlineStr">
        <is>
          <t>VLXコンパイルで代替</t>
        </is>
      </c>
      <c r="L675" s="3" t="inlineStr"/>
      <c r="M675" s="3" t="inlineStr">
        <is>
          <t>draftsperson.net</t>
        </is>
      </c>
      <c r="N675" s="6" t="inlineStr">
        <is>
          <t>開く</t>
        </is>
      </c>
    </row>
    <row r="676">
      <c r="A676" s="2">
        <f>RANK(J676,$J$2:$J$697)</f>
        <v/>
      </c>
      <c r="B676" s="3" t="inlineStr">
        <is>
          <t>LISP開発用の部品</t>
        </is>
      </c>
      <c r="C676" s="3" t="inlineStr">
        <is>
          <t>My</t>
        </is>
      </c>
      <c r="D676" s="4" t="inlineStr">
        <is>
          <t>MyDialogs (Dcl tutorial)</t>
        </is>
      </c>
      <c r="E676" s="4" t="inlineStr">
        <is>
          <t>DCLダイアログ入門サンプル</t>
        </is>
      </c>
      <c r="F676" s="2" t="n">
        <v>6</v>
      </c>
      <c r="G676" s="2" t="n">
        <v>4</v>
      </c>
      <c r="H676" s="2" t="n">
        <v>2</v>
      </c>
      <c r="I676" s="2" t="n">
        <v>5</v>
      </c>
      <c r="J676" s="5">
        <f>SUM(F676:I676)</f>
        <v/>
      </c>
      <c r="K676" s="4" t="inlineStr">
        <is>
          <t>DCL入門サンプル</t>
        </is>
      </c>
      <c r="L676" s="3" t="inlineStr">
        <is>
          <t>Terry Miller</t>
        </is>
      </c>
      <c r="M676" s="3" t="inlineStr">
        <is>
          <t>AutoLISP Exchange</t>
        </is>
      </c>
      <c r="N676" s="6" t="inlineStr">
        <is>
          <t>開く</t>
        </is>
      </c>
    </row>
    <row r="677">
      <c r="A677" s="2">
        <f>RANK(J677,$J$2:$J$697)</f>
        <v/>
      </c>
      <c r="B677" s="3" t="inlineStr">
        <is>
          <t>その他</t>
        </is>
      </c>
      <c r="C677" s="3" t="inlineStr">
        <is>
          <t>password</t>
        </is>
      </c>
      <c r="D677" s="4" t="inlineStr">
        <is>
          <t>Password Generator</t>
        </is>
      </c>
      <c r="E677" s="4" t="inlineStr">
        <is>
          <t>パスワード生成</t>
        </is>
      </c>
      <c r="F677" s="2" t="n">
        <v>8</v>
      </c>
      <c r="G677" s="2" t="n">
        <v>6</v>
      </c>
      <c r="H677" s="2" t="n">
        <v>1</v>
      </c>
      <c r="I677" s="2" t="n">
        <v>2</v>
      </c>
      <c r="J677" s="5">
        <f>SUM(F677:I677)</f>
        <v/>
      </c>
      <c r="K677" s="4" t="inlineStr">
        <is>
          <t>娯楽</t>
        </is>
      </c>
      <c r="L677" s="3" t="inlineStr">
        <is>
          <t>Lee Mac</t>
        </is>
      </c>
      <c r="M677" s="3" t="inlineStr">
        <is>
          <t>Lee Mac Programming</t>
        </is>
      </c>
      <c r="N677" s="6" t="inlineStr">
        <is>
          <t>開く</t>
        </is>
      </c>
    </row>
    <row r="678">
      <c r="A678" s="2">
        <f>RANK(J678,$J$2:$J$697)</f>
        <v/>
      </c>
      <c r="B678" s="3" t="inlineStr">
        <is>
          <t>LISP開発用の部品</t>
        </is>
      </c>
      <c r="C678" s="3" t="inlineStr">
        <is>
          <t>-</t>
        </is>
      </c>
      <c r="D678" s="4" t="inlineStr">
        <is>
          <t>String Subst</t>
        </is>
      </c>
      <c r="E678" s="4" t="inlineStr">
        <is>
          <t>文字列置換関数</t>
        </is>
      </c>
      <c r="F678" s="2" t="n">
        <v>3</v>
      </c>
      <c r="G678" s="2" t="n">
        <v>4</v>
      </c>
      <c r="H678" s="2" t="n">
        <v>3</v>
      </c>
      <c r="I678" s="2" t="n">
        <v>7</v>
      </c>
      <c r="J678" s="5">
        <f>SUM(F678:I678)</f>
        <v/>
      </c>
      <c r="K678" s="4" t="inlineStr">
        <is>
          <t>vl-string-substで可</t>
        </is>
      </c>
      <c r="L678" s="3" t="inlineStr">
        <is>
          <t>Lee Mac</t>
        </is>
      </c>
      <c r="M678" s="3" t="inlineStr">
        <is>
          <t>Lee Mac Programming</t>
        </is>
      </c>
      <c r="N678" s="6" t="inlineStr">
        <is>
          <t>開く</t>
        </is>
      </c>
    </row>
    <row r="679">
      <c r="A679" s="2">
        <f>RANK(J679,$J$2:$J$697)</f>
        <v/>
      </c>
      <c r="B679" s="3" t="inlineStr">
        <is>
          <t>その他</t>
        </is>
      </c>
      <c r="C679" s="3" t="inlineStr">
        <is>
          <t>Cartoons</t>
        </is>
      </c>
      <c r="D679" s="4" t="inlineStr">
        <is>
          <t>Cartoons</t>
        </is>
      </c>
      <c r="E679" s="4" t="inlineStr">
        <is>
          <t>GetIcon用キャラクタアイコン</t>
        </is>
      </c>
      <c r="F679" s="2" t="n">
        <v>8</v>
      </c>
      <c r="G679" s="2" t="n">
        <v>6</v>
      </c>
      <c r="H679" s="2" t="n">
        <v>1</v>
      </c>
      <c r="I679" s="2" t="n">
        <v>1</v>
      </c>
      <c r="J679" s="5">
        <f>SUM(F679:I679)</f>
        <v/>
      </c>
      <c r="K679" s="4" t="inlineStr">
        <is>
          <t>アイコン素材のみ</t>
        </is>
      </c>
      <c r="L679" s="3" t="inlineStr">
        <is>
          <t>Terry Miller</t>
        </is>
      </c>
      <c r="M679" s="3" t="inlineStr">
        <is>
          <t>AutoLISP Exchange</t>
        </is>
      </c>
      <c r="N679" s="6" t="inlineStr">
        <is>
          <t>開く</t>
        </is>
      </c>
    </row>
    <row r="680">
      <c r="A680" s="2">
        <f>RANK(J680,$J$2:$J$697)</f>
        <v/>
      </c>
      <c r="B680" s="3" t="inlineStr">
        <is>
          <t>3D</t>
        </is>
      </c>
      <c r="C680" s="3" t="inlineStr">
        <is>
          <t>-</t>
        </is>
      </c>
      <c r="D680" s="4" t="inlineStr">
        <is>
          <t>Home Design 3D (Evaluation) (3dhome.zip)</t>
        </is>
      </c>
      <c r="E680" s="4" t="inlineStr">
        <is>
          <t>住宅3D設計ソフト評価版</t>
        </is>
      </c>
      <c r="F680" s="2" t="n">
        <v>5</v>
      </c>
      <c r="G680" s="2" t="n">
        <v>5</v>
      </c>
      <c r="H680" s="2" t="n">
        <v>3</v>
      </c>
      <c r="I680" s="2" t="n">
        <v>3</v>
      </c>
      <c r="J680" s="5">
        <f>SUM(F680:I680)</f>
        <v/>
      </c>
      <c r="K680" s="4" t="inlineStr">
        <is>
          <t>外部ソフト評価版</t>
        </is>
      </c>
      <c r="L680" s="3" t="inlineStr"/>
      <c r="M680" s="3" t="inlineStr">
        <is>
          <t>draftsperson.net</t>
        </is>
      </c>
      <c r="N680" s="6" t="inlineStr">
        <is>
          <t>開く</t>
        </is>
      </c>
    </row>
    <row r="681">
      <c r="A681" s="2">
        <f>RANK(J681,$J$2:$J$697)</f>
        <v/>
      </c>
      <c r="B681" s="3" t="inlineStr">
        <is>
          <t>LISP開発用の部品</t>
        </is>
      </c>
      <c r="C681" s="3" t="inlineStr">
        <is>
          <t>-</t>
        </is>
      </c>
      <c r="D681" s="4" t="inlineStr">
        <is>
          <t>Insert Nth</t>
        </is>
      </c>
      <c r="E681" s="4" t="inlineStr">
        <is>
          <t>リストN番目挿入関数</t>
        </is>
      </c>
      <c r="F681" s="2" t="n">
        <v>5</v>
      </c>
      <c r="G681" s="2" t="n">
        <v>4</v>
      </c>
      <c r="H681" s="2" t="n">
        <v>2</v>
      </c>
      <c r="I681" s="2" t="n">
        <v>5</v>
      </c>
      <c r="J681" s="5">
        <f>SUM(F681:I681)</f>
        <v/>
      </c>
      <c r="K681" s="4" t="inlineStr">
        <is>
          <t>単純なリスト操作</t>
        </is>
      </c>
      <c r="L681" s="3" t="inlineStr">
        <is>
          <t>Lee Mac</t>
        </is>
      </c>
      <c r="M681" s="3" t="inlineStr">
        <is>
          <t>Lee Mac Programming</t>
        </is>
      </c>
      <c r="N681" s="6" t="inlineStr">
        <is>
          <t>開く</t>
        </is>
      </c>
    </row>
    <row r="682">
      <c r="A682" s="2">
        <f>RANK(J682,$J$2:$J$697)</f>
        <v/>
      </c>
      <c r="B682" s="3" t="inlineStr">
        <is>
          <t>LISP開発用の部品</t>
        </is>
      </c>
      <c r="C682" s="3" t="inlineStr">
        <is>
          <t>-</t>
        </is>
      </c>
      <c r="D682" s="4" t="inlineStr">
        <is>
          <t>Remove Nth</t>
        </is>
      </c>
      <c r="E682" s="4" t="inlineStr">
        <is>
          <t>リストN番目削除関数</t>
        </is>
      </c>
      <c r="F682" s="2" t="n">
        <v>5</v>
      </c>
      <c r="G682" s="2" t="n">
        <v>4</v>
      </c>
      <c r="H682" s="2" t="n">
        <v>2</v>
      </c>
      <c r="I682" s="2" t="n">
        <v>5</v>
      </c>
      <c r="J682" s="5">
        <f>SUM(F682:I682)</f>
        <v/>
      </c>
      <c r="K682" s="4" t="inlineStr">
        <is>
          <t>単純なリスト操作</t>
        </is>
      </c>
      <c r="L682" s="3" t="inlineStr">
        <is>
          <t>Lee Mac</t>
        </is>
      </c>
      <c r="M682" s="3" t="inlineStr">
        <is>
          <t>Lee Mac Programming</t>
        </is>
      </c>
      <c r="N682" s="6" t="inlineStr">
        <is>
          <t>開く</t>
        </is>
      </c>
    </row>
    <row r="683">
      <c r="A683" s="2">
        <f>RANK(J683,$J$2:$J$697)</f>
        <v/>
      </c>
      <c r="B683" s="3" t="inlineStr">
        <is>
          <t>LISP開発用の部品</t>
        </is>
      </c>
      <c r="C683" s="3" t="inlineStr">
        <is>
          <t>-</t>
        </is>
      </c>
      <c r="D683" s="4" t="inlineStr">
        <is>
          <t>Remove Once</t>
        </is>
      </c>
      <c r="E683" s="4" t="inlineStr">
        <is>
          <t>リスト要素一回削除関数</t>
        </is>
      </c>
      <c r="F683" s="2" t="n">
        <v>5</v>
      </c>
      <c r="G683" s="2" t="n">
        <v>4</v>
      </c>
      <c r="H683" s="2" t="n">
        <v>2</v>
      </c>
      <c r="I683" s="2" t="n">
        <v>5</v>
      </c>
      <c r="J683" s="5">
        <f>SUM(F683:I683)</f>
        <v/>
      </c>
      <c r="K683" s="4" t="inlineStr">
        <is>
          <t>単純なリスト操作</t>
        </is>
      </c>
      <c r="L683" s="3" t="inlineStr">
        <is>
          <t>Lee Mac</t>
        </is>
      </c>
      <c r="M683" s="3" t="inlineStr">
        <is>
          <t>Lee Mac Programming</t>
        </is>
      </c>
      <c r="N683" s="6" t="inlineStr">
        <is>
          <t>開く</t>
        </is>
      </c>
    </row>
    <row r="684">
      <c r="A684" s="2">
        <f>RANK(J684,$J$2:$J$697)</f>
        <v/>
      </c>
      <c r="B684" s="3" t="inlineStr">
        <is>
          <t>LISP開発用の部品</t>
        </is>
      </c>
      <c r="C684" s="3" t="inlineStr">
        <is>
          <t>-</t>
        </is>
      </c>
      <c r="D684" s="4" t="inlineStr">
        <is>
          <t>Sublist</t>
        </is>
      </c>
      <c r="E684" s="4" t="inlineStr">
        <is>
          <t>部分リスト取得関数</t>
        </is>
      </c>
      <c r="F684" s="2" t="n">
        <v>5</v>
      </c>
      <c r="G684" s="2" t="n">
        <v>4</v>
      </c>
      <c r="H684" s="2" t="n">
        <v>2</v>
      </c>
      <c r="I684" s="2" t="n">
        <v>5</v>
      </c>
      <c r="J684" s="5">
        <f>SUM(F684:I684)</f>
        <v/>
      </c>
      <c r="K684" s="4" t="inlineStr">
        <is>
          <t>単純なリスト操作</t>
        </is>
      </c>
      <c r="L684" s="3" t="inlineStr">
        <is>
          <t>Lee Mac</t>
        </is>
      </c>
      <c r="M684" s="3" t="inlineStr">
        <is>
          <t>Lee Mac Programming</t>
        </is>
      </c>
      <c r="N684" s="6" t="inlineStr">
        <is>
          <t>開く</t>
        </is>
      </c>
    </row>
    <row r="685">
      <c r="A685" s="2">
        <f>RANK(J685,$J$2:$J$697)</f>
        <v/>
      </c>
      <c r="B685" s="3" t="inlineStr">
        <is>
          <t>LISP開発用の部品</t>
        </is>
      </c>
      <c r="C685" s="3" t="inlineStr">
        <is>
          <t>-</t>
        </is>
      </c>
      <c r="D685" s="4" t="inlineStr">
        <is>
          <t>Subst Nth</t>
        </is>
      </c>
      <c r="E685" s="4" t="inlineStr">
        <is>
          <t>リストN番目置換関数</t>
        </is>
      </c>
      <c r="F685" s="2" t="n">
        <v>5</v>
      </c>
      <c r="G685" s="2" t="n">
        <v>4</v>
      </c>
      <c r="H685" s="2" t="n">
        <v>2</v>
      </c>
      <c r="I685" s="2" t="n">
        <v>5</v>
      </c>
      <c r="J685" s="5">
        <f>SUM(F685:I685)</f>
        <v/>
      </c>
      <c r="K685" s="4" t="inlineStr">
        <is>
          <t>単純なリスト操作</t>
        </is>
      </c>
      <c r="L685" s="3" t="inlineStr">
        <is>
          <t>Lee Mac</t>
        </is>
      </c>
      <c r="M685" s="3" t="inlineStr">
        <is>
          <t>Lee Mac Programming</t>
        </is>
      </c>
      <c r="N685" s="6" t="inlineStr">
        <is>
          <t>開く</t>
        </is>
      </c>
    </row>
    <row r="686">
      <c r="A686" s="2">
        <f>RANK(J686,$J$2:$J$697)</f>
        <v/>
      </c>
      <c r="B686" s="3" t="inlineStr">
        <is>
          <t>LISP開発用の部品</t>
        </is>
      </c>
      <c r="C686" s="3" t="inlineStr">
        <is>
          <t>-</t>
        </is>
      </c>
      <c r="D686" s="4" t="inlineStr">
        <is>
          <t>Subst Once</t>
        </is>
      </c>
      <c r="E686" s="4" t="inlineStr">
        <is>
          <t>リスト一回置換関数</t>
        </is>
      </c>
      <c r="F686" s="2" t="n">
        <v>5</v>
      </c>
      <c r="G686" s="2" t="n">
        <v>4</v>
      </c>
      <c r="H686" s="2" t="n">
        <v>2</v>
      </c>
      <c r="I686" s="2" t="n">
        <v>5</v>
      </c>
      <c r="J686" s="5">
        <f>SUM(F686:I686)</f>
        <v/>
      </c>
      <c r="K686" s="4" t="inlineStr">
        <is>
          <t>単純なリスト操作</t>
        </is>
      </c>
      <c r="L686" s="3" t="inlineStr">
        <is>
          <t>Lee Mac</t>
        </is>
      </c>
      <c r="M686" s="3" t="inlineStr">
        <is>
          <t>Lee Mac Programming</t>
        </is>
      </c>
      <c r="N686" s="6" t="inlineStr">
        <is>
          <t>開く</t>
        </is>
      </c>
    </row>
    <row r="687">
      <c r="A687" s="2">
        <f>RANK(J687,$J$2:$J$697)</f>
        <v/>
      </c>
      <c r="B687" s="3" t="inlineStr">
        <is>
          <t>LISP開発用の部品</t>
        </is>
      </c>
      <c r="C687" s="3" t="inlineStr">
        <is>
          <t>-</t>
        </is>
      </c>
      <c r="D687" s="4" t="inlineStr">
        <is>
          <t>axInsert.lsp</t>
        </is>
      </c>
      <c r="E687" s="4" t="inlineStr">
        <is>
          <t>ActiveXでブロック挿入例</t>
        </is>
      </c>
      <c r="F687" s="2" t="n">
        <v>3</v>
      </c>
      <c r="G687" s="2" t="n">
        <v>3</v>
      </c>
      <c r="H687" s="2" t="n">
        <v>3</v>
      </c>
      <c r="I687" s="2" t="n">
        <v>6</v>
      </c>
      <c r="J687" s="5">
        <f>SUM(F687:I687)</f>
        <v/>
      </c>
      <c r="K687" s="4" t="inlineStr">
        <is>
          <t>標準のvla-insertblock</t>
        </is>
      </c>
      <c r="L687" s="3" t="inlineStr">
        <is>
          <t>JTB World (Jimmy Bergmark)</t>
        </is>
      </c>
      <c r="M687" s="3" t="inlineStr">
        <is>
          <t>JTB World</t>
        </is>
      </c>
      <c r="N687" s="6" t="inlineStr">
        <is>
          <t>開く</t>
        </is>
      </c>
    </row>
    <row r="688">
      <c r="A688" s="2">
        <f>RANK(J688,$J$2:$J$697)</f>
        <v/>
      </c>
      <c r="B688" s="3" t="inlineStr">
        <is>
          <t>その他</t>
        </is>
      </c>
      <c r="C688" s="3" t="inlineStr">
        <is>
          <t>-</t>
        </is>
      </c>
      <c r="D688" s="4" t="inlineStr">
        <is>
          <t>Calculator (calc.zip)</t>
        </is>
      </c>
      <c r="E688" s="4" t="inlineStr">
        <is>
          <t>画面上の電卓</t>
        </is>
      </c>
      <c r="F688" s="2" t="n">
        <v>3</v>
      </c>
      <c r="G688" s="2" t="n">
        <v>4</v>
      </c>
      <c r="H688" s="2" t="n">
        <v>3</v>
      </c>
      <c r="I688" s="2" t="n">
        <v>5</v>
      </c>
      <c r="J688" s="5">
        <f>SUM(F688:I688)</f>
        <v/>
      </c>
      <c r="K688" s="4" t="inlineStr">
        <is>
          <t>QUICKCALCで代替可</t>
        </is>
      </c>
      <c r="L688" s="3" t="inlineStr"/>
      <c r="M688" s="3" t="inlineStr">
        <is>
          <t>draftsperson.net</t>
        </is>
      </c>
      <c r="N688" s="6" t="inlineStr">
        <is>
          <t>開く</t>
        </is>
      </c>
    </row>
    <row r="689">
      <c r="A689" s="2">
        <f>RANK(J689,$J$2:$J$697)</f>
        <v/>
      </c>
      <c r="B689" s="3" t="inlineStr">
        <is>
          <t>LISP開発用の部品</t>
        </is>
      </c>
      <c r="C689" s="3" t="inlineStr">
        <is>
          <t>-</t>
        </is>
      </c>
      <c r="D689" s="4" t="inlineStr">
        <is>
          <t>Remove Items</t>
        </is>
      </c>
      <c r="E689" s="4" t="inlineStr">
        <is>
          <t>リスト要素削除関数</t>
        </is>
      </c>
      <c r="F689" s="2" t="n">
        <v>4</v>
      </c>
      <c r="G689" s="2" t="n">
        <v>4</v>
      </c>
      <c r="H689" s="2" t="n">
        <v>2</v>
      </c>
      <c r="I689" s="2" t="n">
        <v>5</v>
      </c>
      <c r="J689" s="5">
        <f>SUM(F689:I689)</f>
        <v/>
      </c>
      <c r="K689" s="4" t="inlineStr">
        <is>
          <t>vl-remove等で可</t>
        </is>
      </c>
      <c r="L689" s="3" t="inlineStr">
        <is>
          <t>Lee Mac</t>
        </is>
      </c>
      <c r="M689" s="3" t="inlineStr">
        <is>
          <t>Lee Mac Programming</t>
        </is>
      </c>
      <c r="N689" s="6" t="inlineStr">
        <is>
          <t>開く</t>
        </is>
      </c>
    </row>
    <row r="690">
      <c r="A690" s="2">
        <f>RANK(J690,$J$2:$J$697)</f>
        <v/>
      </c>
      <c r="B690" s="3" t="inlineStr">
        <is>
          <t>座標・測量・土木</t>
        </is>
      </c>
      <c r="C690" s="3" t="inlineStr">
        <is>
          <t>TPOPSETFUZZ</t>
        </is>
      </c>
      <c r="D690" s="4" t="inlineStr">
        <is>
          <t>TOPOPROCESS.LSP</t>
        </is>
      </c>
      <c r="E690" s="4" t="inlineStr">
        <is>
          <t>計算の許容誤差を設定</t>
        </is>
      </c>
      <c r="F690" s="2" t="n">
        <v>5</v>
      </c>
      <c r="G690" s="2" t="n">
        <v>4</v>
      </c>
      <c r="H690" s="2" t="n">
        <v>2</v>
      </c>
      <c r="I690" s="2" t="n">
        <v>4</v>
      </c>
      <c r="J690" s="5">
        <f>SUM(F690:I690)</f>
        <v/>
      </c>
      <c r="K690" s="4" t="inlineStr">
        <is>
          <t>許容誤差設定</t>
        </is>
      </c>
      <c r="L690" s="3" t="inlineStr">
        <is>
          <t>Giles Darling</t>
        </is>
      </c>
      <c r="M690" s="3" t="inlineStr">
        <is>
          <t>gilesdarling.me.uk</t>
        </is>
      </c>
      <c r="N690" s="6" t="inlineStr">
        <is>
          <t>開く</t>
        </is>
      </c>
    </row>
    <row r="691">
      <c r="A691" s="2">
        <f>RANK(J691,$J$2:$J$697)</f>
        <v/>
      </c>
      <c r="B691" s="3" t="inlineStr">
        <is>
          <t>その他</t>
        </is>
      </c>
      <c r="C691" s="3" t="inlineStr">
        <is>
          <t>-</t>
        </is>
      </c>
      <c r="D691" s="4" t="inlineStr">
        <is>
          <t>Add (Calculator) (add.lsp)</t>
        </is>
      </c>
      <c r="E691" s="4" t="inlineStr">
        <is>
          <t>計算機</t>
        </is>
      </c>
      <c r="F691" s="2" t="n">
        <v>3</v>
      </c>
      <c r="G691" s="2" t="n">
        <v>3</v>
      </c>
      <c r="H691" s="2" t="n">
        <v>3</v>
      </c>
      <c r="I691" s="2" t="n">
        <v>5</v>
      </c>
      <c r="J691" s="5">
        <f>SUM(F691:I691)</f>
        <v/>
      </c>
      <c r="K691" s="4" t="inlineStr">
        <is>
          <t>QUICKCALCで代替可</t>
        </is>
      </c>
      <c r="L691" s="3" t="inlineStr"/>
      <c r="M691" s="3" t="inlineStr">
        <is>
          <t>draftsperson.net</t>
        </is>
      </c>
      <c r="N691" s="6" t="inlineStr">
        <is>
          <t>開く</t>
        </is>
      </c>
    </row>
    <row r="692">
      <c r="A692" s="2">
        <f>RANK(J692,$J$2:$J$697)</f>
        <v/>
      </c>
      <c r="B692" s="3" t="inlineStr">
        <is>
          <t>作図</t>
        </is>
      </c>
      <c r="C692" s="3" t="inlineStr">
        <is>
          <t>DRLIM</t>
        </is>
      </c>
      <c r="D692" s="4" t="inlineStr">
        <is>
          <t>DrLim</t>
        </is>
      </c>
      <c r="E692" s="4" t="inlineStr">
        <is>
          <t>図面範囲を線で作図</t>
        </is>
      </c>
      <c r="F692" s="2" t="n">
        <v>4</v>
      </c>
      <c r="G692" s="2" t="n">
        <v>3</v>
      </c>
      <c r="H692" s="2" t="n">
        <v>2</v>
      </c>
      <c r="I692" s="2" t="n">
        <v>5</v>
      </c>
      <c r="J692" s="5">
        <f>SUM(F692:I692)</f>
        <v/>
      </c>
      <c r="K692" s="4" t="inlineStr">
        <is>
          <t>LIMITSは現在不要</t>
        </is>
      </c>
      <c r="L692" s="3" t="inlineStr">
        <is>
          <t>Jeffery P. Sanders</t>
        </is>
      </c>
      <c r="M692" s="3" t="inlineStr">
        <is>
          <t>JefferyPSanders.com</t>
        </is>
      </c>
      <c r="N692" s="6" t="inlineStr">
        <is>
          <t>開く</t>
        </is>
      </c>
    </row>
    <row r="693">
      <c r="A693" s="2">
        <f>RANK(J693,$J$2:$J$697)</f>
        <v/>
      </c>
      <c r="B693" s="3" t="inlineStr">
        <is>
          <t>LISP開発用の部品</t>
        </is>
      </c>
      <c r="C693" s="3" t="inlineStr">
        <is>
          <t>-</t>
        </is>
      </c>
      <c r="D693" s="4" t="inlineStr">
        <is>
          <t>ISX64.LSP</t>
        </is>
      </c>
      <c r="E693" s="4" t="inlineStr">
        <is>
          <t>64bit版AutoCAD判定コード</t>
        </is>
      </c>
      <c r="F693" s="2" t="n">
        <v>4</v>
      </c>
      <c r="G693" s="2" t="n">
        <v>4</v>
      </c>
      <c r="H693" s="2" t="n">
        <v>2</v>
      </c>
      <c r="I693" s="2" t="n">
        <v>4</v>
      </c>
      <c r="J693" s="5">
        <f>SUM(F693:I693)</f>
        <v/>
      </c>
      <c r="K693" s="4" t="inlineStr">
        <is>
          <t>数行で判定可</t>
        </is>
      </c>
      <c r="L693" s="3" t="inlineStr">
        <is>
          <t>Owen Wengerd (ManuSoft)</t>
        </is>
      </c>
      <c r="M693" s="3" t="inlineStr">
        <is>
          <t>ManuSoft</t>
        </is>
      </c>
      <c r="N693" s="6" t="inlineStr">
        <is>
          <t>開く</t>
        </is>
      </c>
    </row>
    <row r="694">
      <c r="A694" s="2">
        <f>RANK(J694,$J$2:$J$697)</f>
        <v/>
      </c>
      <c r="B694" s="3" t="inlineStr">
        <is>
          <t>その他</t>
        </is>
      </c>
      <c r="C694" s="3" t="inlineStr">
        <is>
          <t>Lotto</t>
        </is>
      </c>
      <c r="D694" s="4" t="inlineStr">
        <is>
          <t>Lottery Numbers</t>
        </is>
      </c>
      <c r="E694" s="4" t="inlineStr">
        <is>
          <t>ロト番号を生成</t>
        </is>
      </c>
      <c r="F694" s="2" t="n">
        <v>8</v>
      </c>
      <c r="G694" s="2" t="n">
        <v>5</v>
      </c>
      <c r="H694" s="2" t="n">
        <v>0</v>
      </c>
      <c r="I694" s="2" t="n">
        <v>1</v>
      </c>
      <c r="J694" s="5">
        <f>SUM(F694:I694)</f>
        <v/>
      </c>
      <c r="K694" s="4" t="inlineStr">
        <is>
          <t>娯楽</t>
        </is>
      </c>
      <c r="L694" s="3" t="inlineStr">
        <is>
          <t>Lee Mac</t>
        </is>
      </c>
      <c r="M694" s="3" t="inlineStr">
        <is>
          <t>Lee Mac Programming</t>
        </is>
      </c>
      <c r="N694" s="6" t="inlineStr">
        <is>
          <t>開く</t>
        </is>
      </c>
    </row>
    <row r="695">
      <c r="A695" s="2">
        <f>RANK(J695,$J$2:$J$697)</f>
        <v/>
      </c>
      <c r="B695" s="3" t="inlineStr">
        <is>
          <t>LISP開発用の部品</t>
        </is>
      </c>
      <c r="C695" s="3" t="inlineStr">
        <is>
          <t>-</t>
        </is>
      </c>
      <c r="D695" s="4" t="inlineStr">
        <is>
          <t>Release Object</t>
        </is>
      </c>
      <c r="E695" s="4" t="inlineStr">
        <is>
          <t>オブジェクト解放関数</t>
        </is>
      </c>
      <c r="F695" s="2" t="n">
        <v>4</v>
      </c>
      <c r="G695" s="2" t="n">
        <v>3</v>
      </c>
      <c r="H695" s="2" t="n">
        <v>2</v>
      </c>
      <c r="I695" s="2" t="n">
        <v>5</v>
      </c>
      <c r="J695" s="5">
        <f>SUM(F695:I695)</f>
        <v/>
      </c>
      <c r="K695" s="4" t="inlineStr">
        <is>
          <t>vlax-release-object</t>
        </is>
      </c>
      <c r="L695" s="3" t="inlineStr">
        <is>
          <t>Lee Mac</t>
        </is>
      </c>
      <c r="M695" s="3" t="inlineStr">
        <is>
          <t>Lee Mac Programming</t>
        </is>
      </c>
      <c r="N695" s="6" t="inlineStr">
        <is>
          <t>開く</t>
        </is>
      </c>
    </row>
    <row r="696">
      <c r="A696" s="2">
        <f>RANK(J696,$J$2:$J$697)</f>
        <v/>
      </c>
      <c r="B696" s="3" t="inlineStr">
        <is>
          <t>その他</t>
        </is>
      </c>
      <c r="C696" s="3" t="inlineStr">
        <is>
          <t>MAT</t>
        </is>
      </c>
      <c r="D696" s="4" t="inlineStr">
        <is>
          <t>Cartoons.zip (slides)</t>
        </is>
      </c>
      <c r="E696" s="4" t="inlineStr">
        <is>
          <t>マッチスライドゲーム用スライド</t>
        </is>
      </c>
      <c r="F696" s="2" t="n">
        <v>6</v>
      </c>
      <c r="G696" s="2" t="n">
        <v>5</v>
      </c>
      <c r="H696" s="2" t="n">
        <v>0</v>
      </c>
      <c r="I696" s="2" t="n">
        <v>1</v>
      </c>
      <c r="J696" s="5">
        <f>SUM(F696:I696)</f>
        <v/>
      </c>
      <c r="K696" s="4" t="inlineStr">
        <is>
          <t>ゲーム用素材</t>
        </is>
      </c>
      <c r="L696" s="3" t="inlineStr">
        <is>
          <t>Terry Miller</t>
        </is>
      </c>
      <c r="M696" s="3" t="inlineStr">
        <is>
          <t>AutoLISP Exchange</t>
        </is>
      </c>
      <c r="N696" s="6" t="inlineStr">
        <is>
          <t>開く</t>
        </is>
      </c>
    </row>
    <row r="697">
      <c r="A697" s="2">
        <f>RANK(J697,$J$2:$J$697)</f>
        <v/>
      </c>
      <c r="B697" s="3" t="inlineStr">
        <is>
          <t>LISP開発用の部品</t>
        </is>
      </c>
      <c r="C697" s="3" t="inlineStr">
        <is>
          <t>-</t>
        </is>
      </c>
      <c r="D697" s="4" t="inlineStr">
        <is>
          <t>wcmatch</t>
        </is>
      </c>
      <c r="E697" s="4" t="inlineStr">
        <is>
          <t>wcmatch関数の解説</t>
        </is>
      </c>
      <c r="F697" s="2" t="n">
        <v>2</v>
      </c>
      <c r="G697" s="2" t="n">
        <v>2</v>
      </c>
      <c r="H697" s="2" t="n">
        <v>2</v>
      </c>
      <c r="I697" s="2" t="n">
        <v>6</v>
      </c>
      <c r="J697" s="5">
        <f>SUM(F697:I697)</f>
        <v/>
      </c>
      <c r="K697" s="4" t="inlineStr">
        <is>
          <t>標準関数の解説のみ</t>
        </is>
      </c>
      <c r="L697" s="3" t="inlineStr">
        <is>
          <t>JTB World (Jimmy Bergmark)</t>
        </is>
      </c>
      <c r="M697" s="3" t="inlineStr">
        <is>
          <t>JTB World</t>
        </is>
      </c>
      <c r="N697" s="6" t="inlineStr">
        <is>
          <t>開く</t>
        </is>
      </c>
    </row>
  </sheetData>
  <autoFilter ref="A1:N697"/>
  <conditionalFormatting sqref="J2:J697">
    <cfRule type="colorScale" priority="1">
      <colorScale>
        <cfvo type="num" val="10"/>
        <cfvo type="num" val="50"/>
        <cfvo type="num" val="80"/>
        <color rgb="00FFFFFF"/>
        <color rgb="00FFE699"/>
        <color rgb="00F4B084"/>
      </colorScale>
    </cfRule>
  </conditionalFormatting>
  <conditionalFormatting sqref="F2:I697">
    <cfRule type="colorScale" priority="2">
      <colorScale>
        <cfvo type="num" val="0"/>
        <cfvo type="num" val="25"/>
        <color rgb="00FFFFFF"/>
        <color rgb="009BC2E6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  <hyperlink xmlns:r="http://schemas.openxmlformats.org/officeDocument/2006/relationships" ref="N683" r:id="rId682"/>
    <hyperlink xmlns:r="http://schemas.openxmlformats.org/officeDocument/2006/relationships" ref="N684" r:id="rId683"/>
    <hyperlink xmlns:r="http://schemas.openxmlformats.org/officeDocument/2006/relationships" ref="N685" r:id="rId684"/>
    <hyperlink xmlns:r="http://schemas.openxmlformats.org/officeDocument/2006/relationships" ref="N686" r:id="rId685"/>
    <hyperlink xmlns:r="http://schemas.openxmlformats.org/officeDocument/2006/relationships" ref="N687" r:id="rId686"/>
    <hyperlink xmlns:r="http://schemas.openxmlformats.org/officeDocument/2006/relationships" ref="N688" r:id="rId687"/>
    <hyperlink xmlns:r="http://schemas.openxmlformats.org/officeDocument/2006/relationships" ref="N689" r:id="rId688"/>
    <hyperlink xmlns:r="http://schemas.openxmlformats.org/officeDocument/2006/relationships" ref="N690" r:id="rId689"/>
    <hyperlink xmlns:r="http://schemas.openxmlformats.org/officeDocument/2006/relationships" ref="N691" r:id="rId690"/>
    <hyperlink xmlns:r="http://schemas.openxmlformats.org/officeDocument/2006/relationships" ref="N692" r:id="rId691"/>
    <hyperlink xmlns:r="http://schemas.openxmlformats.org/officeDocument/2006/relationships" ref="N693" r:id="rId692"/>
    <hyperlink xmlns:r="http://schemas.openxmlformats.org/officeDocument/2006/relationships" ref="N694" r:id="rId693"/>
    <hyperlink xmlns:r="http://schemas.openxmlformats.org/officeDocument/2006/relationships" ref="N695" r:id="rId694"/>
    <hyperlink xmlns:r="http://schemas.openxmlformats.org/officeDocument/2006/relationships" ref="N696" r:id="rId695"/>
    <hyperlink xmlns:r="http://schemas.openxmlformats.org/officeDocument/2006/relationships" ref="N697" r:id="rId6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7" t="inlineStr">
        <is>
          <t>採点基準（各25点満点・合計100点）</t>
        </is>
      </c>
      <c r="B1" s="7" t="n"/>
      <c r="C1" s="7" t="n"/>
      <c r="D1" s="7" t="n"/>
    </row>
    <row r="2">
      <c r="A2" s="8" t="n"/>
      <c r="B2" s="8" t="n"/>
      <c r="C2" s="8" t="n"/>
      <c r="D2" s="8" t="n"/>
    </row>
    <row r="3">
      <c r="A3" s="9" t="inlineStr">
        <is>
          <t>項目</t>
        </is>
      </c>
      <c r="B3" s="9" t="inlineStr">
        <is>
          <t>内容</t>
        </is>
      </c>
      <c r="C3" s="9" t="inlineStr">
        <is>
          <t>高得点（22〜25点）</t>
        </is>
      </c>
      <c r="D3" s="9" t="inlineStr">
        <is>
          <t>低得点（0〜7点）</t>
        </is>
      </c>
    </row>
    <row r="4">
      <c r="A4" s="8" t="inlineStr">
        <is>
          <t>非代替性</t>
        </is>
      </c>
      <c r="B4" s="8" t="inlineStr">
        <is>
          <t>今のAutoCAD（2024〜2026、Express Tools含む）の標準機能で代わりがきかないか</t>
        </is>
      </c>
      <c r="C4" s="8" t="inlineStr">
        <is>
          <t>標準機能では実現できない</t>
        </is>
      </c>
      <c r="D4" s="8" t="inlineStr">
        <is>
          <t>標準機能（COUNT、TEXTALIGN、BURST、OVERKILL等）でほぼ同じことができる</t>
        </is>
      </c>
    </row>
    <row r="5">
      <c r="A5" s="8" t="inlineStr">
        <is>
          <t>斬新さ</t>
        </is>
      </c>
      <c r="B5" s="8" t="inlineStr">
        <is>
          <t>発想の面白さ・目新しさ</t>
        </is>
      </c>
      <c r="C5" s="8" t="inlineStr">
        <is>
          <t>「その手があったか」という発想（自動更新、動的プレビュー、コマンド連動など）</t>
        </is>
      </c>
      <c r="D5" s="8" t="inlineStr">
        <is>
          <t>単純な設定変更や標準コマンドの言い換え</t>
        </is>
      </c>
    </row>
    <row r="6">
      <c r="A6" s="8" t="inlineStr">
        <is>
          <t>時短効果</t>
        </is>
      </c>
      <c r="B6" s="8" t="inlineStr">
        <is>
          <t>1回あたりの時短 × 使う頻度</t>
        </is>
      </c>
      <c r="C6" s="8" t="inlineStr">
        <is>
          <t>よく使う作業で数分〜数時間を短縮（一括処理・自動集計・自動連番など）</t>
        </is>
      </c>
      <c r="D6" s="8" t="inlineStr">
        <is>
          <t>数回のキー操作分の短縮、関数部品、ゲーム</t>
        </is>
      </c>
    </row>
    <row r="7">
      <c r="A7" s="8" t="inlineStr">
        <is>
          <t>汎用性</t>
        </is>
      </c>
      <c r="B7" s="8" t="inlineStr">
        <is>
          <t>どんな図面でも使えるか</t>
        </is>
      </c>
      <c r="C7" s="8" t="inlineStr">
        <is>
          <t>ほぼすべての図面で使える（文字・画層・ブロック・一括処理・印刷）</t>
        </is>
      </c>
      <c r="D7" s="8" t="inlineStr">
        <is>
          <t>特定の国の規格・特定製品・特定分野専用</t>
        </is>
      </c>
    </row>
    <row r="8">
      <c r="A8" s="8" t="n"/>
      <c r="B8" s="8" t="n"/>
      <c r="C8" s="8" t="n"/>
      <c r="D8" s="8" t="n"/>
    </row>
    <row r="9">
      <c r="A9" s="10" t="inlineStr">
        <is>
          <t>注記</t>
        </is>
      </c>
      <c r="B9" s="10" t="n"/>
      <c r="C9" s="10" t="n"/>
      <c r="D9" s="10" t="n"/>
    </row>
    <row r="10">
      <c r="A10" s="8" t="inlineStr">
        <is>
          <t>・採点はコマンドの説明文をもとにしたAIによる評価で、実際に動かして確認したものではありません。</t>
        </is>
      </c>
      <c r="B10" s="8" t="n"/>
      <c r="C10" s="8" t="n"/>
      <c r="D10" s="8" t="n"/>
    </row>
    <row r="11">
      <c r="A11" s="8" t="inlineStr">
        <is>
          <t>・対象: 英語圏・前半（Lee Mac、draftsperson.net、Jeffery P. Sanders、JTB World、CAD Authority、AutoLISP Exchange、Giles Darling、ManuSoft）の696件。調査日 2026-09-26。</t>
        </is>
      </c>
      <c r="B11" s="8" t="n"/>
      <c r="C11" s="8" t="n"/>
      <c r="D11" s="8" t="n"/>
    </row>
    <row r="12">
      <c r="A12" s="8" t="inlineStr">
        <is>
          <t>・「LISP開発用の部品」はコマンドではなくプログラム内で使う関数のため、時短効果は最大7点としています。</t>
        </is>
      </c>
      <c r="B12" s="8" t="n"/>
      <c r="C12" s="8" t="n"/>
      <c r="D12" s="8" t="n"/>
    </row>
    <row r="13">
      <c r="A13" s="8" t="inlineStr">
        <is>
          <t>・点数は「一覧」シートで直接書き換えられます（合計と順位は自動で再計算されます）。</t>
        </is>
      </c>
      <c r="B13" s="8" t="n"/>
      <c r="C13" s="8" t="n"/>
      <c r="D13" s="8" t="n"/>
    </row>
    <row r="14" ht="48" customHeight="1">
      <c r="A14" s="11" t="inlineStr">
        <is>
          <t>・【重要】点数はすべて「使う前に、説明文など外から見て付けた参考点数」です。アイデア・機能の見込みを示すもので、動作の速さ・使いやすさ（手数の少なさ）・堅牢さ（安定性）などの実装品質は含みません。点差の小さいものの優劣は判断せず、傾向を見る目安として使ってください。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2026-09-26T16:58:44Z</dcterms:created>
  <dcterms:modified xsi:type="dcterms:W3CDTF">2026-09-27T01:29:32Z</dcterms:modified>
</cp:coreProperties>
</file>