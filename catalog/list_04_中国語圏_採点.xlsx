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覧" sheetId="1" state="visible" r:id="rId1"/>
    <sheet name="採点基準" sheetId="2" state="visible" r:id="rId2"/>
  </sheets>
  <definedNames>
    <definedName name="_xlnm._FilterDatabase" localSheetId="0" hidden="1">'一覧'!$A$1:$N$656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"/>
      <b val="1"/>
      <color rgb="00FFFFFF"/>
    </font>
    <font>
      <name val="Meiryo"/>
    </font>
    <font>
      <name val="Meiryo"/>
      <b val="1"/>
    </font>
    <font>
      <name val="Meiryo"/>
      <color rgb="000563C1"/>
      <u val="single"/>
    </font>
    <font>
      <name val="Meiryo"/>
      <sz val="14"/>
    </font>
    <font>
      <name val="Meiryo"/>
      <sz val="11"/>
    </font>
    <font>
      <name val="Meiryo"/>
      <b val="1"/>
      <sz val="1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tlisp.cn/package-info/at-session-stable.html" TargetMode="External" Id="rId1" /><Relationship Type="http://schemas.openxmlformats.org/officeDocument/2006/relationships/hyperlink" Target="https://atlisp.cn/package-info/batchplot-stable.html" TargetMode="External" Id="rId2" /><Relationship Type="http://schemas.openxmlformats.org/officeDocument/2006/relationships/hyperlink" Target="https://bbs.mjtd.com/thread-178244-1-1.html" TargetMode="External" Id="rId3" /><Relationship Type="http://schemas.openxmlformats.org/officeDocument/2006/relationships/hyperlink" Target="https://atlisp.cn/package-info/at-plot-stable.html" TargetMode="External" Id="rId4" /><Relationship Type="http://schemas.openxmlformats.org/officeDocument/2006/relationships/hyperlink" Target="https://atlisp.cn/package-info/at-text-stable.html" TargetMode="External" Id="rId5" /><Relationship Type="http://schemas.openxmlformats.org/officeDocument/2006/relationships/hyperlink" Target="https://github.com/y1991427360s/zwcad-autolisp-tools" TargetMode="External" Id="rId6" /><Relationship Type="http://schemas.openxmlformats.org/officeDocument/2006/relationships/hyperlink" Target="https://atlisp.cn/package-info/youyun-plot-stable.html" TargetMode="External" Id="rId7" /><Relationship Type="http://schemas.openxmlformats.org/officeDocument/2006/relationships/hyperlink" Target="https://atlisp.cn/package-info/agan-dyncopy-stable.html" TargetMode="External" Id="rId8" /><Relationship Type="http://schemas.openxmlformats.org/officeDocument/2006/relationships/hyperlink" Target="https://bbs.mjtd.com/thread-183595-1-1.html" TargetMode="External" Id="rId9" /><Relationship Type="http://schemas.openxmlformats.org/officeDocument/2006/relationships/hyperlink" Target="https://bbs.mjtd.com/thread-180410-1-1.html" TargetMode="External" Id="rId10" /><Relationship Type="http://schemas.openxmlformats.org/officeDocument/2006/relationships/hyperlink" Target="https://atlisp.cn/package-info/at-block-stable.html" TargetMode="External" Id="rId11" /><Relationship Type="http://schemas.openxmlformats.org/officeDocument/2006/relationships/hyperlink" Target="https://atlisp.cn/package-info/at-pm-stable.html" TargetMode="External" Id="rId12" /><Relationship Type="http://schemas.openxmlformats.org/officeDocument/2006/relationships/hyperlink" Target="https://bbs.mjtd.com/thread-187517-1-1.html" TargetMode="External" Id="rId13" /><Relationship Type="http://schemas.openxmlformats.org/officeDocument/2006/relationships/hyperlink" Target="https://github.com/WuwuZhang0019/CADTools" TargetMode="External" Id="rId14" /><Relationship Type="http://schemas.openxmlformats.org/officeDocument/2006/relationships/hyperlink" Target="https://atlisp.cn/package-info/at-block-stable.html" TargetMode="External" Id="rId15" /><Relationship Type="http://schemas.openxmlformats.org/officeDocument/2006/relationships/hyperlink" Target="https://bbs.mjtd.com/thread-187146-1-1.html" TargetMode="External" Id="rId16" /><Relationship Type="http://schemas.openxmlformats.org/officeDocument/2006/relationships/hyperlink" Target="https://bbs.mjtd.com/thread-181607-1-1.html" TargetMode="External" Id="rId17" /><Relationship Type="http://schemas.openxmlformats.org/officeDocument/2006/relationships/hyperlink" Target="https://atlisp.cn/package-info/at-text-stable.html" TargetMode="External" Id="rId18" /><Relationship Type="http://schemas.openxmlformats.org/officeDocument/2006/relationships/hyperlink" Target="https://bbs.mjtd.com/thread-189485-1-1.html" TargetMode="External" Id="rId19" /><Relationship Type="http://schemas.openxmlformats.org/officeDocument/2006/relationships/hyperlink" Target="https://bbs.mjtd.com/thread-188813-1-1.html" TargetMode="External" Id="rId20" /><Relationship Type="http://schemas.openxmlformats.org/officeDocument/2006/relationships/hyperlink" Target="https://github.com/y1991427360s/pdf2cad-ocr-text-helper" TargetMode="External" Id="rId21" /><Relationship Type="http://schemas.openxmlformats.org/officeDocument/2006/relationships/hyperlink" Target="http://bbs.xdcad.net/thread-725806-1-1.html" TargetMode="External" Id="rId22" /><Relationship Type="http://schemas.openxmlformats.org/officeDocument/2006/relationships/hyperlink" Target="https://atlisp.cn/package-info/at-text-stable.html" TargetMode="External" Id="rId23" /><Relationship Type="http://schemas.openxmlformats.org/officeDocument/2006/relationships/hyperlink" Target="https://bbs.mjtd.com/thread-193128-1-1.html" TargetMode="External" Id="rId24" /><Relationship Type="http://schemas.openxmlformats.org/officeDocument/2006/relationships/hyperlink" Target="https://atlisp.cn/package-info/at-select-stable.html" TargetMode="External" Id="rId25" /><Relationship Type="http://schemas.openxmlformats.org/officeDocument/2006/relationships/hyperlink" Target="https://bbs.mjtd.com/thread-185624-1-1.html" TargetMode="External" Id="rId26" /><Relationship Type="http://schemas.openxmlformats.org/officeDocument/2006/relationships/hyperlink" Target="https://github.com/y1991427360s/zwcad-autolisp-tools" TargetMode="External" Id="rId27" /><Relationship Type="http://schemas.openxmlformats.org/officeDocument/2006/relationships/hyperlink" Target="https://bbs.mjtd.com/thread-181524-1-1.html" TargetMode="External" Id="rId28" /><Relationship Type="http://schemas.openxmlformats.org/officeDocument/2006/relationships/hyperlink" Target="https://bbs.mjtd.com/thread-181346-1-1.html" TargetMode="External" Id="rId29" /><Relationship Type="http://schemas.openxmlformats.org/officeDocument/2006/relationships/hyperlink" Target="https://bbs.mjtd.com/thread-191786-1-1.html" TargetMode="External" Id="rId30" /><Relationship Type="http://schemas.openxmlformats.org/officeDocument/2006/relationships/hyperlink" Target="https://atlisp.cn/package-info/agan-vport-syn-stable.html" TargetMode="External" Id="rId31" /><Relationship Type="http://schemas.openxmlformats.org/officeDocument/2006/relationships/hyperlink" Target="https://bbs.mjtd.com/thread-187339-1-1.html" TargetMode="External" Id="rId32" /><Relationship Type="http://schemas.openxmlformats.org/officeDocument/2006/relationships/hyperlink" Target="https://atlisp.cn/package-info/at-text-stable.html" TargetMode="External" Id="rId33" /><Relationship Type="http://schemas.openxmlformats.org/officeDocument/2006/relationships/hyperlink" Target="https://atlisp.cn/package-info/cad-input-stable.html" TargetMode="External" Id="rId34" /><Relationship Type="http://schemas.openxmlformats.org/officeDocument/2006/relationships/hyperlink" Target="https://bbs.mjtd.com/thread-186373-1-1.html" TargetMode="External" Id="rId35" /><Relationship Type="http://schemas.openxmlformats.org/officeDocument/2006/relationships/hyperlink" Target="https://atlisp.cn/package-info/at-block-stable.html" TargetMode="External" Id="rId36" /><Relationship Type="http://schemas.openxmlformats.org/officeDocument/2006/relationships/hyperlink" Target="http://bbs.xdcad.net/thread-713723-1-1.html" TargetMode="External" Id="rId37" /><Relationship Type="http://schemas.openxmlformats.org/officeDocument/2006/relationships/hyperlink" Target="https://github.com/y1991427360s/cad-cable-stat" TargetMode="External" Id="rId38" /><Relationship Type="http://schemas.openxmlformats.org/officeDocument/2006/relationships/hyperlink" Target="https://github.com/leileistart/TerrainForge" TargetMode="External" Id="rId39" /><Relationship Type="http://schemas.openxmlformats.org/officeDocument/2006/relationships/hyperlink" Target="http://bbs.xdcad.net/thread-715897-1-1.html" TargetMode="External" Id="rId40" /><Relationship Type="http://schemas.openxmlformats.org/officeDocument/2006/relationships/hyperlink" Target="https://atlisp.cn/package-info/at-math-stable.html" TargetMode="External" Id="rId41" /><Relationship Type="http://schemas.openxmlformats.org/officeDocument/2006/relationships/hyperlink" Target="https://atlisp.cn/package-info/aigc-stable.html" TargetMode="External" Id="rId42" /><Relationship Type="http://schemas.openxmlformats.org/officeDocument/2006/relationships/hyperlink" Target="https://bbs.mjtd.com/thread-191175-1-1.html" TargetMode="External" Id="rId43" /><Relationship Type="http://schemas.openxmlformats.org/officeDocument/2006/relationships/hyperlink" Target="https://atlisp.cn/package-info/at-select-stable.html" TargetMode="External" Id="rId44" /><Relationship Type="http://schemas.openxmlformats.org/officeDocument/2006/relationships/hyperlink" Target="https://atlisp.cn/package-info/at-hvac-stable.html" TargetMode="External" Id="rId45" /><Relationship Type="http://schemas.openxmlformats.org/officeDocument/2006/relationships/hyperlink" Target="https://bbs.mjtd.com/thread-111978-1-1.html" TargetMode="External" Id="rId46" /><Relationship Type="http://schemas.openxmlformats.org/officeDocument/2006/relationships/hyperlink" Target="https://atlisp.cn/package-info/at-select-stable.html" TargetMode="External" Id="rId47" /><Relationship Type="http://schemas.openxmlformats.org/officeDocument/2006/relationships/hyperlink" Target="https://atlisp.cn/package-info/at-dwgfiles-stable.html" TargetMode="External" Id="rId48" /><Relationship Type="http://schemas.openxmlformats.org/officeDocument/2006/relationships/hyperlink" Target="https://bbs.mjtd.com/thread-173674-1-1.html" TargetMode="External" Id="rId49" /><Relationship Type="http://schemas.openxmlformats.org/officeDocument/2006/relationships/hyperlink" Target="https://atlisp.cn/package-info/at-curve-stable.html" TargetMode="External" Id="rId50" /><Relationship Type="http://schemas.openxmlformats.org/officeDocument/2006/relationships/hyperlink" Target="https://atlisp.cn/package-info/at-text-stable.html" TargetMode="External" Id="rId51" /><Relationship Type="http://schemas.openxmlformats.org/officeDocument/2006/relationships/hyperlink" Target="https://atlisp.cn/package-info/sd1t-stable.html" TargetMode="External" Id="rId52" /><Relationship Type="http://schemas.openxmlformats.org/officeDocument/2006/relationships/hyperlink" Target="https://github.com/y1991427360s/zwcad-autolisp-tools" TargetMode="External" Id="rId53" /><Relationship Type="http://schemas.openxmlformats.org/officeDocument/2006/relationships/hyperlink" Target="https://atlisp.cn/package-info/at-sign-stable.html" TargetMode="External" Id="rId54" /><Relationship Type="http://schemas.openxmlformats.org/officeDocument/2006/relationships/hyperlink" Target="http://bbs.xdcad.net/thread-723157-1-1.html" TargetMode="External" Id="rId55" /><Relationship Type="http://schemas.openxmlformats.org/officeDocument/2006/relationships/hyperlink" Target="https://bbs.mjtd.com/thread-187912-1-1.html" TargetMode="External" Id="rId56" /><Relationship Type="http://schemas.openxmlformats.org/officeDocument/2006/relationships/hyperlink" Target="https://atlisp.cn/package-info/at-arch-stable.html" TargetMode="External" Id="rId57" /><Relationship Type="http://schemas.openxmlformats.org/officeDocument/2006/relationships/hyperlink" Target="https://bbs.mjtd.com/thread-187720-1-1.html" TargetMode="External" Id="rId58" /><Relationship Type="http://schemas.openxmlformats.org/officeDocument/2006/relationships/hyperlink" Target="https://github.com/biubiup0/MJArea" TargetMode="External" Id="rId59" /><Relationship Type="http://schemas.openxmlformats.org/officeDocument/2006/relationships/hyperlink" Target="https://github.com/WuwuZhang0019/CADTools" TargetMode="External" Id="rId60" /><Relationship Type="http://schemas.openxmlformats.org/officeDocument/2006/relationships/hyperlink" Target="https://bbs.mjtd.com/thread-18366-1-1.html" TargetMode="External" Id="rId61" /><Relationship Type="http://schemas.openxmlformats.org/officeDocument/2006/relationships/hyperlink" Target="https://atlisp.cn/package-info/composing-stable.html" TargetMode="External" Id="rId62" /><Relationship Type="http://schemas.openxmlformats.org/officeDocument/2006/relationships/hyperlink" Target="http://bbs.xdcad.net/thread-726219-1-1.html" TargetMode="External" Id="rId63" /><Relationship Type="http://schemas.openxmlformats.org/officeDocument/2006/relationships/hyperlink" Target="https://bbs.mjtd.com/thread-187029-1-1.html" TargetMode="External" Id="rId64" /><Relationship Type="http://schemas.openxmlformats.org/officeDocument/2006/relationships/hyperlink" Target="https://bbs.mjtd.com/thread-113230-1-1.html" TargetMode="External" Id="rId65" /><Relationship Type="http://schemas.openxmlformats.org/officeDocument/2006/relationships/hyperlink" Target="https://bbs.mjtd.com/thread-192240-1-1.html" TargetMode="External" Id="rId66" /><Relationship Type="http://schemas.openxmlformats.org/officeDocument/2006/relationships/hyperlink" Target="https://bbs.mjtd.com/thread-194298-1-1.html" TargetMode="External" Id="rId67" /><Relationship Type="http://schemas.openxmlformats.org/officeDocument/2006/relationships/hyperlink" Target="https://bbs.mjtd.com/thread-187656-1-1.html" TargetMode="External" Id="rId68" /><Relationship Type="http://schemas.openxmlformats.org/officeDocument/2006/relationships/hyperlink" Target="https://bbs.mjtd.com/thread-191705-1-1.html" TargetMode="External" Id="rId69" /><Relationship Type="http://schemas.openxmlformats.org/officeDocument/2006/relationships/hyperlink" Target="https://bbs.mjtd.com/thread-180794-1-1.html" TargetMode="External" Id="rId70" /><Relationship Type="http://schemas.openxmlformats.org/officeDocument/2006/relationships/hyperlink" Target="https://atlisp.cn/package-info/block-update-stable.html" TargetMode="External" Id="rId71" /><Relationship Type="http://schemas.openxmlformats.org/officeDocument/2006/relationships/hyperlink" Target="https://atlisp.cn/package-info/align-all-stable.html" TargetMode="External" Id="rId72" /><Relationship Type="http://schemas.openxmlformats.org/officeDocument/2006/relationships/hyperlink" Target="https://bbs.mjtd.com/thread-192375-1-1.html" TargetMode="External" Id="rId73" /><Relationship Type="http://schemas.openxmlformats.org/officeDocument/2006/relationships/hyperlink" Target="https://atlisp.cn/package-info/at-text-stable.html" TargetMode="External" Id="rId74" /><Relationship Type="http://schemas.openxmlformats.org/officeDocument/2006/relationships/hyperlink" Target="https://atlisp.cn/package-info/at-math-stable.html" TargetMode="External" Id="rId75" /><Relationship Type="http://schemas.openxmlformats.org/officeDocument/2006/relationships/hyperlink" Target="https://atlisp.cn/package-info/at-text-stable.html" TargetMode="External" Id="rId76" /><Relationship Type="http://schemas.openxmlformats.org/officeDocument/2006/relationships/hyperlink" Target="https://atlisp.cn/package-info/at-text-stable.html" TargetMode="External" Id="rId77" /><Relationship Type="http://schemas.openxmlformats.org/officeDocument/2006/relationships/hyperlink" Target="https://bbs.mjtd.com/thread-175208-1-1.html" TargetMode="External" Id="rId78" /><Relationship Type="http://schemas.openxmlformats.org/officeDocument/2006/relationships/hyperlink" Target="https://bbs.mjtd.com/thread-180675-1-1.html" TargetMode="External" Id="rId79" /><Relationship Type="http://schemas.openxmlformats.org/officeDocument/2006/relationships/hyperlink" Target="https://atlisp.cn/package-info/road-boundary-stable.html" TargetMode="External" Id="rId80" /><Relationship Type="http://schemas.openxmlformats.org/officeDocument/2006/relationships/hyperlink" Target="https://github.com/ixsouler/JK_Toolbox" TargetMode="External" Id="rId81" /><Relationship Type="http://schemas.openxmlformats.org/officeDocument/2006/relationships/hyperlink" Target="https://github.com/zhugecaomao/AutoLISP/blob/main/417155_textinbox.lsp" TargetMode="External" Id="rId82" /><Relationship Type="http://schemas.openxmlformats.org/officeDocument/2006/relationships/hyperlink" Target="https://github.com/y1991427360s/zwcad-autolisp-tools" TargetMode="External" Id="rId83" /><Relationship Type="http://schemas.openxmlformats.org/officeDocument/2006/relationships/hyperlink" Target="https://bbs.mjtd.com/thread-192263-1-1.html" TargetMode="External" Id="rId84" /><Relationship Type="http://schemas.openxmlformats.org/officeDocument/2006/relationships/hyperlink" Target="https://bbs.mjtd.com/thread-187997-1-1.html" TargetMode="External" Id="rId85" /><Relationship Type="http://schemas.openxmlformats.org/officeDocument/2006/relationships/hyperlink" Target="http://bbs.xdcad.net/thread-718751-1-1.html" TargetMode="External" Id="rId86" /><Relationship Type="http://schemas.openxmlformats.org/officeDocument/2006/relationships/hyperlink" Target="https://bbs.mjtd.com/thread-187727-1-1.html" TargetMode="External" Id="rId87" /><Relationship Type="http://schemas.openxmlformats.org/officeDocument/2006/relationships/hyperlink" Target="https://atlisp.cn/package-info/at-math-stable.html" TargetMode="External" Id="rId88" /><Relationship Type="http://schemas.openxmlformats.org/officeDocument/2006/relationships/hyperlink" Target="https://bbs.mjtd.com/thread-180962-1-1.html" TargetMode="External" Id="rId89" /><Relationship Type="http://schemas.openxmlformats.org/officeDocument/2006/relationships/hyperlink" Target="https://bbs.mjtd.com/thread-65119-1-1.html" TargetMode="External" Id="rId90" /><Relationship Type="http://schemas.openxmlformats.org/officeDocument/2006/relationships/hyperlink" Target="https://atlisp.cn/package-info/at-math-stable.html" TargetMode="External" Id="rId91" /><Relationship Type="http://schemas.openxmlformats.org/officeDocument/2006/relationships/hyperlink" Target="https://bbs.mjtd.com/thread-93939-1-1.html" TargetMode="External" Id="rId92" /><Relationship Type="http://schemas.openxmlformats.org/officeDocument/2006/relationships/hyperlink" Target="https://atlisp.cn/package-info/list-rec-wxh-stable.html" TargetMode="External" Id="rId93" /><Relationship Type="http://schemas.openxmlformats.org/officeDocument/2006/relationships/hyperlink" Target="https://atlisp.cn/package-info/at-math-stable.html" TargetMode="External" Id="rId94" /><Relationship Type="http://schemas.openxmlformats.org/officeDocument/2006/relationships/hyperlink" Target="https://bbs.mjtd.com/thread-190564-1-1.html" TargetMode="External" Id="rId95" /><Relationship Type="http://schemas.openxmlformats.org/officeDocument/2006/relationships/hyperlink" Target="https://bbs.mjtd.com/thread-192240-1-1.html" TargetMode="External" Id="rId96" /><Relationship Type="http://schemas.openxmlformats.org/officeDocument/2006/relationships/hyperlink" Target="https://atlisp.cn/package-info/at-select-stable.html" TargetMode="External" Id="rId97" /><Relationship Type="http://schemas.openxmlformats.org/officeDocument/2006/relationships/hyperlink" Target="https://github.com/y1991427360s/zwcad-autolisp-tools" TargetMode="External" Id="rId98" /><Relationship Type="http://schemas.openxmlformats.org/officeDocument/2006/relationships/hyperlink" Target="https://atlisp.cn/package-info/at-curve-stable.html" TargetMode="External" Id="rId99" /><Relationship Type="http://schemas.openxmlformats.org/officeDocument/2006/relationships/hyperlink" Target="https://bbs.mjtd.com/thread-178224-1-1.html" TargetMode="External" Id="rId100" /><Relationship Type="http://schemas.openxmlformats.org/officeDocument/2006/relationships/hyperlink" Target="https://atlisp.cn/package-info/at-text-stable.html" TargetMode="External" Id="rId101" /><Relationship Type="http://schemas.openxmlformats.org/officeDocument/2006/relationships/hyperlink" Target="https://atlisp.cn/package-info/at-structure-stable.html" TargetMode="External" Id="rId102" /><Relationship Type="http://schemas.openxmlformats.org/officeDocument/2006/relationships/hyperlink" Target="http://bbs.xdcad.net/thread-670551-1-1.html" TargetMode="External" Id="rId103" /><Relationship Type="http://schemas.openxmlformats.org/officeDocument/2006/relationships/hyperlink" Target="https://bbs.mjtd.com/thread-172168-1-1.html" TargetMode="External" Id="rId104" /><Relationship Type="http://schemas.openxmlformats.org/officeDocument/2006/relationships/hyperlink" Target="https://bbs.mjtd.com/thread-178210-1-1.html" TargetMode="External" Id="rId105" /><Relationship Type="http://schemas.openxmlformats.org/officeDocument/2006/relationships/hyperlink" Target="https://bbs.mjtd.com/thread-79004-1-1.html" TargetMode="External" Id="rId106" /><Relationship Type="http://schemas.openxmlformats.org/officeDocument/2006/relationships/hyperlink" Target="https://atlisp.cn/package-info/at-text-stable.html" TargetMode="External" Id="rId107" /><Relationship Type="http://schemas.openxmlformats.org/officeDocument/2006/relationships/hyperlink" Target="https://atlisp.cn/package-info/at-curve-stable.html" TargetMode="External" Id="rId108" /><Relationship Type="http://schemas.openxmlformats.org/officeDocument/2006/relationships/hyperlink" Target="https://bbs.mjtd.com/thread-194346-1-1.html" TargetMode="External" Id="rId109" /><Relationship Type="http://schemas.openxmlformats.org/officeDocument/2006/relationships/hyperlink" Target="http://bbs.xdcad.net/thread-717687-1-1.html" TargetMode="External" Id="rId110" /><Relationship Type="http://schemas.openxmlformats.org/officeDocument/2006/relationships/hyperlink" Target="http://bbs.xdcad.net/thread-725792-1-1.html" TargetMode="External" Id="rId111" /><Relationship Type="http://schemas.openxmlformats.org/officeDocument/2006/relationships/hyperlink" Target="https://bbs.mjtd.com/thread-192131-1-1.html" TargetMode="External" Id="rId112" /><Relationship Type="http://schemas.openxmlformats.org/officeDocument/2006/relationships/hyperlink" Target="https://atlisp.cn/package-info/at-select-stable.html" TargetMode="External" Id="rId113" /><Relationship Type="http://schemas.openxmlformats.org/officeDocument/2006/relationships/hyperlink" Target="http://bbs.xdcad.net/thread-718893-1-1.html" TargetMode="External" Id="rId114" /><Relationship Type="http://schemas.openxmlformats.org/officeDocument/2006/relationships/hyperlink" Target="https://github.com/biubiup0/MJArea" TargetMode="External" Id="rId115" /><Relationship Type="http://schemas.openxmlformats.org/officeDocument/2006/relationships/hyperlink" Target="https://github.com/shuixzy/DB_CAD_Tools" TargetMode="External" Id="rId116" /><Relationship Type="http://schemas.openxmlformats.org/officeDocument/2006/relationships/hyperlink" Target="https://github.com/y1991427360s/zwcad-autolisp-tools" TargetMode="External" Id="rId117" /><Relationship Type="http://schemas.openxmlformats.org/officeDocument/2006/relationships/hyperlink" Target="https://github.com/y1991427360s/zwcad-autolisp-tools" TargetMode="External" Id="rId118" /><Relationship Type="http://schemas.openxmlformats.org/officeDocument/2006/relationships/hyperlink" Target="https://atlisp.cn/package-info/at-curve-stable.html" TargetMode="External" Id="rId119" /><Relationship Type="http://schemas.openxmlformats.org/officeDocument/2006/relationships/hyperlink" Target="https://atlisp.cn/package-info/at-hvac-stable.html" TargetMode="External" Id="rId120" /><Relationship Type="http://schemas.openxmlformats.org/officeDocument/2006/relationships/hyperlink" Target="https://bbs.mjtd.com/thread-180418-1-1.html" TargetMode="External" Id="rId121" /><Relationship Type="http://schemas.openxmlformats.org/officeDocument/2006/relationships/hyperlink" Target="https://atlisp.cn/package-info/dyn-array-stable.html" TargetMode="External" Id="rId122" /><Relationship Type="http://schemas.openxmlformats.org/officeDocument/2006/relationships/hyperlink" Target="https://bbs.mjtd.com/thread-98143-1-1.html" TargetMode="External" Id="rId123" /><Relationship Type="http://schemas.openxmlformats.org/officeDocument/2006/relationships/hyperlink" Target="https://bbs.mjtd.com/thread-100459-1-1.html" TargetMode="External" Id="rId124" /><Relationship Type="http://schemas.openxmlformats.org/officeDocument/2006/relationships/hyperlink" Target="https://atlisp.cn/package-info/at-text-stable.html" TargetMode="External" Id="rId125" /><Relationship Type="http://schemas.openxmlformats.org/officeDocument/2006/relationships/hyperlink" Target="https://bbs.mjtd.com/thread-180224-1-1.html" TargetMode="External" Id="rId126" /><Relationship Type="http://schemas.openxmlformats.org/officeDocument/2006/relationships/hyperlink" Target="http://bbs.xdcad.net/thread-671162-1-1.html" TargetMode="External" Id="rId127" /><Relationship Type="http://schemas.openxmlformats.org/officeDocument/2006/relationships/hyperlink" Target="https://atlisp.cn/package-info/at-curve-stable.html" TargetMode="External" Id="rId128" /><Relationship Type="http://schemas.openxmlformats.org/officeDocument/2006/relationships/hyperlink" Target="https://atlisp.cn/package-info/at-math-stable.html" TargetMode="External" Id="rId129" /><Relationship Type="http://schemas.openxmlformats.org/officeDocument/2006/relationships/hyperlink" Target="https://www.cadzxw.com/special/yqsjcadjc" TargetMode="External" Id="rId130" /><Relationship Type="http://schemas.openxmlformats.org/officeDocument/2006/relationships/hyperlink" Target="https://atlisp.cn/package-info/at-cnc-stable.html" TargetMode="External" Id="rId131" /><Relationship Type="http://schemas.openxmlformats.org/officeDocument/2006/relationships/hyperlink" Target="https://github.com/zhugecaomao/AutoLISP/blob/main/ch3-%E5%8A%A0%E5%87%8F%E5%89%8D%E5%90%8E%E7%BC%80.lsp" TargetMode="External" Id="rId132" /><Relationship Type="http://schemas.openxmlformats.org/officeDocument/2006/relationships/hyperlink" Target="https://github.com/OnRoadZy/DrawRoadProfile" TargetMode="External" Id="rId133" /><Relationship Type="http://schemas.openxmlformats.org/officeDocument/2006/relationships/hyperlink" Target="https://github.com/zhugecaomao/AutoLISP/blob/main/ft-%E8%87%AA%E5%8A%A8%E4%BF%AE%E6%94%B9%E5%AD%97%E4%BD%93.LSP" TargetMode="External" Id="rId134" /><Relationship Type="http://schemas.openxmlformats.org/officeDocument/2006/relationships/hyperlink" Target="https://github.com/zhugecaomao/AutoLISP/blob/main/jia1-%E6%B1%82%E5%92%8C.lsp" TargetMode="External" Id="rId135" /><Relationship Type="http://schemas.openxmlformats.org/officeDocument/2006/relationships/hyperlink" Target="https://github.com/za5132-web/QuickCircleNumber" TargetMode="External" Id="rId136" /><Relationship Type="http://schemas.openxmlformats.org/officeDocument/2006/relationships/hyperlink" Target="https://bbs.mjtd.com/thread-99008-1-1.html" TargetMode="External" Id="rId137" /><Relationship Type="http://schemas.openxmlformats.org/officeDocument/2006/relationships/hyperlink" Target="https://github.com/y1991427360s/zwcad-autolisp-tools" TargetMode="External" Id="rId138" /><Relationship Type="http://schemas.openxmlformats.org/officeDocument/2006/relationships/hyperlink" Target="https://bbs.mjtd.com/thread-170197-1-1.html" TargetMode="External" Id="rId139" /><Relationship Type="http://schemas.openxmlformats.org/officeDocument/2006/relationships/hyperlink" Target="http://bbs.xdcad.net/thread-704385-1-1.html" TargetMode="External" Id="rId140" /><Relationship Type="http://schemas.openxmlformats.org/officeDocument/2006/relationships/hyperlink" Target="https://bbs.mjtd.com/thread-32200-1-1.html" TargetMode="External" Id="rId141" /><Relationship Type="http://schemas.openxmlformats.org/officeDocument/2006/relationships/hyperlink" Target="http://bbs.xdcad.net/thread-719619-1-1.html" TargetMode="External" Id="rId142" /><Relationship Type="http://schemas.openxmlformats.org/officeDocument/2006/relationships/hyperlink" Target="https://atlisp.cn/package-info/at-hvac-stable.html" TargetMode="External" Id="rId143" /><Relationship Type="http://schemas.openxmlformats.org/officeDocument/2006/relationships/hyperlink" Target="https://atlisp.cn/package-info/at-text-stable.html" TargetMode="External" Id="rId144" /><Relationship Type="http://schemas.openxmlformats.org/officeDocument/2006/relationships/hyperlink" Target="https://bbs.mjtd.com/thread-91607-1-1.html" TargetMode="External" Id="rId145" /><Relationship Type="http://schemas.openxmlformats.org/officeDocument/2006/relationships/hyperlink" Target="http://bbs.xdcad.net/thread-671177-1-1.html" TargetMode="External" Id="rId146" /><Relationship Type="http://schemas.openxmlformats.org/officeDocument/2006/relationships/hyperlink" Target="https://atlisp.cn/package-info/at-curve-stable.html" TargetMode="External" Id="rId147" /><Relationship Type="http://schemas.openxmlformats.org/officeDocument/2006/relationships/hyperlink" Target="https://atlisp.cn/package-info/easy-sel-stable.html" TargetMode="External" Id="rId148" /><Relationship Type="http://schemas.openxmlformats.org/officeDocument/2006/relationships/hyperlink" Target="https://bbs.mjtd.com/thread-179049-1-1.html" TargetMode="External" Id="rId149" /><Relationship Type="http://schemas.openxmlformats.org/officeDocument/2006/relationships/hyperlink" Target="https://bbs.mjtd.com/thread-82321-1-1.html" TargetMode="External" Id="rId150" /><Relationship Type="http://schemas.openxmlformats.org/officeDocument/2006/relationships/hyperlink" Target="https://atlisp.cn/package-info/for-ffsj-stable.html" TargetMode="External" Id="rId151" /><Relationship Type="http://schemas.openxmlformats.org/officeDocument/2006/relationships/hyperlink" Target="https://atlisp.cn/package-info/kml2dxf-stable.html" TargetMode="External" Id="rId152" /><Relationship Type="http://schemas.openxmlformats.org/officeDocument/2006/relationships/hyperlink" Target="https://bbs.mjtd.com/thread-70702-1-1.html" TargetMode="External" Id="rId153" /><Relationship Type="http://schemas.openxmlformats.org/officeDocument/2006/relationships/hyperlink" Target="https://github.com/y1991427360s/zwcad-autolisp-tools" TargetMode="External" Id="rId154" /><Relationship Type="http://schemas.openxmlformats.org/officeDocument/2006/relationships/hyperlink" Target="https://github.com/y1991427360s/zwcad-autolisp-tools" TargetMode="External" Id="rId155" /><Relationship Type="http://schemas.openxmlformats.org/officeDocument/2006/relationships/hyperlink" Target="https://github.com/WuwuZhang0019/CADTools" TargetMode="External" Id="rId156" /><Relationship Type="http://schemas.openxmlformats.org/officeDocument/2006/relationships/hyperlink" Target="https://atlisp.cn/package-info/dyn-array2-stable.html" TargetMode="External" Id="rId157" /><Relationship Type="http://schemas.openxmlformats.org/officeDocument/2006/relationships/hyperlink" Target="https://bbs.mjtd.com/thread-53204-1-1.html" TargetMode="External" Id="rId158" /><Relationship Type="http://schemas.openxmlformats.org/officeDocument/2006/relationships/hyperlink" Target="https://bbs.mjtd.com/thread-189190-1-1.html" TargetMode="External" Id="rId159" /><Relationship Type="http://schemas.openxmlformats.org/officeDocument/2006/relationships/hyperlink" Target="https://bbs.mjtd.com/thread-15283-1-1.html" TargetMode="External" Id="rId160" /><Relationship Type="http://schemas.openxmlformats.org/officeDocument/2006/relationships/hyperlink" Target="https://bbs.mjtd.com/thread-100487-1-1.html" TargetMode="External" Id="rId161" /><Relationship Type="http://schemas.openxmlformats.org/officeDocument/2006/relationships/hyperlink" Target="https://github.com/open920920-spec/-SpatialInformation" TargetMode="External" Id="rId162" /><Relationship Type="http://schemas.openxmlformats.org/officeDocument/2006/relationships/hyperlink" Target="https://bbs.mjtd.com/thread-190406-1-1.html" TargetMode="External" Id="rId163" /><Relationship Type="http://schemas.openxmlformats.org/officeDocument/2006/relationships/hyperlink" Target="https://atlisp.cn/package-info/at-block-stable.html" TargetMode="External" Id="rId164" /><Relationship Type="http://schemas.openxmlformats.org/officeDocument/2006/relationships/hyperlink" Target="https://atlisp.cn/package-info/at-text-stable.html" TargetMode="External" Id="rId165" /><Relationship Type="http://schemas.openxmlformats.org/officeDocument/2006/relationships/hyperlink" Target="https://github.com/zhugecaomao/AutoLISP/blob/main/%E6%A8%A1%E7%B3%8A%E8%B7%9D%E7%A6%BB%E5%90%88%E5%B9%B6%E6%96%87%E5%AD%97.LSP" TargetMode="External" Id="rId166" /><Relationship Type="http://schemas.openxmlformats.org/officeDocument/2006/relationships/hyperlink" Target="https://www.cadzxw.com/special/yqsjcadjc" TargetMode="External" Id="rId167" /><Relationship Type="http://schemas.openxmlformats.org/officeDocument/2006/relationships/hyperlink" Target="https://atlisp.cn/package-info/at-number-stable.html" TargetMode="External" Id="rId168" /><Relationship Type="http://schemas.openxmlformats.org/officeDocument/2006/relationships/hyperlink" Target="https://atlisp.cn/package-info/at-nlp-stable.html" TargetMode="External" Id="rId169" /><Relationship Type="http://schemas.openxmlformats.org/officeDocument/2006/relationships/hyperlink" Target="https://atlisp.cn/package-info/at-planning-stable.html" TargetMode="External" Id="rId170" /><Relationship Type="http://schemas.openxmlformats.org/officeDocument/2006/relationships/hyperlink" Target="https://bbs.mjtd.com/thread-177765-1-1.html" TargetMode="External" Id="rId171" /><Relationship Type="http://schemas.openxmlformats.org/officeDocument/2006/relationships/hyperlink" Target="https://bbs.mjtd.com/thread-11799-1-1.html" TargetMode="External" Id="rId172" /><Relationship Type="http://schemas.openxmlformats.org/officeDocument/2006/relationships/hyperlink" Target="https://atlisp.cn/package-info/at-select-stable.html" TargetMode="External" Id="rId173" /><Relationship Type="http://schemas.openxmlformats.org/officeDocument/2006/relationships/hyperlink" Target="http://bbs.xdcad.net/thread-704593-1-1.html" TargetMode="External" Id="rId174" /><Relationship Type="http://schemas.openxmlformats.org/officeDocument/2006/relationships/hyperlink" Target="https://bbs.mjtd.com/forum-45-1.html" TargetMode="External" Id="rId175" /><Relationship Type="http://schemas.openxmlformats.org/officeDocument/2006/relationships/hyperlink" Target="https://github.com/zhugecaomao/AutoLISP/blob/main/bb-%E5%9B%BE%E7%BA%B8%E5%88%86%E5%B9%85.lsp" TargetMode="External" Id="rId176" /><Relationship Type="http://schemas.openxmlformats.org/officeDocument/2006/relationships/hyperlink" Target="https://bbs.mjtd.com/thread-112984-1-1.html" TargetMode="External" Id="rId177" /><Relationship Type="http://schemas.openxmlformats.org/officeDocument/2006/relationships/hyperlink" Target="https://github.com/y1991427360s/zwcad-autolisp-tools" TargetMode="External" Id="rId178" /><Relationship Type="http://schemas.openxmlformats.org/officeDocument/2006/relationships/hyperlink" Target="http://bbs.xdcad.net/thread-719868-1-1.html" TargetMode="External" Id="rId179" /><Relationship Type="http://schemas.openxmlformats.org/officeDocument/2006/relationships/hyperlink" Target="https://bbs.mjtd.com/thread-192284-1-1.html" TargetMode="External" Id="rId180" /><Relationship Type="http://schemas.openxmlformats.org/officeDocument/2006/relationships/hyperlink" Target="https://atlisp.cn/package-info/at-arch-stable.html" TargetMode="External" Id="rId181" /><Relationship Type="http://schemas.openxmlformats.org/officeDocument/2006/relationships/hyperlink" Target="https://bbs.mjtd.com/thread-194347-1-1.html" TargetMode="External" Id="rId182" /><Relationship Type="http://schemas.openxmlformats.org/officeDocument/2006/relationships/hyperlink" Target="http://bbs.xdcad.net/thread-725117-1-1.html" TargetMode="External" Id="rId183" /><Relationship Type="http://schemas.openxmlformats.org/officeDocument/2006/relationships/hyperlink" Target="https://atlisp.cn/package-info/at-dim-stable.html" TargetMode="External" Id="rId184" /><Relationship Type="http://schemas.openxmlformats.org/officeDocument/2006/relationships/hyperlink" Target="https://atlisp.cn/package-info/at-text-stable.html" TargetMode="External" Id="rId185" /><Relationship Type="http://schemas.openxmlformats.org/officeDocument/2006/relationships/hyperlink" Target="https://atlisp.cn/package-info/at-block-stable.html" TargetMode="External" Id="rId186" /><Relationship Type="http://schemas.openxmlformats.org/officeDocument/2006/relationships/hyperlink" Target="https://bbs.mjtd.com/thread-178256-1-1.html" TargetMode="External" Id="rId187" /><Relationship Type="http://schemas.openxmlformats.org/officeDocument/2006/relationships/hyperlink" Target="https://atlisp.cn/package-info/at-structure-stable.html" TargetMode="External" Id="rId188" /><Relationship Type="http://schemas.openxmlformats.org/officeDocument/2006/relationships/hyperlink" Target="https://bbs.mjtd.com/thread-168876-1-1.html" TargetMode="External" Id="rId189" /><Relationship Type="http://schemas.openxmlformats.org/officeDocument/2006/relationships/hyperlink" Target="https://bbs.mjtd.com/thread-191494-1-1.html" TargetMode="External" Id="rId190" /><Relationship Type="http://schemas.openxmlformats.org/officeDocument/2006/relationships/hyperlink" Target="https://bbs.mjtd.com/thread-89870-1-1.html" TargetMode="External" Id="rId191" /><Relationship Type="http://schemas.openxmlformats.org/officeDocument/2006/relationships/hyperlink" Target="https://github.com/jianpf/autolisp" TargetMode="External" Id="rId192" /><Relationship Type="http://schemas.openxmlformats.org/officeDocument/2006/relationships/hyperlink" Target="https://github.com/ixsouler/JK_Toolbox" TargetMode="External" Id="rId193" /><Relationship Type="http://schemas.openxmlformats.org/officeDocument/2006/relationships/hyperlink" Target="https://bbs.mjtd.com/thread-189250-1-1.html" TargetMode="External" Id="rId194" /><Relationship Type="http://schemas.openxmlformats.org/officeDocument/2006/relationships/hyperlink" Target="https://atlisp.cn/package-info/pdftk-stable.html" TargetMode="External" Id="rId195" /><Relationship Type="http://schemas.openxmlformats.org/officeDocument/2006/relationships/hyperlink" Target="https://atlisp.cn/package-info/qrencode-stable.html" TargetMode="External" Id="rId196" /><Relationship Type="http://schemas.openxmlformats.org/officeDocument/2006/relationships/hyperlink" Target="https://github.com/sschiplee/RuiCAD" TargetMode="External" Id="rId197" /><Relationship Type="http://schemas.openxmlformats.org/officeDocument/2006/relationships/hyperlink" Target="https://github.com/y1991427360s/zwcad-autolisp-tools" TargetMode="External" Id="rId198" /><Relationship Type="http://schemas.openxmlformats.org/officeDocument/2006/relationships/hyperlink" Target="https://github.com/y1991427360s/zwcad-autolisp-tools" TargetMode="External" Id="rId199" /><Relationship Type="http://schemas.openxmlformats.org/officeDocument/2006/relationships/hyperlink" Target="https://bbs.mjtd.com/thread-186450-1-1.html" TargetMode="External" Id="rId200" /><Relationship Type="http://schemas.openxmlformats.org/officeDocument/2006/relationships/hyperlink" Target="https://atlisp.cn/package-info/at-block-stable.html" TargetMode="External" Id="rId201" /><Relationship Type="http://schemas.openxmlformats.org/officeDocument/2006/relationships/hyperlink" Target="https://bbs.mjtd.com/thread-185419-1-1.html" TargetMode="External" Id="rId202" /><Relationship Type="http://schemas.openxmlformats.org/officeDocument/2006/relationships/hyperlink" Target="https://atlisp.cn/package-info/at-curve-stable.html" TargetMode="External" Id="rId203" /><Relationship Type="http://schemas.openxmlformats.org/officeDocument/2006/relationships/hyperlink" Target="https://atlisp.cn/package-info/at-block-stable.html" TargetMode="External" Id="rId204" /><Relationship Type="http://schemas.openxmlformats.org/officeDocument/2006/relationships/hyperlink" Target="https://bbs.mjtd.com/thread-187150-1-1.html" TargetMode="External" Id="rId205" /><Relationship Type="http://schemas.openxmlformats.org/officeDocument/2006/relationships/hyperlink" Target="https://bbs.mjtd.com/thread-189520-1-1.html" TargetMode="External" Id="rId206" /><Relationship Type="http://schemas.openxmlformats.org/officeDocument/2006/relationships/hyperlink" Target="https://atlisp.cn/package-info/at-session-stable.html" TargetMode="External" Id="rId207" /><Relationship Type="http://schemas.openxmlformats.org/officeDocument/2006/relationships/hyperlink" Target="https://atlisp.cn/package-info/dimlength-stable.html" TargetMode="External" Id="rId208" /><Relationship Type="http://schemas.openxmlformats.org/officeDocument/2006/relationships/hyperlink" Target="https://atlisp.cn/package-info/at-block-stable.html" TargetMode="External" Id="rId209" /><Relationship Type="http://schemas.openxmlformats.org/officeDocument/2006/relationships/hyperlink" Target="https://atlisp.cn/package-info/batchstyle-stable.html" TargetMode="External" Id="rId210" /><Relationship Type="http://schemas.openxmlformats.org/officeDocument/2006/relationships/hyperlink" Target="https://atlisp.cn/package-info/at-text-stable.html" TargetMode="External" Id="rId211" /><Relationship Type="http://schemas.openxmlformats.org/officeDocument/2006/relationships/hyperlink" Target="https://atlisp.cn/package-info/at-curve-stable.html" TargetMode="External" Id="rId212" /><Relationship Type="http://schemas.openxmlformats.org/officeDocument/2006/relationships/hyperlink" Target="https://www.cadzxw.com/special/yqsjcadjc" TargetMode="External" Id="rId213" /><Relationship Type="http://schemas.openxmlformats.org/officeDocument/2006/relationships/hyperlink" Target="https://bbs.mjtd.com/thread-188515-1-1.html" TargetMode="External" Id="rId214" /><Relationship Type="http://schemas.openxmlformats.org/officeDocument/2006/relationships/hyperlink" Target="https://atlisp.cn/package-info/at-select-stable.html" TargetMode="External" Id="rId215" /><Relationship Type="http://schemas.openxmlformats.org/officeDocument/2006/relationships/hyperlink" Target="https://bbs.mjtd.com/thread-179722-1-1.html" TargetMode="External" Id="rId216" /><Relationship Type="http://schemas.openxmlformats.org/officeDocument/2006/relationships/hyperlink" Target="https://bbs.mjtd.com/thread-61313-1-1.html" TargetMode="External" Id="rId217" /><Relationship Type="http://schemas.openxmlformats.org/officeDocument/2006/relationships/hyperlink" Target="https://github.com/zhugecaomao/AutoLISP/blob/main/GSPM1-%E7%BB%98%E7%BB%99%E6%B0%B4%E7%BA%B5%E6%96%AD%E9%9D%A2%E5%9B%BE.LSP" TargetMode="External" Id="rId218" /><Relationship Type="http://schemas.openxmlformats.org/officeDocument/2006/relationships/hyperlink" Target="https://github.com/zhugecaomao/AutoLISP/blob/main/PSPM1-%E7%BB%98%E6%8E%92%E6%B0%B4%E7%BA%B5%E6%96%AD%E9%9D%A2%E5%9B%BE.LSP" TargetMode="External" Id="rId219" /><Relationship Type="http://schemas.openxmlformats.org/officeDocument/2006/relationships/hyperlink" Target="http://bbs.xdcad.net/thread-704484-1-1.html" TargetMode="External" Id="rId220" /><Relationship Type="http://schemas.openxmlformats.org/officeDocument/2006/relationships/hyperlink" Target="https://github.com/sschiplee/RuiCAD" TargetMode="External" Id="rId221" /><Relationship Type="http://schemas.openxmlformats.org/officeDocument/2006/relationships/hyperlink" Target="https://github.com/sschiplee/RuiCAD" TargetMode="External" Id="rId222" /><Relationship Type="http://schemas.openxmlformats.org/officeDocument/2006/relationships/hyperlink" Target="https://github.com/shuixzy/DB_CAD_Tools" TargetMode="External" Id="rId223" /><Relationship Type="http://schemas.openxmlformats.org/officeDocument/2006/relationships/hyperlink" Target="https://atlisp.cn/package-info/road-cross-stable.html" TargetMode="External" Id="rId224" /><Relationship Type="http://schemas.openxmlformats.org/officeDocument/2006/relationships/hyperlink" Target="https://atlisp.cn/package-info/at-block-stable.html" TargetMode="External" Id="rId225" /><Relationship Type="http://schemas.openxmlformats.org/officeDocument/2006/relationships/hyperlink" Target="https://bbs.mjtd.com/thread-186651-1-1.html" TargetMode="External" Id="rId226" /><Relationship Type="http://schemas.openxmlformats.org/officeDocument/2006/relationships/hyperlink" Target="https://atlisp.cn/package-info/at-text-stable.html" TargetMode="External" Id="rId227" /><Relationship Type="http://schemas.openxmlformats.org/officeDocument/2006/relationships/hyperlink" Target="https://atlisp.cn/package-info/at-block-stable.html" TargetMode="External" Id="rId228" /><Relationship Type="http://schemas.openxmlformats.org/officeDocument/2006/relationships/hyperlink" Target="https://atlisp.cn/package-info/at-curve-stable.html" TargetMode="External" Id="rId229" /><Relationship Type="http://schemas.openxmlformats.org/officeDocument/2006/relationships/hyperlink" Target="https://bbs.mjtd.com/thread-187567-1-1.html" TargetMode="External" Id="rId230" /><Relationship Type="http://schemas.openxmlformats.org/officeDocument/2006/relationships/hyperlink" Target="https://atlisp.cn/package-info/at-arch-stable.html" TargetMode="External" Id="rId231" /><Relationship Type="http://schemas.openxmlformats.org/officeDocument/2006/relationships/hyperlink" Target="https://atlisp.cn/package-info/at-select-stable.html" TargetMode="External" Id="rId232" /><Relationship Type="http://schemas.openxmlformats.org/officeDocument/2006/relationships/hyperlink" Target="https://atlisp.cn/package-info/route-of-hole2shape-stable.html" TargetMode="External" Id="rId233" /><Relationship Type="http://schemas.openxmlformats.org/officeDocument/2006/relationships/hyperlink" Target="https://atlisp.cn/package-info/at-math-stable.html" TargetMode="External" Id="rId234" /><Relationship Type="http://schemas.openxmlformats.org/officeDocument/2006/relationships/hyperlink" Target="https://github.com/wjnnan/03-AutoCAD-lis" TargetMode="External" Id="rId235" /><Relationship Type="http://schemas.openxmlformats.org/officeDocument/2006/relationships/hyperlink" Target="https://github.com/ceciliading23-art/ChemSymbolSearch-AutoCAD" TargetMode="External" Id="rId236" /><Relationship Type="http://schemas.openxmlformats.org/officeDocument/2006/relationships/hyperlink" Target="https://github.com/sschiplee/RuiCAD" TargetMode="External" Id="rId237" /><Relationship Type="http://schemas.openxmlformats.org/officeDocument/2006/relationships/hyperlink" Target="https://github.com/zhugecaomao/AutoLISP" TargetMode="External" Id="rId238" /><Relationship Type="http://schemas.openxmlformats.org/officeDocument/2006/relationships/hyperlink" Target="https://github.com/y1991427360s/zwcad-autolisp-tools" TargetMode="External" Id="rId239" /><Relationship Type="http://schemas.openxmlformats.org/officeDocument/2006/relationships/hyperlink" Target="https://github.com/y1991427360s/zwcad-autolisp-tools" TargetMode="External" Id="rId240" /><Relationship Type="http://schemas.openxmlformats.org/officeDocument/2006/relationships/hyperlink" Target="http://bbs.xdcad.net/thread-703902-1-1.html" TargetMode="External" Id="rId241" /><Relationship Type="http://schemas.openxmlformats.org/officeDocument/2006/relationships/hyperlink" Target="https://atlisp.cn/package-info/split-pline-stable.html" TargetMode="External" Id="rId242" /><Relationship Type="http://schemas.openxmlformats.org/officeDocument/2006/relationships/hyperlink" Target="http://bbs.xdcad.net/thread-675766-1-1.html" TargetMode="External" Id="rId243" /><Relationship Type="http://schemas.openxmlformats.org/officeDocument/2006/relationships/hyperlink" Target="https://atlisp.cn/package-info/quadrilateral-stable.html" TargetMode="External" Id="rId244" /><Relationship Type="http://schemas.openxmlformats.org/officeDocument/2006/relationships/hyperlink" Target="https://bbs.mjtd.com/thread-194342-1-1.html" TargetMode="External" Id="rId245" /><Relationship Type="http://schemas.openxmlformats.org/officeDocument/2006/relationships/hyperlink" Target="https://atlisp.cn/package-info/at-math-stable.html" TargetMode="External" Id="rId246" /><Relationship Type="http://schemas.openxmlformats.org/officeDocument/2006/relationships/hyperlink" Target="https://atlisp.cn/package-info/at-stat-stable.html" TargetMode="External" Id="rId247" /><Relationship Type="http://schemas.openxmlformats.org/officeDocument/2006/relationships/hyperlink" Target="https://bbs.mjtd.com/thread-188132-1-1.html" TargetMode="External" Id="rId248" /><Relationship Type="http://schemas.openxmlformats.org/officeDocument/2006/relationships/hyperlink" Target="https://www.cadzxw.com/special/yqsjcadjc" TargetMode="External" Id="rId249" /><Relationship Type="http://schemas.openxmlformats.org/officeDocument/2006/relationships/hyperlink" Target="https://www.cadzxw.com/special/yqsjcadjc" TargetMode="External" Id="rId250" /><Relationship Type="http://schemas.openxmlformats.org/officeDocument/2006/relationships/hyperlink" Target="http://bbs.xdcad.net/thread-717043-1-1.html" TargetMode="External" Id="rId251" /><Relationship Type="http://schemas.openxmlformats.org/officeDocument/2006/relationships/hyperlink" Target="https://bbs.mjtd.com/thread-180788-1-1.html" TargetMode="External" Id="rId252" /><Relationship Type="http://schemas.openxmlformats.org/officeDocument/2006/relationships/hyperlink" Target="https://bbs.mjtd.com/thread-179114-1-1.html" TargetMode="External" Id="rId253" /><Relationship Type="http://schemas.openxmlformats.org/officeDocument/2006/relationships/hyperlink" Target="http://bbs.xdcad.net/thread-725300-1-1.html" TargetMode="External" Id="rId254" /><Relationship Type="http://schemas.openxmlformats.org/officeDocument/2006/relationships/hyperlink" Target="https://bbs.mjtd.com/thread-176051-1-1.html" TargetMode="External" Id="rId255" /><Relationship Type="http://schemas.openxmlformats.org/officeDocument/2006/relationships/hyperlink" Target="https://atlisp.cn/package-info/boundary-stable.html" TargetMode="External" Id="rId256" /><Relationship Type="http://schemas.openxmlformats.org/officeDocument/2006/relationships/hyperlink" Target="https://atlisp.cn/package-info/anti-virus-stable.html" TargetMode="External" Id="rId257" /><Relationship Type="http://schemas.openxmlformats.org/officeDocument/2006/relationships/hyperlink" Target="https://github.com/zhugecaomao/AutoLISP/blob/main/423333_cv.lsp" TargetMode="External" Id="rId258" /><Relationship Type="http://schemas.openxmlformats.org/officeDocument/2006/relationships/hyperlink" Target="https://github.com/ixsouler/JK_Toolbox" TargetMode="External" Id="rId259" /><Relationship Type="http://schemas.openxmlformats.org/officeDocument/2006/relationships/hyperlink" Target="https://bbs.mjtd.com/thread-184635-1-1.html" TargetMode="External" Id="rId260" /><Relationship Type="http://schemas.openxmlformats.org/officeDocument/2006/relationships/hyperlink" Target="https://bbs.mjtd.com/thread-193630-1-1.html" TargetMode="External" Id="rId261" /><Relationship Type="http://schemas.openxmlformats.org/officeDocument/2006/relationships/hyperlink" Target="https://github.com/y1991427360s/zwcad-autolisp-tools" TargetMode="External" Id="rId262" /><Relationship Type="http://schemas.openxmlformats.org/officeDocument/2006/relationships/hyperlink" Target="https://github.com/y1991427360s/zwcad-autolisp-tools" TargetMode="External" Id="rId263" /><Relationship Type="http://schemas.openxmlformats.org/officeDocument/2006/relationships/hyperlink" Target="https://bbs.mjtd.com/thread-112778-1-1.html" TargetMode="External" Id="rId264" /><Relationship Type="http://schemas.openxmlformats.org/officeDocument/2006/relationships/hyperlink" Target="https://bbs.mjtd.com/thread-179685-1-1.html" TargetMode="External" Id="rId265" /><Relationship Type="http://schemas.openxmlformats.org/officeDocument/2006/relationships/hyperlink" Target="http://bbs.xdcad.net/thread-719587-1-1.html" TargetMode="External" Id="rId266" /><Relationship Type="http://schemas.openxmlformats.org/officeDocument/2006/relationships/hyperlink" Target="http://bbs.xdcad.net/thread-726601-1-1.html" TargetMode="External" Id="rId267" /><Relationship Type="http://schemas.openxmlformats.org/officeDocument/2006/relationships/hyperlink" Target="https://atlisp.cn/package-info/at-stat-stable.html" TargetMode="External" Id="rId268" /><Relationship Type="http://schemas.openxmlformats.org/officeDocument/2006/relationships/hyperlink" Target="https://bbs.mjtd.com/thread-188000-1-1.html" TargetMode="External" Id="rId269" /><Relationship Type="http://schemas.openxmlformats.org/officeDocument/2006/relationships/hyperlink" Target="https://atlisp.cn/package-info/align-array-stable.html" TargetMode="External" Id="rId270" /><Relationship Type="http://schemas.openxmlformats.org/officeDocument/2006/relationships/hyperlink" Target="https://atlisp.cn/package-info/at-block-stable.html" TargetMode="External" Id="rId271" /><Relationship Type="http://schemas.openxmlformats.org/officeDocument/2006/relationships/hyperlink" Target="https://bbs.mjtd.com/thread-188435-1-1.html" TargetMode="External" Id="rId272" /><Relationship Type="http://schemas.openxmlformats.org/officeDocument/2006/relationships/hyperlink" Target="https://bbs.mjtd.com/thread-93655-1-1.html" TargetMode="External" Id="rId273" /><Relationship Type="http://schemas.openxmlformats.org/officeDocument/2006/relationships/hyperlink" Target="https://bbs.mjtd.com/thread-101084-1-1.html" TargetMode="External" Id="rId274" /><Relationship Type="http://schemas.openxmlformats.org/officeDocument/2006/relationships/hyperlink" Target="https://atlisp.cn/package-info/prefabricated-building-stable.html" TargetMode="External" Id="rId275" /><Relationship Type="http://schemas.openxmlformats.org/officeDocument/2006/relationships/hyperlink" Target="https://atlisp.cn/package-info/at-dim-stable.html" TargetMode="External" Id="rId276" /><Relationship Type="http://schemas.openxmlformats.org/officeDocument/2006/relationships/hyperlink" Target="https://atlisp.cn/package-info/at-arch-stable.html" TargetMode="External" Id="rId277" /><Relationship Type="http://schemas.openxmlformats.org/officeDocument/2006/relationships/hyperlink" Target="https://bbs.mjtd.com/thread-84340-1-1.html" TargetMode="External" Id="rId278" /><Relationship Type="http://schemas.openxmlformats.org/officeDocument/2006/relationships/hyperlink" Target="https://github.com/zhugecaomao/AutoLISP/blob/main/ct-%E5%86%99%E5%B8%A6%E5%9C%86%E5%9C%88%E6%95%B0%E5%AD%97.lsp" TargetMode="External" Id="rId279" /><Relationship Type="http://schemas.openxmlformats.org/officeDocument/2006/relationships/hyperlink" Target="https://atlisp.cn/package-info/lpsidemenu-stable.html" TargetMode="External" Id="rId280" /><Relationship Type="http://schemas.openxmlformats.org/officeDocument/2006/relationships/hyperlink" Target="https://atlisp.cn/package-info/ole-stable.html" TargetMode="External" Id="rId281" /><Relationship Type="http://schemas.openxmlformats.org/officeDocument/2006/relationships/hyperlink" Target="https://bbs.mjtd.com/thread-179418-1-1.html" TargetMode="External" Id="rId282" /><Relationship Type="http://schemas.openxmlformats.org/officeDocument/2006/relationships/hyperlink" Target="https://github.com/sschiplee/RuiCAD" TargetMode="External" Id="rId283" /><Relationship Type="http://schemas.openxmlformats.org/officeDocument/2006/relationships/hyperlink" Target="https://bbs.mjtd.com/thread-185520-1-1.html" TargetMode="External" Id="rId284" /><Relationship Type="http://schemas.openxmlformats.org/officeDocument/2006/relationships/hyperlink" Target="https://bbs.mjtd.com/thread-93137-1-1.html" TargetMode="External" Id="rId285" /><Relationship Type="http://schemas.openxmlformats.org/officeDocument/2006/relationships/hyperlink" Target="https://bbs.mjtd.com/thread-185068-1-1.html" TargetMode="External" Id="rId286" /><Relationship Type="http://schemas.openxmlformats.org/officeDocument/2006/relationships/hyperlink" Target="https://bbs.mjtd.com/thread-181696-1-1.html" TargetMode="External" Id="rId287" /><Relationship Type="http://schemas.openxmlformats.org/officeDocument/2006/relationships/hyperlink" Target="http://bbs.xdcad.net/thread-707645-1-1.html" TargetMode="External" Id="rId288" /><Relationship Type="http://schemas.openxmlformats.org/officeDocument/2006/relationships/hyperlink" Target="https://atlisp.cn/package-info/at-dim-stable.html" TargetMode="External" Id="rId289" /><Relationship Type="http://schemas.openxmlformats.org/officeDocument/2006/relationships/hyperlink" Target="https://bbs.mjtd.com/thread-189513-1-1.html" TargetMode="External" Id="rId290" /><Relationship Type="http://schemas.openxmlformats.org/officeDocument/2006/relationships/hyperlink" Target="https://atlisp.cn/package-info/at-curve-stable.html" TargetMode="External" Id="rId291" /><Relationship Type="http://schemas.openxmlformats.org/officeDocument/2006/relationships/hyperlink" Target="http://bbs.xdcad.net/thread-711226-1-1.html" TargetMode="External" Id="rId292" /><Relationship Type="http://schemas.openxmlformats.org/officeDocument/2006/relationships/hyperlink" Target="https://atlisp.cn/package-info/at-math-stable.html" TargetMode="External" Id="rId293" /><Relationship Type="http://schemas.openxmlformats.org/officeDocument/2006/relationships/hyperlink" Target="https://bbs.mjtd.com/thread-110203-1-1.html" TargetMode="External" Id="rId294" /><Relationship Type="http://schemas.openxmlformats.org/officeDocument/2006/relationships/hyperlink" Target="https://zhuanlan.zhihu.com/p/427829915" TargetMode="External" Id="rId295" /><Relationship Type="http://schemas.openxmlformats.org/officeDocument/2006/relationships/hyperlink" Target="https://zhuanlan.zhihu.com/p/427829915" TargetMode="External" Id="rId296" /><Relationship Type="http://schemas.openxmlformats.org/officeDocument/2006/relationships/hyperlink" Target="https://www.cadzxw.com/special/yqsjcadjc" TargetMode="External" Id="rId297" /><Relationship Type="http://schemas.openxmlformats.org/officeDocument/2006/relationships/hyperlink" Target="https://atlisp.cn/package-info/psk-tools-stable.html" TargetMode="External" Id="rId298" /><Relationship Type="http://schemas.openxmlformats.org/officeDocument/2006/relationships/hyperlink" Target="https://bbs.mjtd.com/thread-64645-1-1.html" TargetMode="External" Id="rId299" /><Relationship Type="http://schemas.openxmlformats.org/officeDocument/2006/relationships/hyperlink" Target="https://atlisp.cn/package-info/at-stat-stable.html" TargetMode="External" Id="rId300" /><Relationship Type="http://schemas.openxmlformats.org/officeDocument/2006/relationships/hyperlink" Target="https://bbs.mjtd.com/thread-179271-1-1.html" TargetMode="External" Id="rId301" /><Relationship Type="http://schemas.openxmlformats.org/officeDocument/2006/relationships/hyperlink" Target="https://bbs.mjtd.com/thread-187803-1-1.html" TargetMode="External" Id="rId302" /><Relationship Type="http://schemas.openxmlformats.org/officeDocument/2006/relationships/hyperlink" Target="https://atlisp.cn/" TargetMode="External" Id="rId303" /><Relationship Type="http://schemas.openxmlformats.org/officeDocument/2006/relationships/hyperlink" Target="https://atlisp.cn/package-info/list-dcl-editor-stable.html" TargetMode="External" Id="rId304" /><Relationship Type="http://schemas.openxmlformats.org/officeDocument/2006/relationships/hyperlink" Target="https://github.com/WuwuZhang0019/CADTools" TargetMode="External" Id="rId305" /><Relationship Type="http://schemas.openxmlformats.org/officeDocument/2006/relationships/hyperlink" Target="https://github.com/Qin-Dong/Construction-Surveying-Toolkit-For-AutoCAD" TargetMode="External" Id="rId306" /><Relationship Type="http://schemas.openxmlformats.org/officeDocument/2006/relationships/hyperlink" Target="https://bbs.mjtd.com/thread-89502-1-1.html" TargetMode="External" Id="rId307" /><Relationship Type="http://schemas.openxmlformats.org/officeDocument/2006/relationships/hyperlink" Target="https://bbs.mjtd.com/thread-179410-1-1.html" TargetMode="External" Id="rId308" /><Relationship Type="http://schemas.openxmlformats.org/officeDocument/2006/relationships/hyperlink" Target="https://bbs.mjtd.com/thread-183652-1-1.html" TargetMode="External" Id="rId309" /><Relationship Type="http://schemas.openxmlformats.org/officeDocument/2006/relationships/hyperlink" Target="https://bbs.mjtd.com/thread-67164-1-1.html" TargetMode="External" Id="rId310" /><Relationship Type="http://schemas.openxmlformats.org/officeDocument/2006/relationships/hyperlink" Target="https://atlisp.cn/package-info/at-math-stable.html" TargetMode="External" Id="rId311" /><Relationship Type="http://schemas.openxmlformats.org/officeDocument/2006/relationships/hyperlink" Target="https://bbs.mjtd.com/thread-99484-1-1.html" TargetMode="External" Id="rId312" /><Relationship Type="http://schemas.openxmlformats.org/officeDocument/2006/relationships/hyperlink" Target="https://bbs.mjtd.com/thread-65476-1-1.html" TargetMode="External" Id="rId313" /><Relationship Type="http://schemas.openxmlformats.org/officeDocument/2006/relationships/hyperlink" Target="https://atlisp.cn/package-info/at-block-stable.html" TargetMode="External" Id="rId314" /><Relationship Type="http://schemas.openxmlformats.org/officeDocument/2006/relationships/hyperlink" Target="https://bbs.mjtd.com/thread-192057-1-1.html" TargetMode="External" Id="rId315" /><Relationship Type="http://schemas.openxmlformats.org/officeDocument/2006/relationships/hyperlink" Target="https://github.com/1-1-2/CAD_XDedit" TargetMode="External" Id="rId316" /><Relationship Type="http://schemas.openxmlformats.org/officeDocument/2006/relationships/hyperlink" Target="https://bbs.mjtd.com/thread-111998-1-1.html" TargetMode="External" Id="rId317" /><Relationship Type="http://schemas.openxmlformats.org/officeDocument/2006/relationships/hyperlink" Target="https://github.com/shui-tiao/AutoCAD-Lisp-Tools" TargetMode="External" Id="rId318" /><Relationship Type="http://schemas.openxmlformats.org/officeDocument/2006/relationships/hyperlink" Target="http://bbs.xdcad.net/thread-710790-1-1.html" TargetMode="External" Id="rId319" /><Relationship Type="http://schemas.openxmlformats.org/officeDocument/2006/relationships/hyperlink" Target="https://bbs.mjtd.com/thread-72611-1-1.html" TargetMode="External" Id="rId320" /><Relationship Type="http://schemas.openxmlformats.org/officeDocument/2006/relationships/hyperlink" Target="https://github.com/WuwuZhang0019/CADTools" TargetMode="External" Id="rId321" /><Relationship Type="http://schemas.openxmlformats.org/officeDocument/2006/relationships/hyperlink" Target="https://github.com/WuwuZhang0019/CADTools" TargetMode="External" Id="rId322" /><Relationship Type="http://schemas.openxmlformats.org/officeDocument/2006/relationships/hyperlink" Target="https://bbs.mjtd.com/thread-110313-1-1.html" TargetMode="External" Id="rId323" /><Relationship Type="http://schemas.openxmlformats.org/officeDocument/2006/relationships/hyperlink" Target="https://bbs.mjtd.com/thread-176565-1-1.html" TargetMode="External" Id="rId324" /><Relationship Type="http://schemas.openxmlformats.org/officeDocument/2006/relationships/hyperlink" Target="https://bbs.mjtd.com/thread-57297-1-1.html" TargetMode="External" Id="rId325" /><Relationship Type="http://schemas.openxmlformats.org/officeDocument/2006/relationships/hyperlink" Target="https://bbs.mjtd.com/thread-186857-1-1.html" TargetMode="External" Id="rId326" /><Relationship Type="http://schemas.openxmlformats.org/officeDocument/2006/relationships/hyperlink" Target="https://atlisp.cn/package-info/at-dim-stable.html" TargetMode="External" Id="rId327" /><Relationship Type="http://schemas.openxmlformats.org/officeDocument/2006/relationships/hyperlink" Target="https://github.com/xiehaoing/MoYu-CAD-Gallery" TargetMode="External" Id="rId328" /><Relationship Type="http://schemas.openxmlformats.org/officeDocument/2006/relationships/hyperlink" Target="https://atlisp.cn/package-info/stretch-out-stable.html" TargetMode="External" Id="rId329" /><Relationship Type="http://schemas.openxmlformats.org/officeDocument/2006/relationships/hyperlink" Target="https://bbs.mjtd.com/thread-188624-1-1.html" TargetMode="External" Id="rId330" /><Relationship Type="http://schemas.openxmlformats.org/officeDocument/2006/relationships/hyperlink" Target="http://bbs.xdcad.net/thread-730506-1-1.html" TargetMode="External" Id="rId331" /><Relationship Type="http://schemas.openxmlformats.org/officeDocument/2006/relationships/hyperlink" Target="https://bbs.mjtd.com/thread-90807-1-1.html" TargetMode="External" Id="rId332" /><Relationship Type="http://schemas.openxmlformats.org/officeDocument/2006/relationships/hyperlink" Target="https://baike.baidu.com/item/&#29141;&#31168;&#24037;&#20855;&#31665;" TargetMode="External" Id="rId333" /><Relationship Type="http://schemas.openxmlformats.org/officeDocument/2006/relationships/hyperlink" Target="https://atlisp.cn/package-info/at-text-stable.html" TargetMode="External" Id="rId334" /><Relationship Type="http://schemas.openxmlformats.org/officeDocument/2006/relationships/hyperlink" Target="https://bbs.mjtd.com/thread-187088-1-1.html" TargetMode="External" Id="rId335" /><Relationship Type="http://schemas.openxmlformats.org/officeDocument/2006/relationships/hyperlink" Target="https://bbs.mjtd.com/thread-186369-1-1.html" TargetMode="External" Id="rId336" /><Relationship Type="http://schemas.openxmlformats.org/officeDocument/2006/relationships/hyperlink" Target="https://github.com/shuixzy/DB_CAD_Tools" TargetMode="External" Id="rId337" /><Relationship Type="http://schemas.openxmlformats.org/officeDocument/2006/relationships/hyperlink" Target="https://github.com/atlisp-org/atlisp-lib/tree/main/src/ext" TargetMode="External" Id="rId338" /><Relationship Type="http://schemas.openxmlformats.org/officeDocument/2006/relationships/hyperlink" Target="https://github.com/WuwuZhang0019/CADTools" TargetMode="External" Id="rId339" /><Relationship Type="http://schemas.openxmlformats.org/officeDocument/2006/relationships/hyperlink" Target="https://github.com/WuwuZhang0019/CADTools" TargetMode="External" Id="rId340" /><Relationship Type="http://schemas.openxmlformats.org/officeDocument/2006/relationships/hyperlink" Target="https://atlisp.cn/package-info/cmd-ext-stable.html" TargetMode="External" Id="rId341" /><Relationship Type="http://schemas.openxmlformats.org/officeDocument/2006/relationships/hyperlink" Target="https://bbs.mjtd.com/thread-98132-1-1.html" TargetMode="External" Id="rId342" /><Relationship Type="http://schemas.openxmlformats.org/officeDocument/2006/relationships/hyperlink" Target="https://atlisp.cn/package-info/at-arch-stable.html" TargetMode="External" Id="rId343" /><Relationship Type="http://schemas.openxmlformats.org/officeDocument/2006/relationships/hyperlink" Target="https://atlisp.cn/package-info/xiaoben-stable.html" TargetMode="External" Id="rId344" /><Relationship Type="http://schemas.openxmlformats.org/officeDocument/2006/relationships/hyperlink" Target="https://bbs.mjtd.com/thread-191218-1-1.html" TargetMode="External" Id="rId345" /><Relationship Type="http://schemas.openxmlformats.org/officeDocument/2006/relationships/hyperlink" Target="http://bbs.xdcad.net/thread-677534-1-1.html" TargetMode="External" Id="rId346" /><Relationship Type="http://schemas.openxmlformats.org/officeDocument/2006/relationships/hyperlink" Target="https://github.com/roscoe-tw/sequence-flange-bolts-lisp" TargetMode="External" Id="rId347" /><Relationship Type="http://schemas.openxmlformats.org/officeDocument/2006/relationships/hyperlink" Target="https://atlisp.cn/package-info/dimcoord-stable.html" TargetMode="External" Id="rId348" /><Relationship Type="http://schemas.openxmlformats.org/officeDocument/2006/relationships/hyperlink" Target="https://github.com/skywa1keri7/AutoCAD-Watermark-LISP" TargetMode="External" Id="rId349" /><Relationship Type="http://schemas.openxmlformats.org/officeDocument/2006/relationships/hyperlink" Target="http://bbs.xdcad.net/thread-703901-1-1.html" TargetMode="External" Id="rId350" /><Relationship Type="http://schemas.openxmlformats.org/officeDocument/2006/relationships/hyperlink" Target="https://github.com/OnRoadZy/ChangeFontStyle" TargetMode="External" Id="rId351" /><Relationship Type="http://schemas.openxmlformats.org/officeDocument/2006/relationships/hyperlink" Target="https://github.com/zhugecaomao/AutoLISP/blob/main/dmcpz-%E8%AF%BBTXT%E6%96%87%E4%BB%B6%E6%95%B0%E6%8D%AE.lsp" TargetMode="External" Id="rId352" /><Relationship Type="http://schemas.openxmlformats.org/officeDocument/2006/relationships/hyperlink" Target="https://atlisp.cn/package-info/svg2dxf-stable.html" TargetMode="External" Id="rId353" /><Relationship Type="http://schemas.openxmlformats.org/officeDocument/2006/relationships/hyperlink" Target="https://github.com/shuixzy/DB_CAD_Tools" TargetMode="External" Id="rId354" /><Relationship Type="http://schemas.openxmlformats.org/officeDocument/2006/relationships/hyperlink" Target="https://github.com/atlisp-org/atlisp-lib/tree/main/src/test" TargetMode="External" Id="rId355" /><Relationship Type="http://schemas.openxmlformats.org/officeDocument/2006/relationships/hyperlink" Target="https://github.com/zhugecaomao/AutoLISP/blob/main/xscale-XY%E6%96%B9%E5%90%91%E4%B8%8D%E5%90%8C%E6%AF%94%E4%BE%8B%E7%BC%A9%E6%94%BE.lsp" TargetMode="External" Id="rId356" /><Relationship Type="http://schemas.openxmlformats.org/officeDocument/2006/relationships/hyperlink" Target="https://atlisp.cn/package-info/at-dim-stable.html" TargetMode="External" Id="rId357" /><Relationship Type="http://schemas.openxmlformats.org/officeDocument/2006/relationships/hyperlink" Target="https://bbs.mjtd.com/thread-84608-1-1.html" TargetMode="External" Id="rId358" /><Relationship Type="http://schemas.openxmlformats.org/officeDocument/2006/relationships/hyperlink" Target="https://bbs.mjtd.com/thread-191842-1-1.html" TargetMode="External" Id="rId359" /><Relationship Type="http://schemas.openxmlformats.org/officeDocument/2006/relationships/hyperlink" Target="https://atlisp.cn/package-info/at-block-stable.html" TargetMode="External" Id="rId360" /><Relationship Type="http://schemas.openxmlformats.org/officeDocument/2006/relationships/hyperlink" Target="http://bbs.xdcad.net/thread-670650-1-1.html" TargetMode="External" Id="rId361" /><Relationship Type="http://schemas.openxmlformats.org/officeDocument/2006/relationships/hyperlink" Target="https://atlisp.cn/package-info/at-dim-stable.html" TargetMode="External" Id="rId362" /><Relationship Type="http://schemas.openxmlformats.org/officeDocument/2006/relationships/hyperlink" Target="https://atlisp.cn/package-info/lysx-stable.html" TargetMode="External" Id="rId363" /><Relationship Type="http://schemas.openxmlformats.org/officeDocument/2006/relationships/hyperlink" Target="https://bbs.mjtd.com/thread-180950-1-1.html" TargetMode="External" Id="rId364" /><Relationship Type="http://schemas.openxmlformats.org/officeDocument/2006/relationships/hyperlink" Target="https://bbs.mjtd.com/thread-180693-1-1.html" TargetMode="External" Id="rId365" /><Relationship Type="http://schemas.openxmlformats.org/officeDocument/2006/relationships/hyperlink" Target="https://bbs.mjtd.com/thread-99709-1-1.html" TargetMode="External" Id="rId366" /><Relationship Type="http://schemas.openxmlformats.org/officeDocument/2006/relationships/hyperlink" Target="https://bbs.mjtd.com/thread-192240-1-1.html" TargetMode="External" Id="rId367" /><Relationship Type="http://schemas.openxmlformats.org/officeDocument/2006/relationships/hyperlink" Target="https://bbs.mjtd.com/thread-90917-1-1.html" TargetMode="External" Id="rId368" /><Relationship Type="http://schemas.openxmlformats.org/officeDocument/2006/relationships/hyperlink" Target="https://bbs.mjtd.com/thread-179805-1-1.html" TargetMode="External" Id="rId369" /><Relationship Type="http://schemas.openxmlformats.org/officeDocument/2006/relationships/hyperlink" Target="https://atlisp.cn/package-info/at-hvac-stable.html" TargetMode="External" Id="rId370" /><Relationship Type="http://schemas.openxmlformats.org/officeDocument/2006/relationships/hyperlink" Target="https://github.com/shui-tiao/AutoCAD-Lisp-Tools" TargetMode="External" Id="rId371" /><Relationship Type="http://schemas.openxmlformats.org/officeDocument/2006/relationships/hyperlink" Target="https://github.com/FriesHour/AutoCAD-tool" TargetMode="External" Id="rId372" /><Relationship Type="http://schemas.openxmlformats.org/officeDocument/2006/relationships/hyperlink" Target="https://github.com/zhugecaomao/AutoLISP/blob/main/bzpyj-%E5%9D%90%E6%A0%87%E6%A0%87%E6%B3%A8%E7%A4%BA%E4%BE%8B.lsp" TargetMode="External" Id="rId373" /><Relationship Type="http://schemas.openxmlformats.org/officeDocument/2006/relationships/hyperlink" Target="https://github.com/atlisp-org/atlisp-lib/tree/main/src/ui" TargetMode="External" Id="rId374" /><Relationship Type="http://schemas.openxmlformats.org/officeDocument/2006/relationships/hyperlink" Target="https://bbs.mjtd.com/thread-95942-1-1.html" TargetMode="External" Id="rId375" /><Relationship Type="http://schemas.openxmlformats.org/officeDocument/2006/relationships/hyperlink" Target="http://bbs.xdcad.net/thread-726272-1-1.html" TargetMode="External" Id="rId376" /><Relationship Type="http://schemas.openxmlformats.org/officeDocument/2006/relationships/hyperlink" Target="https://atlisp.cn/package-info/at-text-stable.html" TargetMode="External" Id="rId377" /><Relationship Type="http://schemas.openxmlformats.org/officeDocument/2006/relationships/hyperlink" Target="https://github.com/zhugecaomao/AutoLISP/tree/main/%E6%8A%98%E6%96%AD%E7%BA%BF%E6%B3%A2%E6%B5%AA%E7%BA%BF" TargetMode="External" Id="rId378" /><Relationship Type="http://schemas.openxmlformats.org/officeDocument/2006/relationships/hyperlink" Target="https://bbs.mjtd.com/thread-193960-1-1.html" TargetMode="External" Id="rId379" /><Relationship Type="http://schemas.openxmlformats.org/officeDocument/2006/relationships/hyperlink" Target="https://bbs.mjtd.com/thread-192607-1-1.html" TargetMode="External" Id="rId380" /><Relationship Type="http://schemas.openxmlformats.org/officeDocument/2006/relationships/hyperlink" Target="https://bbs.mjtd.com/thread-108696-1-1.html" TargetMode="External" Id="rId381" /><Relationship Type="http://schemas.openxmlformats.org/officeDocument/2006/relationships/hyperlink" Target="https://bbs.mjtd.com/thread-191685-1-1.html" TargetMode="External" Id="rId382" /><Relationship Type="http://schemas.openxmlformats.org/officeDocument/2006/relationships/hyperlink" Target="https://atlisp.cn/package-info/at-structure-stable.html" TargetMode="External" Id="rId383" /><Relationship Type="http://schemas.openxmlformats.org/officeDocument/2006/relationships/hyperlink" Target="https://bbs.mjtd.com/thread-41091-1-1.html" TargetMode="External" Id="rId384" /><Relationship Type="http://schemas.openxmlformats.org/officeDocument/2006/relationships/hyperlink" Target="https://atlisp.cn/package-info/al-plate-stable.html" TargetMode="External" Id="rId385" /><Relationship Type="http://schemas.openxmlformats.org/officeDocument/2006/relationships/hyperlink" Target="http://bbs.xdcad.net/thread-707894-1-1.html" TargetMode="External" Id="rId386" /><Relationship Type="http://schemas.openxmlformats.org/officeDocument/2006/relationships/hyperlink" Target="https://bbs.mjtd.com/thread-173484-1-1.html" TargetMode="External" Id="rId387" /><Relationship Type="http://schemas.openxmlformats.org/officeDocument/2006/relationships/hyperlink" Target="https://bbs.mjtd.com/thread-97618-1-1.html" TargetMode="External" Id="rId388" /><Relationship Type="http://schemas.openxmlformats.org/officeDocument/2006/relationships/hyperlink" Target="https://github.com/shuixzy/DB_CAD_Tools" TargetMode="External" Id="rId389" /><Relationship Type="http://schemas.openxmlformats.org/officeDocument/2006/relationships/hyperlink" Target="https://atlisp.cn/package-info/rtk2dwg-stable.html" TargetMode="External" Id="rId390" /><Relationship Type="http://schemas.openxmlformats.org/officeDocument/2006/relationships/hyperlink" Target="https://github.com/shuixzy/DB_CAD_Tools" TargetMode="External" Id="rId391" /><Relationship Type="http://schemas.openxmlformats.org/officeDocument/2006/relationships/hyperlink" Target="https://github.com/Qin-Dong/Construction-Surveying-Toolkit-For-AutoCAD" TargetMode="External" Id="rId392" /><Relationship Type="http://schemas.openxmlformats.org/officeDocument/2006/relationships/hyperlink" Target="https://bbs.mjtd.com/thread-193611-1-1.html" TargetMode="External" Id="rId393" /><Relationship Type="http://schemas.openxmlformats.org/officeDocument/2006/relationships/hyperlink" Target="https://bbs.mjtd.com/thread-181766-1-1.html" TargetMode="External" Id="rId394" /><Relationship Type="http://schemas.openxmlformats.org/officeDocument/2006/relationships/hyperlink" Target="https://bbs.mjtd.com/thread-184118-1-1.html" TargetMode="External" Id="rId395" /><Relationship Type="http://schemas.openxmlformats.org/officeDocument/2006/relationships/hyperlink" Target="https://atlisp.cn/package-info/mark-order-stable.html" TargetMode="External" Id="rId396" /><Relationship Type="http://schemas.openxmlformats.org/officeDocument/2006/relationships/hyperlink" Target="https://bbs.mjtd.com/thread-184284-1-1.html" TargetMode="External" Id="rId397" /><Relationship Type="http://schemas.openxmlformats.org/officeDocument/2006/relationships/hyperlink" Target="https://bbs.mjtd.com/thread-84276-1-1.html" TargetMode="External" Id="rId398" /><Relationship Type="http://schemas.openxmlformats.org/officeDocument/2006/relationships/hyperlink" Target="https://github.com/MushGrowth/AutoCAD-Chuan-Pallet-Parametric-Tool" TargetMode="External" Id="rId399" /><Relationship Type="http://schemas.openxmlformats.org/officeDocument/2006/relationships/hyperlink" Target="https://bbs.mjtd.com/thread-192453-1-1.html" TargetMode="External" Id="rId400" /><Relationship Type="http://schemas.openxmlformats.org/officeDocument/2006/relationships/hyperlink" Target="https://bbs.mjtd.com/thread-189101-1-1.html" TargetMode="External" Id="rId401" /><Relationship Type="http://schemas.openxmlformats.org/officeDocument/2006/relationships/hyperlink" Target="https://bbs.mjtd.com/thread-92145-1-1.html" TargetMode="External" Id="rId402" /><Relationship Type="http://schemas.openxmlformats.org/officeDocument/2006/relationships/hyperlink" Target="https://bbs.mjtd.com/thread-93018-1-1.html" TargetMode="External" Id="rId403" /><Relationship Type="http://schemas.openxmlformats.org/officeDocument/2006/relationships/hyperlink" Target="https://bbs.mjtd.com/thread-183607-1-1.html" TargetMode="External" Id="rId404" /><Relationship Type="http://schemas.openxmlformats.org/officeDocument/2006/relationships/hyperlink" Target="https://bbs.mjtd.com/thread-178031-1-1.html" TargetMode="External" Id="rId405" /><Relationship Type="http://schemas.openxmlformats.org/officeDocument/2006/relationships/hyperlink" Target="https://bbs.mjtd.com/thread-185715-1-1.html" TargetMode="External" Id="rId406" /><Relationship Type="http://schemas.openxmlformats.org/officeDocument/2006/relationships/hyperlink" Target="https://bbs.mjtd.com/thread-188202-1-1.html" TargetMode="External" Id="rId407" /><Relationship Type="http://schemas.openxmlformats.org/officeDocument/2006/relationships/hyperlink" Target="https://bbs.mjtd.com/thread-89956-1-1.html" TargetMode="External" Id="rId408" /><Relationship Type="http://schemas.openxmlformats.org/officeDocument/2006/relationships/hyperlink" Target="https://atlisp.cn/package-info/at-dim-stable.html" TargetMode="External" Id="rId409" /><Relationship Type="http://schemas.openxmlformats.org/officeDocument/2006/relationships/hyperlink" Target="https://bbs.mjtd.com/thread-186172-1-1.html" TargetMode="External" Id="rId410" /><Relationship Type="http://schemas.openxmlformats.org/officeDocument/2006/relationships/hyperlink" Target="https://bbs.mjtd.com/thread-176240-1-1.html" TargetMode="External" Id="rId411" /><Relationship Type="http://schemas.openxmlformats.org/officeDocument/2006/relationships/hyperlink" Target="https://github.com/zhugecaomao/AutoLISP" TargetMode="External" Id="rId412" /><Relationship Type="http://schemas.openxmlformats.org/officeDocument/2006/relationships/hyperlink" Target="https://bbs.mjtd.com/thread-186817-1-1.html" TargetMode="External" Id="rId413" /><Relationship Type="http://schemas.openxmlformats.org/officeDocument/2006/relationships/hyperlink" Target="https://bbs.mjtd.com/thread-188262-1-1.html" TargetMode="External" Id="rId414" /><Relationship Type="http://schemas.openxmlformats.org/officeDocument/2006/relationships/hyperlink" Target="https://bbs.mjtd.com/forum-45-1.html" TargetMode="External" Id="rId415" /><Relationship Type="http://schemas.openxmlformats.org/officeDocument/2006/relationships/hyperlink" Target="https://atlisp.cn/package-info/at-3d-stable.html" TargetMode="External" Id="rId416" /><Relationship Type="http://schemas.openxmlformats.org/officeDocument/2006/relationships/hyperlink" Target="https://github.com/zhugecaomao/AutoLISP/blob/main/copy1-%E6%8C%89%E6%AF%94%E4%BE%8B%E5%A4%8D%E5%88%B6.lsp" TargetMode="External" Id="rId417" /><Relationship Type="http://schemas.openxmlformats.org/officeDocument/2006/relationships/hyperlink" Target="https://github.com/atlisp-org/atlisp-lib/tree/main/src/example" TargetMode="External" Id="rId418" /><Relationship Type="http://schemas.openxmlformats.org/officeDocument/2006/relationships/hyperlink" Target="https://github.com/zhugecaomao/AutoLISP/blob/main/kszd-%E5%BF%AB%E9%80%9F%E5%B1%95%E7%82%B9%E7%A8%8B%E5%BA%8F.LSP" TargetMode="External" Id="rId419" /><Relationship Type="http://schemas.openxmlformats.org/officeDocument/2006/relationships/hyperlink" Target="https://github.com/zhugecaomao/AutoLISP/blob/main/zdt-%E5%9D%90%E6%A0%87%E5%B1%95%E7%82%B9.lsp" TargetMode="External" Id="rId420" /><Relationship Type="http://schemas.openxmlformats.org/officeDocument/2006/relationships/hyperlink" Target="https://github.com/Qin-Dong/Construction-Surveying-Toolkit-For-AutoCAD" TargetMode="External" Id="rId421" /><Relationship Type="http://schemas.openxmlformats.org/officeDocument/2006/relationships/hyperlink" Target="https://atlisp.cn/package-info/at-curve-stable.html" TargetMode="External" Id="rId422" /><Relationship Type="http://schemas.openxmlformats.org/officeDocument/2006/relationships/hyperlink" Target="https://atlisp.cn/package-info/at-purge-stable.html" TargetMode="External" Id="rId423" /><Relationship Type="http://schemas.openxmlformats.org/officeDocument/2006/relationships/hyperlink" Target="https://atlisp.cn/package-info/tufu-tools-stable.html" TargetMode="External" Id="rId424" /><Relationship Type="http://schemas.openxmlformats.org/officeDocument/2006/relationships/hyperlink" Target="https://atlisp.cn/package-info/at-text-stable.html" TargetMode="External" Id="rId425" /><Relationship Type="http://schemas.openxmlformats.org/officeDocument/2006/relationships/hyperlink" Target="https://github.com/Michael-Whz/autocad-parametric-escalator" TargetMode="External" Id="rId426" /><Relationship Type="http://schemas.openxmlformats.org/officeDocument/2006/relationships/hyperlink" Target="https://atlisp.cn/package-info/at-select-stable.html" TargetMode="External" Id="rId427" /><Relationship Type="http://schemas.openxmlformats.org/officeDocument/2006/relationships/hyperlink" Target="https://bbs.mjtd.com/thread-187801-1-1.html" TargetMode="External" Id="rId428" /><Relationship Type="http://schemas.openxmlformats.org/officeDocument/2006/relationships/hyperlink" Target="https://github.com/atlisp-org/packages" TargetMode="External" Id="rId429" /><Relationship Type="http://schemas.openxmlformats.org/officeDocument/2006/relationships/hyperlink" Target="https://github.com/zhugecaomao/AutoLISP/blob/main/AF-%E8%87%AA%E5%8A%A8%E6%8F%90%E5%8F%96%E5%9B%BE%E4%B8%AD%E5%AD%97%E4%BD%93.LSP" TargetMode="External" Id="rId430" /><Relationship Type="http://schemas.openxmlformats.org/officeDocument/2006/relationships/hyperlink" Target="https://github.com/zhugecaomao/AutoLISP/blob/main/BGAO-%E5%9D%90%E6%A0%87%E6%A0%87%E6%B3%A8.LSP" TargetMode="External" Id="rId431" /><Relationship Type="http://schemas.openxmlformats.org/officeDocument/2006/relationships/hyperlink" Target="https://github.com/atlisp-org/atlisp-lib/tree/main/src/dcl" TargetMode="External" Id="rId432" /><Relationship Type="http://schemas.openxmlformats.org/officeDocument/2006/relationships/hyperlink" Target="https://github.com/jianpf/autolisp" TargetMode="External" Id="rId433" /><Relationship Type="http://schemas.openxmlformats.org/officeDocument/2006/relationships/hyperlink" Target="https://github.com/xiaoayemmd-hub/AutoCAD-GB-Annotation-Scripts" TargetMode="External" Id="rId434" /><Relationship Type="http://schemas.openxmlformats.org/officeDocument/2006/relationships/hyperlink" Target="https://github.com/zhugecaomao/AutoLISP/blob/main/GXFMG1-%E7%BB%98%E9%A3%8E%E7%8E%AB%E7%91%B0.LSP" TargetMode="External" Id="rId435" /><Relationship Type="http://schemas.openxmlformats.org/officeDocument/2006/relationships/hyperlink" Target="https://github.com/zhugecaomao/AutoLISP/blob/main/hzbrea-%E6%96%87%E5%AD%97%E5%87%BB%E7%A2%8E.lsp" TargetMode="External" Id="rId436" /><Relationship Type="http://schemas.openxmlformats.org/officeDocument/2006/relationships/hyperlink" Target="https://github.com/atlisp-org/atlisp-lib/tree/main/src/pickset" TargetMode="External" Id="rId437" /><Relationship Type="http://schemas.openxmlformats.org/officeDocument/2006/relationships/hyperlink" Target="https://github.com/atlisp-org/atlisp-lib/tree/main/src/text" TargetMode="External" Id="rId438" /><Relationship Type="http://schemas.openxmlformats.org/officeDocument/2006/relationships/hyperlink" Target="https://github.com/shuixzy/DB_CAD_Tools" TargetMode="External" Id="rId439" /><Relationship Type="http://schemas.openxmlformats.org/officeDocument/2006/relationships/hyperlink" Target="https://github.com/zhugecaomao/AutoLISP/blob/main/ZZB-%E5%9D%90%E6%A0%87%E6%A0%87%E6%B3%A8.LSP" TargetMode="External" Id="rId440" /><Relationship Type="http://schemas.openxmlformats.org/officeDocument/2006/relationships/hyperlink" Target="https://github.com/Qin-Dong/Construction-Surveying-Toolkit-For-AutoCAD" TargetMode="External" Id="rId441" /><Relationship Type="http://schemas.openxmlformats.org/officeDocument/2006/relationships/hyperlink" Target="https://github.com/Qin-Dong/Construction-Surveying-Toolkit-For-AutoCAD" TargetMode="External" Id="rId442" /><Relationship Type="http://schemas.openxmlformats.org/officeDocument/2006/relationships/hyperlink" Target="https://bbs.mjtd.com/thread-91004-1-1.html" TargetMode="External" Id="rId443" /><Relationship Type="http://schemas.openxmlformats.org/officeDocument/2006/relationships/hyperlink" Target="http://bbs.xdcad.net/thread-728885-1-1.html" TargetMode="External" Id="rId444" /><Relationship Type="http://schemas.openxmlformats.org/officeDocument/2006/relationships/hyperlink" Target="https://atlisp.cn/package-info/at-block-stable.html" TargetMode="External" Id="rId445" /><Relationship Type="http://schemas.openxmlformats.org/officeDocument/2006/relationships/hyperlink" Target="https://atlisp.cn/package-info/at-dim-stable.html" TargetMode="External" Id="rId446" /><Relationship Type="http://schemas.openxmlformats.org/officeDocument/2006/relationships/hyperlink" Target="https://bbs.mjtd.com/thread-194337-1-1.html" TargetMode="External" Id="rId447" /><Relationship Type="http://schemas.openxmlformats.org/officeDocument/2006/relationships/hyperlink" Target="https://atlisp.cn/package-info/vitaltools-stable.html" TargetMode="External" Id="rId448" /><Relationship Type="http://schemas.openxmlformats.org/officeDocument/2006/relationships/hyperlink" Target="https://bbs.mjtd.com/thread-99511-1-1.html" TargetMode="External" Id="rId449" /><Relationship Type="http://schemas.openxmlformats.org/officeDocument/2006/relationships/hyperlink" Target="https://bbs.mjtd.com/thread-186816-1-1.html" TargetMode="External" Id="rId450" /><Relationship Type="http://schemas.openxmlformats.org/officeDocument/2006/relationships/hyperlink" Target="https://bbs.mjtd.com/thread-192277-1-1.html" TargetMode="External" Id="rId451" /><Relationship Type="http://schemas.openxmlformats.org/officeDocument/2006/relationships/hyperlink" Target="https://bbs.mjtd.com/thread-187281-1-1.html" TargetMode="External" Id="rId452" /><Relationship Type="http://schemas.openxmlformats.org/officeDocument/2006/relationships/hyperlink" Target="https://bbs.mjtd.com/thread-20328-1-1.html" TargetMode="External" Id="rId453" /><Relationship Type="http://schemas.openxmlformats.org/officeDocument/2006/relationships/hyperlink" Target="https://bbs.mjtd.com/thread-113727-1-1.html" TargetMode="External" Id="rId454" /><Relationship Type="http://schemas.openxmlformats.org/officeDocument/2006/relationships/hyperlink" Target="https://bbs.mjtd.com/thread-193242-1-1.html" TargetMode="External" Id="rId455" /><Relationship Type="http://schemas.openxmlformats.org/officeDocument/2006/relationships/hyperlink" Target="https://github.com/atlisp-org/atlisp-lib/tree/main/src/dbx" TargetMode="External" Id="rId456" /><Relationship Type="http://schemas.openxmlformats.org/officeDocument/2006/relationships/hyperlink" Target="https://bbs.mjtd.com/thread-175262-1-1.html" TargetMode="External" Id="rId457" /><Relationship Type="http://schemas.openxmlformats.org/officeDocument/2006/relationships/hyperlink" Target="https://github.com/zhugecaomao/AutoLISP/blob/main/dlmj-%E9%9D%A2%E7%A7%AF%E7%BB%9F%E8%AE%A1.lsp" TargetMode="External" Id="rId458" /><Relationship Type="http://schemas.openxmlformats.org/officeDocument/2006/relationships/hyperlink" Target="https://github.com/jianpf/autolisp" TargetMode="External" Id="rId459" /><Relationship Type="http://schemas.openxmlformats.org/officeDocument/2006/relationships/hyperlink" Target="https://github.com/zhugecaomao/AutoLISP/blob/main/thread.lsp" TargetMode="External" Id="rId460" /><Relationship Type="http://schemas.openxmlformats.org/officeDocument/2006/relationships/hyperlink" Target="https://atlisp.cn/package-info/at-curve-stable.html" TargetMode="External" Id="rId461" /><Relationship Type="http://schemas.openxmlformats.org/officeDocument/2006/relationships/hyperlink" Target="https://bbs.mjtd.com/thread-180259-1-1.html" TargetMode="External" Id="rId462" /><Relationship Type="http://schemas.openxmlformats.org/officeDocument/2006/relationships/hyperlink" Target="https://atlisp.cn/package-info/at-block-stable.html" TargetMode="External" Id="rId463" /><Relationship Type="http://schemas.openxmlformats.org/officeDocument/2006/relationships/hyperlink" Target="https://bbs.mjtd.com/thread-189179-1-1.html" TargetMode="External" Id="rId464" /><Relationship Type="http://schemas.openxmlformats.org/officeDocument/2006/relationships/hyperlink" Target="https://atlisp.cn/package-info/fonts-stable.html" TargetMode="External" Id="rId465" /><Relationship Type="http://schemas.openxmlformats.org/officeDocument/2006/relationships/hyperlink" Target="https://atlisp.cn/package-info/at-lab-stable.html" TargetMode="External" Id="rId466" /><Relationship Type="http://schemas.openxmlformats.org/officeDocument/2006/relationships/hyperlink" Target="https://github.com/zhugecaomao/AutoLISP/blob/main/bg0-%E8%87%AA%E5%8A%A8%E6%A0%87%E6%B3%A8%E6%A0%87%E9%AB%98.lsp" TargetMode="External" Id="rId467" /><Relationship Type="http://schemas.openxmlformats.org/officeDocument/2006/relationships/hyperlink" Target="https://github.com/princhua/Autolisp" TargetMode="External" Id="rId468" /><Relationship Type="http://schemas.openxmlformats.org/officeDocument/2006/relationships/hyperlink" Target="https://github.com/jianpf/autolisp" TargetMode="External" Id="rId469" /><Relationship Type="http://schemas.openxmlformats.org/officeDocument/2006/relationships/hyperlink" Target="https://bbs.mjtd.com/thread-80459-1-1.html" TargetMode="External" Id="rId470" /><Relationship Type="http://schemas.openxmlformats.org/officeDocument/2006/relationships/hyperlink" Target="https://github.com/zhugecaomao/AutoLISP/tree/main/%E5%9D%A1%E5%BA%A6%E5%9D%A1%E9%95%BF%E6%A0%87%E6%B3%A8%E7%A8%8B%E5%BA%8F" TargetMode="External" Id="rId471" /><Relationship Type="http://schemas.openxmlformats.org/officeDocument/2006/relationships/hyperlink" Target="https://bbs.mjtd.com/thread-92744-1-1.html" TargetMode="External" Id="rId472" /><Relationship Type="http://schemas.openxmlformats.org/officeDocument/2006/relationships/hyperlink" Target="https://bbs.mjtd.com/thread-192068-1-1.html" TargetMode="External" Id="rId473" /><Relationship Type="http://schemas.openxmlformats.org/officeDocument/2006/relationships/hyperlink" Target="http://bbs.xdcad.net/thread-703841-1-1.html" TargetMode="External" Id="rId474" /><Relationship Type="http://schemas.openxmlformats.org/officeDocument/2006/relationships/hyperlink" Target="https://baike.baidu.com/item/&#29141;&#31168;&#24037;&#20855;&#31665;" TargetMode="External" Id="rId475" /><Relationship Type="http://schemas.openxmlformats.org/officeDocument/2006/relationships/hyperlink" Target="https://bbs.mjtd.com/thread-17707-1-1.html" TargetMode="External" Id="rId476" /><Relationship Type="http://schemas.openxmlformats.org/officeDocument/2006/relationships/hyperlink" Target="https://atlisp.cn/package-info/at-xdata-stable.html" TargetMode="External" Id="rId477" /><Relationship Type="http://schemas.openxmlformats.org/officeDocument/2006/relationships/hyperlink" Target="https://github.com/shuixzy/DB_CAD_Tools" TargetMode="External" Id="rId478" /><Relationship Type="http://schemas.openxmlformats.org/officeDocument/2006/relationships/hyperlink" Target="https://bbs.mjtd.com/thread-16244-1-1.html" TargetMode="External" Id="rId479" /><Relationship Type="http://schemas.openxmlformats.org/officeDocument/2006/relationships/hyperlink" Target="https://github.com/zhugecaomao/AutoLISP" TargetMode="External" Id="rId480" /><Relationship Type="http://schemas.openxmlformats.org/officeDocument/2006/relationships/hyperlink" Target="https://github.com/Qin-Dong/Construction-Surveying-Toolkit-For-AutoCAD" TargetMode="External" Id="rId481" /><Relationship Type="http://schemas.openxmlformats.org/officeDocument/2006/relationships/hyperlink" Target="https://bbs.mjtd.com/thread-193157-1-1.html" TargetMode="External" Id="rId482" /><Relationship Type="http://schemas.openxmlformats.org/officeDocument/2006/relationships/hyperlink" Target="https://bbs.mjtd.com/thread-185377-1-1.html" TargetMode="External" Id="rId483" /><Relationship Type="http://schemas.openxmlformats.org/officeDocument/2006/relationships/hyperlink" Target="https://github.com/zhugecaomao/AutoLISP" TargetMode="External" Id="rId484" /><Relationship Type="http://schemas.openxmlformats.org/officeDocument/2006/relationships/hyperlink" Target="https://bbs.mjtd.com/thread-3960-1-1.html" TargetMode="External" Id="rId485" /><Relationship Type="http://schemas.openxmlformats.org/officeDocument/2006/relationships/hyperlink" Target="https://atlisp.cn/package-info/xj_name-stable.html" TargetMode="External" Id="rId486" /><Relationship Type="http://schemas.openxmlformats.org/officeDocument/2006/relationships/hyperlink" Target="https://atlisp.cn/package-info/structure-pc-stable.html" TargetMode="External" Id="rId487" /><Relationship Type="http://schemas.openxmlformats.org/officeDocument/2006/relationships/hyperlink" Target="https://atlisp.cn/package-info/at-structure-stable.html" TargetMode="External" Id="rId488" /><Relationship Type="http://schemas.openxmlformats.org/officeDocument/2006/relationships/hyperlink" Target="https://github.com/ch5721032-arch/gstarcad-annotation-tools" TargetMode="External" Id="rId489" /><Relationship Type="http://schemas.openxmlformats.org/officeDocument/2006/relationships/hyperlink" Target="https://bbs.mjtd.com/thread-191618-1-1.html" TargetMode="External" Id="rId490" /><Relationship Type="http://schemas.openxmlformats.org/officeDocument/2006/relationships/hyperlink" Target="https://github.com/zhugecaomao/AutoLISP/blob/main/dycy-%E6%A0%87%E6%B3%A8%E5%BA%8F%E5%8F%B7.lsp" TargetMode="External" Id="rId491" /><Relationship Type="http://schemas.openxmlformats.org/officeDocument/2006/relationships/hyperlink" Target="https://github.com/zhugecaomao/AutoLISP/blob/main/FW-%E6%A0%87%E6%B3%A8%E6%96%B9%E4%BD%8D%E8%A7%92.LSP" TargetMode="External" Id="rId492" /><Relationship Type="http://schemas.openxmlformats.org/officeDocument/2006/relationships/hyperlink" Target="https://github.com/ixsouler/JK_Toolbox" TargetMode="External" Id="rId493" /><Relationship Type="http://schemas.openxmlformats.org/officeDocument/2006/relationships/hyperlink" Target="https://github.com/atlisp-org/atlisp-lib/tree/main/src/svg" TargetMode="External" Id="rId494" /><Relationship Type="http://schemas.openxmlformats.org/officeDocument/2006/relationships/hyperlink" Target="https://github.com/shuixzy/DB_CAD_Tools" TargetMode="External" Id="rId495" /><Relationship Type="http://schemas.openxmlformats.org/officeDocument/2006/relationships/hyperlink" Target="https://github.com/zhugecaomao/AutoLISP/blob/main/UCAD-%E9%AB%98%E7%A8%8B%E4%BC%A0%E9%80%92%E9%AB%98%E7%A8%8B.LSP" TargetMode="External" Id="rId496" /><Relationship Type="http://schemas.openxmlformats.org/officeDocument/2006/relationships/hyperlink" Target="https://github.com/shuixzy/DB_CAD_Tools" TargetMode="External" Id="rId497" /><Relationship Type="http://schemas.openxmlformats.org/officeDocument/2006/relationships/hyperlink" Target="https://github.com/zhugecaomao/AutoLISP/blob/main/Z-%E4%BF%AE%E6%94%B9%E5%9C%B0%E5%BD%A2%E7%BA%BF%E9%AB%98%E7%A8%8B%E5%80%BC.LSP" TargetMode="External" Id="rId498" /><Relationship Type="http://schemas.openxmlformats.org/officeDocument/2006/relationships/hyperlink" Target="https://github.com/Qin-Dong/Construction-Surveying-Toolkit-For-AutoCAD" TargetMode="External" Id="rId499" /><Relationship Type="http://schemas.openxmlformats.org/officeDocument/2006/relationships/hyperlink" Target="https://bbs.mjtd.com/thread-109747-1-1.html" TargetMode="External" Id="rId500" /><Relationship Type="http://schemas.openxmlformats.org/officeDocument/2006/relationships/hyperlink" Target="https://atlisp.cn/package-info/del-axis-stable.html" TargetMode="External" Id="rId501" /><Relationship Type="http://schemas.openxmlformats.org/officeDocument/2006/relationships/hyperlink" Target="https://bbs.mjtd.com/thread-74527-1-1.html" TargetMode="External" Id="rId502" /><Relationship Type="http://schemas.openxmlformats.org/officeDocument/2006/relationships/hyperlink" Target="https://bbs.mjtd.com/thread-186983-1-1.html" TargetMode="External" Id="rId503" /><Relationship Type="http://schemas.openxmlformats.org/officeDocument/2006/relationships/hyperlink" Target="https://github.com/wjnnan/03-AutoCAD-lis" TargetMode="External" Id="rId504" /><Relationship Type="http://schemas.openxmlformats.org/officeDocument/2006/relationships/hyperlink" Target="https://bbs.mjtd.com/thread-188328-1-1.html" TargetMode="External" Id="rId505" /><Relationship Type="http://schemas.openxmlformats.org/officeDocument/2006/relationships/hyperlink" Target="https://bbs.mjtd.com/thread-80080-1-1.html" TargetMode="External" Id="rId506" /><Relationship Type="http://schemas.openxmlformats.org/officeDocument/2006/relationships/hyperlink" Target="https://bbs.mjtd.com/thread-179601-1-1.html" TargetMode="External" Id="rId507" /><Relationship Type="http://schemas.openxmlformats.org/officeDocument/2006/relationships/hyperlink" Target="https://github.com/dailei-code/autocad-autolisp-tooling" TargetMode="External" Id="rId508" /><Relationship Type="http://schemas.openxmlformats.org/officeDocument/2006/relationships/hyperlink" Target="https://bbs.mjtd.com/thread-99894-1-1.html" TargetMode="External" Id="rId509" /><Relationship Type="http://schemas.openxmlformats.org/officeDocument/2006/relationships/hyperlink" Target="https://bbs.mjtd.com/thread-187017-1-1.html" TargetMode="External" Id="rId510" /><Relationship Type="http://schemas.openxmlformats.org/officeDocument/2006/relationships/hyperlink" Target="https://bbs.mjtd.com/thread-178641-1-1.html" TargetMode="External" Id="rId511" /><Relationship Type="http://schemas.openxmlformats.org/officeDocument/2006/relationships/hyperlink" Target="https://bbs.mjtd.com/thread-192719-1-1.html" TargetMode="External" Id="rId512" /><Relationship Type="http://schemas.openxmlformats.org/officeDocument/2006/relationships/hyperlink" Target="https://bbs.mjtd.com/thread-179925-1-1.html" TargetMode="External" Id="rId513" /><Relationship Type="http://schemas.openxmlformats.org/officeDocument/2006/relationships/hyperlink" Target="https://bbs.mjtd.com/thread-188513-1-1.html" TargetMode="External" Id="rId514" /><Relationship Type="http://schemas.openxmlformats.org/officeDocument/2006/relationships/hyperlink" Target="https://atlisp.cn/package-info/at-linetype-stable.html" TargetMode="External" Id="rId515" /><Relationship Type="http://schemas.openxmlformats.org/officeDocument/2006/relationships/hyperlink" Target="https://bbs.mjtd.com/thread-186837-1-1.html" TargetMode="External" Id="rId516" /><Relationship Type="http://schemas.openxmlformats.org/officeDocument/2006/relationships/hyperlink" Target="https://bbs.mjtd.com/thread-98886-1-1.html" TargetMode="External" Id="rId517" /><Relationship Type="http://schemas.openxmlformats.org/officeDocument/2006/relationships/hyperlink" Target="https://bbs.mjtd.com/thread-184247-1-1.html" TargetMode="External" Id="rId518" /><Relationship Type="http://schemas.openxmlformats.org/officeDocument/2006/relationships/hyperlink" Target="https://github.com/zhugecaomao/AutoLISP/blob/main/AAA-%E6%B1%87%E6%80%BB.lsp" TargetMode="External" Id="rId519" /><Relationship Type="http://schemas.openxmlformats.org/officeDocument/2006/relationships/hyperlink" Target="https://bbs.mjtd.com/thread-191690-1-1.html" TargetMode="External" Id="rId520" /><Relationship Type="http://schemas.openxmlformats.org/officeDocument/2006/relationships/hyperlink" Target="https://github.com/zhugecaomao/AutoLISP/blob/main/CSBJ-%E7%94%BB%E6%9D%BF%E9%92%A2%E7%AD%8B.LSP" TargetMode="External" Id="rId521" /><Relationship Type="http://schemas.openxmlformats.org/officeDocument/2006/relationships/hyperlink" Target="https://github.com/Qin-Dong/Construction-Surveying-Toolkit-For-AutoCAD" TargetMode="External" Id="rId522" /><Relationship Type="http://schemas.openxmlformats.org/officeDocument/2006/relationships/hyperlink" Target="https://github.com/atlisp-org/atlisp-lib/tree/main/src/geometry" TargetMode="External" Id="rId523" /><Relationship Type="http://schemas.openxmlformats.org/officeDocument/2006/relationships/hyperlink" Target="https://github.com/atlisp-org/atlisp-lib/tree/main/src/re" TargetMode="External" Id="rId524" /><Relationship Type="http://schemas.openxmlformats.org/officeDocument/2006/relationships/hyperlink" Target="https://github.com/atlisp-org/atlisp-lib/tree/main/src/vectra" TargetMode="External" Id="rId525" /><Relationship Type="http://schemas.openxmlformats.org/officeDocument/2006/relationships/hyperlink" Target="https://atlisp.cn/package-info/at-block-stable.html" TargetMode="External" Id="rId526" /><Relationship Type="http://schemas.openxmlformats.org/officeDocument/2006/relationships/hyperlink" Target="http://bbs.xdcad.net/thread-725635-1-1.html" TargetMode="External" Id="rId527" /><Relationship Type="http://schemas.openxmlformats.org/officeDocument/2006/relationships/hyperlink" Target="https://bbs.mjtd.com/thread-113339-1-1.html" TargetMode="External" Id="rId528" /><Relationship Type="http://schemas.openxmlformats.org/officeDocument/2006/relationships/hyperlink" Target="https://bbs.mjtd.com/thread-180383-1-1.html" TargetMode="External" Id="rId529" /><Relationship Type="http://schemas.openxmlformats.org/officeDocument/2006/relationships/hyperlink" Target="https://bbs.mjtd.com/thread-68167-1-1.html" TargetMode="External" Id="rId530" /><Relationship Type="http://schemas.openxmlformats.org/officeDocument/2006/relationships/hyperlink" Target="https://bbs.mjtd.com/thread-12645-1-1.html" TargetMode="External" Id="rId531" /><Relationship Type="http://schemas.openxmlformats.org/officeDocument/2006/relationships/hyperlink" Target="https://atlisp.cn/package-info/at-text-stable.html" TargetMode="External" Id="rId532" /><Relationship Type="http://schemas.openxmlformats.org/officeDocument/2006/relationships/hyperlink" Target="https://bbs.mjtd.com/thread-192465-1-1.html" TargetMode="External" Id="rId533" /><Relationship Type="http://schemas.openxmlformats.org/officeDocument/2006/relationships/hyperlink" Target="https://bbs.mjtd.com/thread-92640-1-1.html" TargetMode="External" Id="rId534" /><Relationship Type="http://schemas.openxmlformats.org/officeDocument/2006/relationships/hyperlink" Target="https://atlisp.cn/package-info/block-view-stable.html" TargetMode="External" Id="rId535" /><Relationship Type="http://schemas.openxmlformats.org/officeDocument/2006/relationships/hyperlink" Target="http://bbs.xdcad.net/thread-730416-1-1.html" TargetMode="External" Id="rId536" /><Relationship Type="http://schemas.openxmlformats.org/officeDocument/2006/relationships/hyperlink" Target="https://github.com/zhugecaomao/AutoLISP/blob/main/detail1-%E7%BB%98%E5%89%96%E5%88%87%E7%BA%BF.lsp" TargetMode="External" Id="rId537" /><Relationship Type="http://schemas.openxmlformats.org/officeDocument/2006/relationships/hyperlink" Target="https://github.com/atlisp-org/atlisp-lib/tree/main/src/excel" TargetMode="External" Id="rId538" /><Relationship Type="http://schemas.openxmlformats.org/officeDocument/2006/relationships/hyperlink" Target="https://github.com/shui-tiao/AutoCAD-Lisp-Tools" TargetMode="External" Id="rId539" /><Relationship Type="http://schemas.openxmlformats.org/officeDocument/2006/relationships/hyperlink" Target="https://bbs.mjtd.com/thread-192363-1-1.html" TargetMode="External" Id="rId540" /><Relationship Type="http://schemas.openxmlformats.org/officeDocument/2006/relationships/hyperlink" Target="https://atlisp.cn/package-info/at-session-stable.html" TargetMode="External" Id="rId541" /><Relationship Type="http://schemas.openxmlformats.org/officeDocument/2006/relationships/hyperlink" Target="https://bbs.mjtd.com/thread-193229-1-1.html" TargetMode="External" Id="rId542" /><Relationship Type="http://schemas.openxmlformats.org/officeDocument/2006/relationships/hyperlink" Target="https://bbs.mjtd.com/thread-179515-1-1.html" TargetMode="External" Id="rId543" /><Relationship Type="http://schemas.openxmlformats.org/officeDocument/2006/relationships/hyperlink" Target="https://atlisp.cn/package-info/remove-edu-blade-stable.html" TargetMode="External" Id="rId544" /><Relationship Type="http://schemas.openxmlformats.org/officeDocument/2006/relationships/hyperlink" Target="https://bbs.mjtd.com/thread-179282-1-1.html" TargetMode="External" Id="rId545" /><Relationship Type="http://schemas.openxmlformats.org/officeDocument/2006/relationships/hyperlink" Target="https://bbs.mjtd.com/thread-99707-1-1.html" TargetMode="External" Id="rId546" /><Relationship Type="http://schemas.openxmlformats.org/officeDocument/2006/relationships/hyperlink" Target="https://bbs.mjtd.com/thread-185109-1-1.html" TargetMode="External" Id="rId547" /><Relationship Type="http://schemas.openxmlformats.org/officeDocument/2006/relationships/hyperlink" Target="https://bbs.mjtd.com/thread-180424-1-1.html" TargetMode="External" Id="rId548" /><Relationship Type="http://schemas.openxmlformats.org/officeDocument/2006/relationships/hyperlink" Target="https://bbs.mjtd.com/thread-83421-1-1.html" TargetMode="External" Id="rId549" /><Relationship Type="http://schemas.openxmlformats.org/officeDocument/2006/relationships/hyperlink" Target="https://bbs.mjtd.com/thread-192240-1-1.html" TargetMode="External" Id="rId550" /><Relationship Type="http://schemas.openxmlformats.org/officeDocument/2006/relationships/hyperlink" Target="https://github.com/zhugecaomao/AutoLISP" TargetMode="External" Id="rId551" /><Relationship Type="http://schemas.openxmlformats.org/officeDocument/2006/relationships/hyperlink" Target="https://github.com/zhugecaomao/AutoLISP/blob/main/zfhb-%E6%96%87%E5%AD%97%E5%90%88%E5%B9%B6%E7%A8%8B%E5%BA%8F.lsp" TargetMode="External" Id="rId552" /><Relationship Type="http://schemas.openxmlformats.org/officeDocument/2006/relationships/hyperlink" Target="https://bbs.mjtd.com/thread-189001-1-1.html" TargetMode="External" Id="rId553" /><Relationship Type="http://schemas.openxmlformats.org/officeDocument/2006/relationships/hyperlink" Target="https://bbs.mjtd.com/thread-178472-1-1.html" TargetMode="External" Id="rId554" /><Relationship Type="http://schemas.openxmlformats.org/officeDocument/2006/relationships/hyperlink" Target="https://github.com/atlisp-org/atlisp-lib/tree/main/src/astronomy" TargetMode="External" Id="rId555" /><Relationship Type="http://schemas.openxmlformats.org/officeDocument/2006/relationships/hyperlink" Target="https://github.com/zhugecaomao/AutoLISP/blob/main/CRPIAO-%E5%9C%86%E5%8D%8A%E5%BE%84%E8%BD%AC%E6%8D%A2.LSP" TargetMode="External" Id="rId556" /><Relationship Type="http://schemas.openxmlformats.org/officeDocument/2006/relationships/hyperlink" Target="https://github.com/atlisp-org/atlisp-lib/tree/main/src/curve" TargetMode="External" Id="rId557" /><Relationship Type="http://schemas.openxmlformats.org/officeDocument/2006/relationships/hyperlink" Target="https://github.com/atlisp-org/atlisp-lib/tree/main/src/json" TargetMode="External" Id="rId558" /><Relationship Type="http://schemas.openxmlformats.org/officeDocument/2006/relationships/hyperlink" Target="https://github.com/shuixzy/DB_CAD_Tools" TargetMode="External" Id="rId559" /><Relationship Type="http://schemas.openxmlformats.org/officeDocument/2006/relationships/hyperlink" Target="https://github.com/jianpf/autolisp" TargetMode="External" Id="rId560" /><Relationship Type="http://schemas.openxmlformats.org/officeDocument/2006/relationships/hyperlink" Target="https://bbs.mjtd.com/thread-189711-1-1.html" TargetMode="External" Id="rId561" /><Relationship Type="http://schemas.openxmlformats.org/officeDocument/2006/relationships/hyperlink" Target="https://atlisp.cn/package-info/at-layer-stable.html" TargetMode="External" Id="rId562" /><Relationship Type="http://schemas.openxmlformats.org/officeDocument/2006/relationships/hyperlink" Target="https://bbs.mjtd.com/thread-80339-1-1.html" TargetMode="External" Id="rId563" /><Relationship Type="http://schemas.openxmlformats.org/officeDocument/2006/relationships/hyperlink" Target="https://atlisp.cn/package-info/at-block-stable.html" TargetMode="External" Id="rId564" /><Relationship Type="http://schemas.openxmlformats.org/officeDocument/2006/relationships/hyperlink" Target="https://atlisp.cn/package-info/curtain-stable.html" TargetMode="External" Id="rId565" /><Relationship Type="http://schemas.openxmlformats.org/officeDocument/2006/relationships/hyperlink" Target="https://atlisp.cn/package-info/at-structure-stable.html" TargetMode="External" Id="rId566" /><Relationship Type="http://schemas.openxmlformats.org/officeDocument/2006/relationships/hyperlink" Target="https://atlisp.cn/package-info/pkpm-jss-stable.html" TargetMode="External" Id="rId567" /><Relationship Type="http://schemas.openxmlformats.org/officeDocument/2006/relationships/hyperlink" Target="https://github.com/zhugecaomao/AutoLISP" TargetMode="External" Id="rId568" /><Relationship Type="http://schemas.openxmlformats.org/officeDocument/2006/relationships/hyperlink" Target="https://atlisp.cn/package-info/flange-stable.html" TargetMode="External" Id="rId569" /><Relationship Type="http://schemas.openxmlformats.org/officeDocument/2006/relationships/hyperlink" Target="https://atlisp.cn/package-info/htj-stable.html" TargetMode="External" Id="rId570" /><Relationship Type="http://schemas.openxmlformats.org/officeDocument/2006/relationships/hyperlink" Target="https://bbs.mjtd.com/thread-72580-1-1.html" TargetMode="External" Id="rId571" /><Relationship Type="http://schemas.openxmlformats.org/officeDocument/2006/relationships/hyperlink" Target="https://atlisp.cn/package-info/saw-blade-stable.html" TargetMode="External" Id="rId572" /><Relationship Type="http://schemas.openxmlformats.org/officeDocument/2006/relationships/hyperlink" Target="https://github.com/atlisp-org/atlisp-lib/tree/main/src/block" TargetMode="External" Id="rId573" /><Relationship Type="http://schemas.openxmlformats.org/officeDocument/2006/relationships/hyperlink" Target="https://github.com/atlisp-org/atlisp-lib/tree/main/src/entity" TargetMode="External" Id="rId574" /><Relationship Type="http://schemas.openxmlformats.org/officeDocument/2006/relationships/hyperlink" Target="https://atlisp.cn/package-info/at-text-stable.html" TargetMode="External" Id="rId575" /><Relationship Type="http://schemas.openxmlformats.org/officeDocument/2006/relationships/hyperlink" Target="https://bbs.mjtd.com/thread-84513-1-1.html" TargetMode="External" Id="rId576" /><Relationship Type="http://schemas.openxmlformats.org/officeDocument/2006/relationships/hyperlink" Target="https://atlisp.cn/package-info/wire-cut-stable.html" TargetMode="External" Id="rId577" /><Relationship Type="http://schemas.openxmlformats.org/officeDocument/2006/relationships/hyperlink" Target="https://atlisp.cn/package-info/structure-stable.html" TargetMode="External" Id="rId578" /><Relationship Type="http://schemas.openxmlformats.org/officeDocument/2006/relationships/hyperlink" Target="https://atlisp.cn/package-info/at-block-stable.html" TargetMode="External" Id="rId579" /><Relationship Type="http://schemas.openxmlformats.org/officeDocument/2006/relationships/hyperlink" Target="https://atlisp.cn/package-info/dev-tools-stable.html" TargetMode="External" Id="rId580" /><Relationship Type="http://schemas.openxmlformats.org/officeDocument/2006/relationships/hyperlink" Target="https://atlisp.cn/package-info/at-layout-stable.html" TargetMode="External" Id="rId581" /><Relationship Type="http://schemas.openxmlformats.org/officeDocument/2006/relationships/hyperlink" Target="https://github.com/atlisp-org/atlisp-lib/tree/main/src/clipboard" TargetMode="External" Id="rId582" /><Relationship Type="http://schemas.openxmlformats.org/officeDocument/2006/relationships/hyperlink" Target="https://github.com/atlisp-org/atlisp-lib/tree/main/src/layout" TargetMode="External" Id="rId583" /><Relationship Type="http://schemas.openxmlformats.org/officeDocument/2006/relationships/hyperlink" Target="https://github.com/atlisp-org/atlisp-lib/tree/main/src/string" TargetMode="External" Id="rId584" /><Relationship Type="http://schemas.openxmlformats.org/officeDocument/2006/relationships/hyperlink" Target="https://atlisp.cn/package-info/landscape-plants-stable.html" TargetMode="External" Id="rId585" /><Relationship Type="http://schemas.openxmlformats.org/officeDocument/2006/relationships/hyperlink" Target="https://bbs.mjtd.com/thread-57617-1-1.html" TargetMode="External" Id="rId586" /><Relationship Type="http://schemas.openxmlformats.org/officeDocument/2006/relationships/hyperlink" Target="https://atlisp.cn/package-info/tarch-stable.html" TargetMode="External" Id="rId587" /><Relationship Type="http://schemas.openxmlformats.org/officeDocument/2006/relationships/hyperlink" Target="https://atlisp.cn/package-info/shaoshupai-stable.html" TargetMode="External" Id="rId588" /><Relationship Type="http://schemas.openxmlformats.org/officeDocument/2006/relationships/hyperlink" Target="https://bbs.mjtd.com/thread-183037-1-1.html" TargetMode="External" Id="rId589" /><Relationship Type="http://schemas.openxmlformats.org/officeDocument/2006/relationships/hyperlink" Target="https://atlisp.cn/package-info/bolt-stable.html" TargetMode="External" Id="rId590" /><Relationship Type="http://schemas.openxmlformats.org/officeDocument/2006/relationships/hyperlink" Target="https://atlisp.cn/package-info/insert-symtext-stable.html" TargetMode="External" Id="rId591" /><Relationship Type="http://schemas.openxmlformats.org/officeDocument/2006/relationships/hyperlink" Target="https://bbs.mjtd.com/thread-186343-1-1.html" TargetMode="External" Id="rId592" /><Relationship Type="http://schemas.openxmlformats.org/officeDocument/2006/relationships/hyperlink" Target="https://bbs.mjtd.com/thread-79975-1-1.html" TargetMode="External" Id="rId593" /><Relationship Type="http://schemas.openxmlformats.org/officeDocument/2006/relationships/hyperlink" Target="https://bbs.mjtd.com/thread-55145-1-1.html" TargetMode="External" Id="rId594" /><Relationship Type="http://schemas.openxmlformats.org/officeDocument/2006/relationships/hyperlink" Target="https://bbs.mjtd.com/thread-192748-1-1.html" TargetMode="External" Id="rId595" /><Relationship Type="http://schemas.openxmlformats.org/officeDocument/2006/relationships/hyperlink" Target="https://github.com/zhugecaomao/AutoLISP/blob/main/BALLOON-%E6%B0%94%E6%B3%A1%E5%BC%8F%E6%A0%87%E6%B3%A8.LSP" TargetMode="External" Id="rId596" /><Relationship Type="http://schemas.openxmlformats.org/officeDocument/2006/relationships/hyperlink" Target="https://github.com/zhugecaomao/AutoLISP/blob/main/ccd.lsp" TargetMode="External" Id="rId597" /><Relationship Type="http://schemas.openxmlformats.org/officeDocument/2006/relationships/hyperlink" Target="https://github.com/atlisp-org/atlisp-lib/tree/main/src/word" TargetMode="External" Id="rId598" /><Relationship Type="http://schemas.openxmlformats.org/officeDocument/2006/relationships/hyperlink" Target="https://bbs.mjtd.com/thread-181345-1-1.html" TargetMode="External" Id="rId599" /><Relationship Type="http://schemas.openxmlformats.org/officeDocument/2006/relationships/hyperlink" Target="https://bbs.mjtd.com/thread-192979-1-1.html" TargetMode="External" Id="rId600" /><Relationship Type="http://schemas.openxmlformats.org/officeDocument/2006/relationships/hyperlink" Target="https://github.com/caadxyz/caad4lisp" TargetMode="External" Id="rId601" /><Relationship Type="http://schemas.openxmlformats.org/officeDocument/2006/relationships/hyperlink" Target="https://github.com/zhugecaomao/AutoLISP/blob/main/ch5-%E5%AD%97%E4%BD%93%E5%AF%B9%E9%BD%90.lsp" TargetMode="External" Id="rId602" /><Relationship Type="http://schemas.openxmlformats.org/officeDocument/2006/relationships/hyperlink" Target="https://github.com/zhugecaomao/AutoLISP/blob/main/%E5%9D%97%E5%B1%9E%E6%80%A7%E7%BC%96%E8%BE%91%E7%A8%8B%E5%BA%8F%20_chattdef.lsp" TargetMode="External" Id="rId603" /><Relationship Type="http://schemas.openxmlformats.org/officeDocument/2006/relationships/hyperlink" Target="https://github.com/zhugecaomao/AutoLISP/blob/main/chdim-%E5%88%87%E6%96%AD%E5%B0%BA%E5%AF%B8%E5%85%B3%E8%81%94.lsp" TargetMode="External" Id="rId604" /><Relationship Type="http://schemas.openxmlformats.org/officeDocument/2006/relationships/hyperlink" Target="https://github.com/zhugecaomao/AutoLISP" TargetMode="External" Id="rId605" /><Relationship Type="http://schemas.openxmlformats.org/officeDocument/2006/relationships/hyperlink" Target="https://github.com/zhugecaomao/AutoLISP/blob/main/140864_jjj.lsp" TargetMode="External" Id="rId606" /><Relationship Type="http://schemas.openxmlformats.org/officeDocument/2006/relationships/hyperlink" Target="https://bbs.mjtd.com/thread-173673-1-1.html" TargetMode="External" Id="rId607" /><Relationship Type="http://schemas.openxmlformats.org/officeDocument/2006/relationships/hyperlink" Target="https://atlisp.cn/package-info/profession-all-in-one-stable.html" TargetMode="External" Id="rId608" /><Relationship Type="http://schemas.openxmlformats.org/officeDocument/2006/relationships/hyperlink" Target="https://bbs.mjtd.com/thread-12996-1-1.html" TargetMode="External" Id="rId609" /><Relationship Type="http://schemas.openxmlformats.org/officeDocument/2006/relationships/hyperlink" Target="https://bbs.mjtd.com/thread-187864-1-1.html" TargetMode="External" Id="rId610" /><Relationship Type="http://schemas.openxmlformats.org/officeDocument/2006/relationships/hyperlink" Target="https://github.com/zhugecaomao/AutoLISP" TargetMode="External" Id="rId611" /><Relationship Type="http://schemas.openxmlformats.org/officeDocument/2006/relationships/hyperlink" Target="https://atlisp.cn/package-info/at-layer-stable.html" TargetMode="External" Id="rId612" /><Relationship Type="http://schemas.openxmlformats.org/officeDocument/2006/relationships/hyperlink" Target="https://atlisp.cn/package-info/at-elec-stable.html" TargetMode="External" Id="rId613" /><Relationship Type="http://schemas.openxmlformats.org/officeDocument/2006/relationships/hyperlink" Target="https://github.com/ch5721032-arch/gstarcad-annotation-tools" TargetMode="External" Id="rId614" /><Relationship Type="http://schemas.openxmlformats.org/officeDocument/2006/relationships/hyperlink" Target="https://github.com/atlisp-org/atlisp-lib/tree/main/src/system" TargetMode="External" Id="rId615" /><Relationship Type="http://schemas.openxmlformats.org/officeDocument/2006/relationships/hyperlink" Target="http://bbs.xdcad.net/thread-672434-1-1.html" TargetMode="External" Id="rId616" /><Relationship Type="http://schemas.openxmlformats.org/officeDocument/2006/relationships/hyperlink" Target="https://atlisp.cn/package-info/xgjmtxcx-stable.html" TargetMode="External" Id="rId617" /><Relationship Type="http://schemas.openxmlformats.org/officeDocument/2006/relationships/hyperlink" Target="https://github.com/zhugecaomao/AutoLISP/blob/main/CSLF-%E5%85%B3%E9%97%AD%E5%9B%BE%E5%B1%82.LSP" TargetMode="External" Id="rId618" /><Relationship Type="http://schemas.openxmlformats.org/officeDocument/2006/relationships/hyperlink" Target="https://github.com/atlisp-org/atlisp-lib/tree/main/src/point" TargetMode="External" Id="rId619" /><Relationship Type="http://schemas.openxmlformats.org/officeDocument/2006/relationships/hyperlink" Target="https://github.com/zhugecaomao/AutoLISP/blob/main/PW.LSP" TargetMode="External" Id="rId620" /><Relationship Type="http://schemas.openxmlformats.org/officeDocument/2006/relationships/hyperlink" Target="https://github.com/sschiplee/RuiCAD" TargetMode="External" Id="rId621" /><Relationship Type="http://schemas.openxmlformats.org/officeDocument/2006/relationships/hyperlink" Target="https://github.com/atlisp-org/atlisp-lib/tree/main/src/std" TargetMode="External" Id="rId622" /><Relationship Type="http://schemas.openxmlformats.org/officeDocument/2006/relationships/hyperlink" Target="https://github.com/zhugecaomao/AutoLISP/blob/main/tmp-%E8%BD%AC%E6%8D%A2%E5%9D%90%E6%A0%87%E7%B3%BB.lsp" TargetMode="External" Id="rId623" /><Relationship Type="http://schemas.openxmlformats.org/officeDocument/2006/relationships/hyperlink" Target="https://bbs.mjtd.com/thread-193243-1-1.html" TargetMode="External" Id="rId624" /><Relationship Type="http://schemas.openxmlformats.org/officeDocument/2006/relationships/hyperlink" Target="https://github.com/jianpf/autolisp" TargetMode="External" Id="rId625" /><Relationship Type="http://schemas.openxmlformats.org/officeDocument/2006/relationships/hyperlink" Target="https://github.com/zhugecaomao/AutoLISP/blob/main/chhang-%E6%89%B9%E9%87%8F%E4%BF%AE%E6%94%B9%E6%96%87%E5%AD%97%E8%A7%92%E5%BA%A6.lsp" TargetMode="External" Id="rId626" /><Relationship Type="http://schemas.openxmlformats.org/officeDocument/2006/relationships/hyperlink" Target="https://github.com/zhugecaomao/AutoLISP/blob/main/CSDB-%E7%BB%98%E5%8F%8C%E7%BA%BFL.LSP" TargetMode="External" Id="rId627" /><Relationship Type="http://schemas.openxmlformats.org/officeDocument/2006/relationships/hyperlink" Target="https://github.com/zhugecaomao/AutoLISP/blob/main/L_X_Y.LSP" TargetMode="External" Id="rId628" /><Relationship Type="http://schemas.openxmlformats.org/officeDocument/2006/relationships/hyperlink" Target="https://github.com/atlisp-org/atlisp-lib/tree/main/src/matrix" TargetMode="External" Id="rId629" /><Relationship Type="http://schemas.openxmlformats.org/officeDocument/2006/relationships/hyperlink" Target="https://github.com/zhugecaomao/AutoLISP/blob/main/testa-%E4%BA%AE%E6%98%BE%E6%8C%87%E5%AE%9A%E9%A2%9C%E8%89%B2%E7%9A%84%E5%AE%9E%E4%BD%93.LSP" TargetMode="External" Id="rId630" /><Relationship Type="http://schemas.openxmlformats.org/officeDocument/2006/relationships/hyperlink" Target="https://github.com/zhugecaomao/AutoLISP" TargetMode="External" Id="rId631" /><Relationship Type="http://schemas.openxmlformats.org/officeDocument/2006/relationships/hyperlink" Target="https://github.com/zhugecaomao/AutoLISP/blob/main/chgtext-%E6%89%B9%E9%87%8F%E6%9B%BF%E6%8D%A2%E5%AD%97%E7%AC%A6.lsp" TargetMode="External" Id="rId632" /><Relationship Type="http://schemas.openxmlformats.org/officeDocument/2006/relationships/hyperlink" Target="https://github.com/zhugecaomao/AutoLISP/blob/main/CSPEDIT-%E6%94%B9%E5%8F%98%E7%BA%BF%E5%AE%BD.LSP" TargetMode="External" Id="rId633" /><Relationship Type="http://schemas.openxmlformats.org/officeDocument/2006/relationships/hyperlink" Target="https://github.com/zhugecaomao/AutoLISP/blob/main/fx-%E7%BA%BF%E5%BD%A2%E5%8F%8D%E5%90%91.lsp" TargetMode="External" Id="rId634" /><Relationship Type="http://schemas.openxmlformats.org/officeDocument/2006/relationships/hyperlink" Target="https://github.com/atlisp-org/atlisp-lib/tree/main/src/list" TargetMode="External" Id="rId635" /><Relationship Type="http://schemas.openxmlformats.org/officeDocument/2006/relationships/hyperlink" Target="https://github.com/zhugecaomao/AutoLISP/blob/main/Tc-%E4%BF%AE%E6%94%B9%E5%AD%97%E9%AB%98.lsp" TargetMode="External" Id="rId636" /><Relationship Type="http://schemas.openxmlformats.org/officeDocument/2006/relationships/hyperlink" Target="https://github.com/atlisp-org/atlisp-lib/tree/main/src/vla" TargetMode="External" Id="rId637" /><Relationship Type="http://schemas.openxmlformats.org/officeDocument/2006/relationships/hyperlink" Target="https://atlisp.cn/package-info/at-text-stable.html" TargetMode="External" Id="rId638" /><Relationship Type="http://schemas.openxmlformats.org/officeDocument/2006/relationships/hyperlink" Target="https://bbs.mjtd.com/thread-176153-1-1.html" TargetMode="External" Id="rId639" /><Relationship Type="http://schemas.openxmlformats.org/officeDocument/2006/relationships/hyperlink" Target="https://atlisp.cn/package-info/at-curve-stable.html" TargetMode="External" Id="rId640" /><Relationship Type="http://schemas.openxmlformats.org/officeDocument/2006/relationships/hyperlink" Target="https://atlisp.cn/package-info/pipeline-stable.html" TargetMode="External" Id="rId641" /><Relationship Type="http://schemas.openxmlformats.org/officeDocument/2006/relationships/hyperlink" Target="https://github.com/atlisp-org/atlisp-lib/tree/main/src/layer" TargetMode="External" Id="rId642" /><Relationship Type="http://schemas.openxmlformats.org/officeDocument/2006/relationships/hyperlink" Target="https://atlisp.cn/package-info/jianzhuyun-stable.html" TargetMode="External" Id="rId643" /><Relationship Type="http://schemas.openxmlformats.org/officeDocument/2006/relationships/hyperlink" Target="https://bbs.mjtd.com/thread-84201-1-1.html" TargetMode="External" Id="rId644" /><Relationship Type="http://schemas.openxmlformats.org/officeDocument/2006/relationships/hyperlink" Target="https://atlisp.cn/package-info/at-wsad-stable.html" TargetMode="External" Id="rId645" /><Relationship Type="http://schemas.openxmlformats.org/officeDocument/2006/relationships/hyperlink" Target="https://github.com/atlisp-org/atlisp-lib/tree/main/src/color" TargetMode="External" Id="rId646" /><Relationship Type="http://schemas.openxmlformats.org/officeDocument/2006/relationships/hyperlink" Target="https://github.com/atlisp-org/atlisp-lib/tree/main/src/m" TargetMode="External" Id="rId647" /><Relationship Type="http://schemas.openxmlformats.org/officeDocument/2006/relationships/hyperlink" Target="https://bbs.mjtd.com/thread-99722-1-1.html" TargetMode="External" Id="rId648" /><Relationship Type="http://schemas.openxmlformats.org/officeDocument/2006/relationships/hyperlink" Target="https://atlisp.cn/package-info/wcal-stable.html" TargetMode="External" Id="rId649" /><Relationship Type="http://schemas.openxmlformats.org/officeDocument/2006/relationships/hyperlink" Target="https://github.com/atlisp-org/atlisp-lib/tree/main/src/p" TargetMode="External" Id="rId650" /><Relationship Type="http://schemas.openxmlformats.org/officeDocument/2006/relationships/hyperlink" Target="https://atlisp.cn/package-info/game-wzq-stable.html" TargetMode="External" Id="rId651" /><Relationship Type="http://schemas.openxmlformats.org/officeDocument/2006/relationships/hyperlink" Target="https://github.com/atlisp-org/atlisp-lib/tree/main/src/datetime" TargetMode="External" Id="rId652" /><Relationship Type="http://schemas.openxmlformats.org/officeDocument/2006/relationships/hyperlink" Target="https://github.com/zhugecaomao/AutoLISP/blob/main/hu-%E5%BC%A7%E9%95%BF%E6%A0%87%E6%B3%A8.lsp" TargetMode="External" Id="rId653" /><Relationship Type="http://schemas.openxmlformats.org/officeDocument/2006/relationships/hyperlink" Target="https://bbs.mjtd.com/thread-179473-1-1.html" TargetMode="External" Id="rId654" /><Relationship Type="http://schemas.openxmlformats.org/officeDocument/2006/relationships/hyperlink" Target="https://bbs.mjtd.com/thread-101906-1-1.html" TargetMode="External" Id="rId6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28" customWidth="1" min="4" max="4"/>
    <col width="34" customWidth="1" min="5" max="5"/>
    <col width="9" customWidth="1" min="6" max="6"/>
    <col width="9" customWidth="1" min="7" max="7"/>
    <col width="9" customWidth="1" min="8" max="8"/>
    <col width="9" customWidth="1" min="9" max="9"/>
    <col width="8" customWidth="1" min="10" max="10"/>
    <col width="28" customWidth="1" min="11" max="11"/>
    <col width="20" customWidth="1" min="12" max="12"/>
    <col width="20" customWidth="1" min="13" max="13"/>
    <col width="7" customWidth="1" min="14" max="14"/>
  </cols>
  <sheetData>
    <row r="1" ht="30" customHeight="1">
      <c r="A1" s="1" t="inlineStr">
        <is>
          <t>順位</t>
        </is>
      </c>
      <c r="B1" s="1" t="inlineStr">
        <is>
          <t>分野</t>
        </is>
      </c>
      <c r="C1" s="1" t="inlineStr">
        <is>
          <t>コマンド</t>
        </is>
      </c>
      <c r="D1" s="1" t="inlineStr">
        <is>
          <t>名前</t>
        </is>
      </c>
      <c r="E1" s="1" t="inlineStr">
        <is>
          <t>何をするツールか</t>
        </is>
      </c>
      <c r="F1" s="1" t="inlineStr">
        <is>
          <t>非代替性</t>
        </is>
      </c>
      <c r="G1" s="1" t="inlineStr">
        <is>
          <t>斬新さ</t>
        </is>
      </c>
      <c r="H1" s="1" t="inlineStr">
        <is>
          <t>時短効果</t>
        </is>
      </c>
      <c r="I1" s="1" t="inlineStr">
        <is>
          <t>汎用性</t>
        </is>
      </c>
      <c r="J1" s="1" t="inlineStr">
        <is>
          <t>合計</t>
        </is>
      </c>
      <c r="K1" s="1" t="inlineStr">
        <is>
          <t>評価メモ</t>
        </is>
      </c>
      <c r="L1" s="1" t="inlineStr">
        <is>
          <t>作者</t>
        </is>
      </c>
      <c r="M1" s="1" t="inlineStr">
        <is>
          <t>サイト</t>
        </is>
      </c>
      <c r="N1" s="1" t="inlineStr">
        <is>
          <t>リンク</t>
        </is>
      </c>
    </row>
    <row r="2">
      <c r="A2" s="2">
        <f>RANK(J2,$J$2:$J$656)</f>
        <v/>
      </c>
      <c r="B2" s="3" t="inlineStr">
        <is>
          <t>外部参照・図面管理・一括処理</t>
        </is>
      </c>
      <c r="C2" s="3" t="inlineStr">
        <is>
          <t>上班/下班</t>
        </is>
      </c>
      <c r="D2" s="4" t="inlineStr">
        <is>
          <t>会话管理 (@lisp会话)</t>
        </is>
      </c>
      <c r="E2" s="4" t="inlineStr">
        <is>
          <t>開いている図面群を保存し翌日一括再開</t>
        </is>
      </c>
      <c r="F2" s="2" t="n">
        <v>22</v>
      </c>
      <c r="G2" s="2" t="n">
        <v>20</v>
      </c>
      <c r="H2" s="2" t="n">
        <v>17</v>
      </c>
      <c r="I2" s="2" t="n">
        <v>21</v>
      </c>
      <c r="J2" s="5">
        <f>SUM(F2:I2)</f>
        <v/>
      </c>
      <c r="K2" s="4" t="inlineStr">
        <is>
          <t>作業セッション保存が秀逸</t>
        </is>
      </c>
      <c r="L2" s="3" t="inlineStr">
        <is>
          <t>VitalGG</t>
        </is>
      </c>
      <c r="M2" s="3" t="inlineStr">
        <is>
          <t>@lisp 应用云</t>
        </is>
      </c>
      <c r="N2" s="6" t="inlineStr">
        <is>
          <t>開く</t>
        </is>
      </c>
    </row>
    <row r="3">
      <c r="A3" s="2">
        <f>RANK(J3,$J$2:$J$656)</f>
        <v/>
      </c>
      <c r="B3" s="3" t="inlineStr">
        <is>
          <t>印刷・レイアウト・図枠</t>
        </is>
      </c>
      <c r="C3" s="3" t="inlineStr">
        <is>
          <t>批量打印</t>
        </is>
      </c>
      <c r="D3" s="4" t="inlineStr">
        <is>
          <t>批量打印-邱枫版 (Batchplot)</t>
        </is>
      </c>
      <c r="E3" s="4" t="inlineStr">
        <is>
          <t>1図面多図枠を自動判定し一括印刷・分図</t>
        </is>
      </c>
      <c r="F3" s="2" t="n">
        <v>20</v>
      </c>
      <c r="G3" s="2" t="n">
        <v>15</v>
      </c>
      <c r="H3" s="2" t="n">
        <v>23</v>
      </c>
      <c r="I3" s="2" t="n">
        <v>22</v>
      </c>
      <c r="J3" s="5">
        <f>SUM(F3:I3)</f>
        <v/>
      </c>
      <c r="K3" s="4" t="inlineStr">
        <is>
          <t>中国で最も普及した一括印刷</t>
        </is>
      </c>
      <c r="L3" s="3" t="inlineStr">
        <is>
          <t>邱枫</t>
        </is>
      </c>
      <c r="M3" s="3" t="inlineStr">
        <is>
          <t>@lisp 应用云</t>
        </is>
      </c>
      <c r="N3" s="6" t="inlineStr">
        <is>
          <t>開く</t>
        </is>
      </c>
    </row>
    <row r="4">
      <c r="A4" s="2">
        <f>RANK(J4,$J$2:$J$656)</f>
        <v/>
      </c>
      <c r="B4" s="3" t="inlineStr">
        <is>
          <t>印刷・レイアウト・図枠</t>
        </is>
      </c>
      <c r="C4" s="3" t="inlineStr">
        <is>
          <t>BatchPlot</t>
        </is>
      </c>
      <c r="D4" s="4" t="inlineStr">
        <is>
          <t>批量打印程序v3.6.1 (秋枫版改)</t>
        </is>
      </c>
      <c r="E4" s="4" t="inlineStr">
        <is>
          <t>図枠を自動認識し1図面多図枠を一括印刷</t>
        </is>
      </c>
      <c r="F4" s="2" t="n">
        <v>20</v>
      </c>
      <c r="G4" s="2" t="n">
        <v>15</v>
      </c>
      <c r="H4" s="2" t="n">
        <v>23</v>
      </c>
      <c r="I4" s="2" t="n">
        <v>22</v>
      </c>
      <c r="J4" s="5">
        <f>SUM(F4:I4)</f>
        <v/>
      </c>
      <c r="K4" s="4" t="inlineStr">
        <is>
          <t>中国標準の一括印刷</t>
        </is>
      </c>
      <c r="L4" s="3" t="inlineStr">
        <is>
          <t>ludaweb/秋枫</t>
        </is>
      </c>
      <c r="M4" s="3" t="inlineStr">
        <is>
          <t>明经CAD社区</t>
        </is>
      </c>
      <c r="N4" s="6" t="inlineStr">
        <is>
          <t>開く</t>
        </is>
      </c>
    </row>
    <row r="5">
      <c r="A5" s="2">
        <f>RANK(J5,$J$2:$J$656)</f>
        <v/>
      </c>
      <c r="B5" s="3" t="inlineStr">
        <is>
          <t>印刷・レイアウト・図枠</t>
        </is>
      </c>
      <c r="C5" s="3" t="inlineStr">
        <is>
          <t>AI识别图框/批打输出</t>
        </is>
      </c>
      <c r="D5" s="4" t="inlineStr">
        <is>
          <t>智能识别图框批量打印 (@打印输出)</t>
        </is>
      </c>
      <c r="E5" s="4" t="inlineStr">
        <is>
          <t>図枠をPL/線/ブロックから識別し一括印刷</t>
        </is>
      </c>
      <c r="F5" s="2" t="n">
        <v>20</v>
      </c>
      <c r="G5" s="2" t="n">
        <v>17</v>
      </c>
      <c r="H5" s="2" t="n">
        <v>22</v>
      </c>
      <c r="I5" s="2" t="n">
        <v>21</v>
      </c>
      <c r="J5" s="5">
        <f>SUM(F5:I5)</f>
        <v/>
      </c>
      <c r="K5" s="4" t="inlineStr">
        <is>
          <t>図枠自動認識の一括印刷</t>
        </is>
      </c>
      <c r="L5" s="3" t="inlineStr">
        <is>
          <t>VitalGG</t>
        </is>
      </c>
      <c r="M5" s="3" t="inlineStr">
        <is>
          <t>@lisp 应用云</t>
        </is>
      </c>
      <c r="N5" s="6" t="inlineStr">
        <is>
          <t>開く</t>
        </is>
      </c>
    </row>
    <row r="6">
      <c r="A6" s="2">
        <f>RANK(J6,$J$2:$J$656)</f>
        <v/>
      </c>
      <c r="B6" s="3" t="inlineStr">
        <is>
          <t>文字・テキスト</t>
        </is>
      </c>
      <c r="C6" s="3" t="inlineStr">
        <is>
          <t>文字避让</t>
        </is>
      </c>
      <c r="D6" s="4" t="inlineStr">
        <is>
          <t>文字避让 (@lisp文本)</t>
        </is>
      </c>
      <c r="E6" s="4" t="inlineStr">
        <is>
          <t>重なった単線文字を自動で逃がし配置</t>
        </is>
      </c>
      <c r="F6" s="2" t="n">
        <v>22</v>
      </c>
      <c r="G6" s="2" t="n">
        <v>20</v>
      </c>
      <c r="H6" s="2" t="n">
        <v>17</v>
      </c>
      <c r="I6" s="2" t="n">
        <v>18</v>
      </c>
      <c r="J6" s="5">
        <f>SUM(F6:I6)</f>
        <v/>
      </c>
      <c r="K6" s="4" t="inlineStr">
        <is>
          <t>重なり自動回避は独自</t>
        </is>
      </c>
      <c r="L6" s="3" t="inlineStr">
        <is>
          <t>VitalGG</t>
        </is>
      </c>
      <c r="M6" s="3" t="inlineStr">
        <is>
          <t>@lisp 应用云</t>
        </is>
      </c>
      <c r="N6" s="6" t="inlineStr">
        <is>
          <t>開く</t>
        </is>
      </c>
    </row>
    <row r="7">
      <c r="A7" s="2">
        <f>RANK(J7,$J$2:$J$656)</f>
        <v/>
      </c>
      <c r="B7" s="3" t="inlineStr">
        <is>
          <t>文字・テキスト</t>
        </is>
      </c>
      <c r="C7" s="3" t="inlineStr">
        <is>
          <t>AW</t>
        </is>
      </c>
      <c r="D7" s="4" t="inlineStr">
        <is>
          <t>ZW工具 AW 文字自动避让</t>
        </is>
      </c>
      <c r="E7" s="4" t="inlineStr">
        <is>
          <t>文字を微移動して線・他文字との重なりを回避</t>
        </is>
      </c>
      <c r="F7" s="2" t="n">
        <v>22</v>
      </c>
      <c r="G7" s="2" t="n">
        <v>19</v>
      </c>
      <c r="H7" s="2" t="n">
        <v>16</v>
      </c>
      <c r="I7" s="2" t="n">
        <v>17</v>
      </c>
      <c r="J7" s="5">
        <f>SUM(F7:I7)</f>
        <v/>
      </c>
      <c r="K7" s="4" t="inlineStr">
        <is>
          <t>重なり自動回避</t>
        </is>
      </c>
      <c r="L7" s="3" t="inlineStr">
        <is>
          <t>y1991427360s</t>
        </is>
      </c>
      <c r="M7" s="3" t="inlineStr">
        <is>
          <t>GitHub: y1991427360s/zwcad-autolisp-tools</t>
        </is>
      </c>
      <c r="N7" s="6" t="inlineStr">
        <is>
          <t>開く</t>
        </is>
      </c>
    </row>
    <row r="8">
      <c r="A8" s="2">
        <f>RANK(J8,$J$2:$J$656)</f>
        <v/>
      </c>
      <c r="B8" s="3" t="inlineStr">
        <is>
          <t>印刷・レイアウト・図枠</t>
        </is>
      </c>
      <c r="C8" s="3" t="inlineStr">
        <is>
          <t>有云批打</t>
        </is>
      </c>
      <c r="D8" s="4" t="inlineStr">
        <is>
          <t>有云批量打印</t>
        </is>
      </c>
      <c r="E8" s="4" t="inlineStr">
        <is>
          <t>図枠を検出して一括印刷・PDF化</t>
        </is>
      </c>
      <c r="F8" s="2" t="n">
        <v>19</v>
      </c>
      <c r="G8" s="2" t="n">
        <v>12</v>
      </c>
      <c r="H8" s="2" t="n">
        <v>22</v>
      </c>
      <c r="I8" s="2" t="n">
        <v>21</v>
      </c>
      <c r="J8" s="5">
        <f>SUM(F8:I8)</f>
        <v/>
      </c>
      <c r="K8" s="4" t="inlineStr">
        <is>
          <t>図枠一括印刷</t>
        </is>
      </c>
      <c r="L8" s="3" t="inlineStr">
        <is>
          <t>有云</t>
        </is>
      </c>
      <c r="M8" s="3" t="inlineStr">
        <is>
          <t>@lisp 应用云</t>
        </is>
      </c>
      <c r="N8" s="6" t="inlineStr">
        <is>
          <t>開く</t>
        </is>
      </c>
    </row>
    <row r="9">
      <c r="A9" s="2">
        <f>RANK(J9,$J$2:$J$656)</f>
        <v/>
      </c>
      <c r="B9" s="3" t="inlineStr">
        <is>
          <t>線・ポリライン編集</t>
        </is>
      </c>
      <c r="C9" s="3" t="inlineStr">
        <is>
          <t>阿甘动态复制</t>
        </is>
      </c>
      <c r="D9" s="4" t="inlineStr">
        <is>
          <t>阿甘动态复制</t>
        </is>
      </c>
      <c r="E9" s="4" t="inlineStr">
        <is>
          <t>回転・鏡像・尺度変更しながら動的複写</t>
        </is>
      </c>
      <c r="F9" s="2" t="n">
        <v>18</v>
      </c>
      <c r="G9" s="2" t="n">
        <v>19</v>
      </c>
      <c r="H9" s="2" t="n">
        <v>17</v>
      </c>
      <c r="I9" s="2" t="n">
        <v>20</v>
      </c>
      <c r="J9" s="5">
        <f>SUM(F9:I9)</f>
        <v/>
      </c>
      <c r="K9" s="4" t="inlineStr">
        <is>
          <t>動的プレビュー複写の名作</t>
        </is>
      </c>
      <c r="L9" s="3" t="inlineStr">
        <is>
          <t>阿甘(print1985)</t>
        </is>
      </c>
      <c r="M9" s="3" t="inlineStr">
        <is>
          <t>@lisp 应用云</t>
        </is>
      </c>
      <c r="N9" s="6" t="inlineStr">
        <is>
          <t>開く</t>
        </is>
      </c>
    </row>
    <row r="10">
      <c r="A10" s="2">
        <f>RANK(J10,$J$2:$J$656)</f>
        <v/>
      </c>
      <c r="B10" s="3" t="inlineStr">
        <is>
          <t>線・ポリライン編集</t>
        </is>
      </c>
      <c r="C10" s="3" t="inlineStr">
        <is>
          <t>-</t>
        </is>
      </c>
      <c r="D10" s="4" t="inlineStr">
        <is>
          <t>阿甘动态复制V4.0自动正交版</t>
        </is>
      </c>
      <c r="E10" s="4" t="inlineStr">
        <is>
          <t>動的回転・鏡像・尺度・基点変更で複写</t>
        </is>
      </c>
      <c r="F10" s="2" t="n">
        <v>18</v>
      </c>
      <c r="G10" s="2" t="n">
        <v>19</v>
      </c>
      <c r="H10" s="2" t="n">
        <v>17</v>
      </c>
      <c r="I10" s="2" t="n">
        <v>20</v>
      </c>
      <c r="J10" s="5">
        <f>SUM(F10:I10)</f>
        <v/>
      </c>
      <c r="K10" s="4" t="inlineStr">
        <is>
          <t>動的複写</t>
        </is>
      </c>
      <c r="L10" s="3" t="inlineStr">
        <is>
          <t>print1985</t>
        </is>
      </c>
      <c r="M10" s="3" t="inlineStr">
        <is>
          <t>明经CAD社区</t>
        </is>
      </c>
      <c r="N10" s="6" t="inlineStr">
        <is>
          <t>開く</t>
        </is>
      </c>
    </row>
    <row r="11">
      <c r="A11" s="2">
        <f>RANK(J11,$J$2:$J$656)</f>
        <v/>
      </c>
      <c r="B11" s="3" t="inlineStr">
        <is>
          <t>寸法</t>
        </is>
      </c>
      <c r="C11" s="3" t="inlineStr">
        <is>
          <t>-</t>
        </is>
      </c>
      <c r="D11" s="4" t="inlineStr">
        <is>
          <t>快速拉线标注—带捕捉</t>
        </is>
      </c>
      <c r="E11" s="4" t="inlineStr">
        <is>
          <t>線を引くだけで交差箇所に連続寸法</t>
        </is>
      </c>
      <c r="F11" s="2" t="n">
        <v>19</v>
      </c>
      <c r="G11" s="2" t="n">
        <v>17</v>
      </c>
      <c r="H11" s="2" t="n">
        <v>18</v>
      </c>
      <c r="I11" s="2" t="n">
        <v>18</v>
      </c>
      <c r="J11" s="5">
        <f>SUM(F11:I11)</f>
        <v/>
      </c>
      <c r="K11" s="4" t="inlineStr">
        <is>
          <t>引いた線で一括寸法</t>
        </is>
      </c>
      <c r="L11" s="3" t="inlineStr">
        <is>
          <t>1028695446</t>
        </is>
      </c>
      <c r="M11" s="3" t="inlineStr">
        <is>
          <t>明经CAD社区</t>
        </is>
      </c>
      <c r="N11" s="6" t="inlineStr">
        <is>
          <t>開く</t>
        </is>
      </c>
    </row>
    <row r="12">
      <c r="A12" s="2">
        <f>RANK(J12,$J$2:$J$656)</f>
        <v/>
      </c>
      <c r="B12" s="3" t="inlineStr">
        <is>
          <t>ブロック・属性</t>
        </is>
      </c>
      <c r="C12" s="3" t="inlineStr">
        <is>
          <t>@block:numbering-by-route</t>
        </is>
      </c>
      <c r="D12" s="4" t="inlineStr">
        <is>
          <t>按路线编号 (@lisp Block)</t>
        </is>
      </c>
      <c r="E12" s="4" t="inlineStr">
        <is>
          <t>曲線ルート順にブロックを連番付け</t>
        </is>
      </c>
      <c r="F12" s="2" t="n">
        <v>21</v>
      </c>
      <c r="G12" s="2" t="n">
        <v>18</v>
      </c>
      <c r="H12" s="2" t="n">
        <v>17</v>
      </c>
      <c r="I12" s="2" t="n">
        <v>16</v>
      </c>
      <c r="J12" s="5">
        <f>SUM(F12:I12)</f>
        <v/>
      </c>
      <c r="K12" s="4" t="inlineStr">
        <is>
          <t>経路順採番がユニーク</t>
        </is>
      </c>
      <c r="L12" s="3" t="inlineStr">
        <is>
          <t>VitalGG</t>
        </is>
      </c>
      <c r="M12" s="3" t="inlineStr">
        <is>
          <t>@lisp 应用云</t>
        </is>
      </c>
      <c r="N12" s="6" t="inlineStr">
        <is>
          <t>開く</t>
        </is>
      </c>
    </row>
    <row r="13">
      <c r="A13" s="2">
        <f>RANK(J13,$J$2:$J$656)</f>
        <v/>
      </c>
      <c r="B13" s="3" t="inlineStr">
        <is>
          <t>外部参照・図面管理・一括処理</t>
        </is>
      </c>
      <c r="C13" s="3" t="inlineStr">
        <is>
          <t>@lisp工程管理</t>
        </is>
      </c>
      <c r="D13" s="4" t="inlineStr">
        <is>
          <t>@lisp工程管理</t>
        </is>
      </c>
      <c r="E13" s="4" t="inlineStr">
        <is>
          <t>図枠ベースで図面目録生成・一括署名・一括印刷</t>
        </is>
      </c>
      <c r="F13" s="2" t="n">
        <v>19</v>
      </c>
      <c r="G13" s="2" t="n">
        <v>15</v>
      </c>
      <c r="H13" s="2" t="n">
        <v>20</v>
      </c>
      <c r="I13" s="2" t="n">
        <v>17</v>
      </c>
      <c r="J13" s="5">
        <f>SUM(F13:I13)</f>
        <v/>
      </c>
      <c r="K13" s="4" t="inlineStr">
        <is>
          <t>プロジェクト単位の図面管理</t>
        </is>
      </c>
      <c r="L13" s="3" t="inlineStr">
        <is>
          <t>VitalGG</t>
        </is>
      </c>
      <c r="M13" s="3" t="inlineStr">
        <is>
          <t>@lisp 应用云</t>
        </is>
      </c>
      <c r="N13" s="6" t="inlineStr">
        <is>
          <t>開く</t>
        </is>
      </c>
    </row>
    <row r="14">
      <c r="A14" s="2">
        <f>RANK(J14,$J$2:$J$656)</f>
        <v/>
      </c>
      <c r="B14" s="3" t="inlineStr">
        <is>
          <t>寸法</t>
        </is>
      </c>
      <c r="C14" s="3" t="inlineStr">
        <is>
          <t>DQ</t>
        </is>
      </c>
      <c r="D14" s="4" t="inlineStr">
        <is>
          <t>DIMQuick快速标注_v3.6.9</t>
        </is>
      </c>
      <c r="E14" s="4" t="inlineStr">
        <is>
          <t>スペース囲み選択で連続寸法（天正対応）</t>
        </is>
      </c>
      <c r="F14" s="2" t="n">
        <v>18</v>
      </c>
      <c r="G14" s="2" t="n">
        <v>16</v>
      </c>
      <c r="H14" s="2" t="n">
        <v>19</v>
      </c>
      <c r="I14" s="2" t="n">
        <v>18</v>
      </c>
      <c r="J14" s="5">
        <f>SUM(F14:I14)</f>
        <v/>
      </c>
      <c r="K14" s="4" t="inlineStr">
        <is>
          <t>範囲選択で寸法一括</t>
        </is>
      </c>
      <c r="L14" s="3" t="inlineStr">
        <is>
          <t>kucha007</t>
        </is>
      </c>
      <c r="M14" s="3" t="inlineStr">
        <is>
          <t>明经CAD社区</t>
        </is>
      </c>
      <c r="N14" s="6" t="inlineStr">
        <is>
          <t>開く</t>
        </is>
      </c>
    </row>
    <row r="15">
      <c r="A15" s="2">
        <f>RANK(J15,$J$2:$J$656)</f>
        <v/>
      </c>
      <c r="B15" s="3" t="inlineStr">
        <is>
          <t>設定・環境</t>
        </is>
      </c>
      <c r="C15" s="3" t="inlineStr">
        <is>
          <t>ResetFontApp</t>
        </is>
      </c>
      <c r="D15" s="4" t="inlineStr">
        <is>
          <t>ZYFTools CAD开图自动选字体</t>
        </is>
      </c>
      <c r="E15" s="4" t="inlineStr">
        <is>
          <t>図面を開く時のフォント置換ダイアログを自動処理</t>
        </is>
      </c>
      <c r="F15" s="2" t="n">
        <v>20</v>
      </c>
      <c r="G15" s="2" t="n">
        <v>16</v>
      </c>
      <c r="H15" s="2" t="n">
        <v>17</v>
      </c>
      <c r="I15" s="2" t="n">
        <v>18</v>
      </c>
      <c r="J15" s="5">
        <f>SUM(F15:I15)</f>
        <v/>
      </c>
      <c r="K15" s="4" t="inlineStr">
        <is>
          <t>フォント置換ダイアログ自動化</t>
        </is>
      </c>
      <c r="L15" s="3" t="inlineStr">
        <is>
          <t>WuwuZhang0019</t>
        </is>
      </c>
      <c r="M15" s="3" t="inlineStr">
        <is>
          <t>GitHub: WuwuZhang0019/CADTools</t>
        </is>
      </c>
      <c r="N15" s="6" t="inlineStr">
        <is>
          <t>開く</t>
        </is>
      </c>
    </row>
    <row r="16">
      <c r="A16" s="2">
        <f>RANK(J16,$J$2:$J$656)</f>
        <v/>
      </c>
      <c r="B16" s="3" t="inlineStr">
        <is>
          <t>ブロック・属性</t>
        </is>
      </c>
      <c r="C16" s="3" t="inlineStr">
        <is>
          <t>@block:block-cluster</t>
        </is>
      </c>
      <c r="D16" s="4" t="inlineStr">
        <is>
          <t>分堆建块 (@lisp Block)</t>
        </is>
      </c>
      <c r="E16" s="4" t="inlineStr">
        <is>
          <t>隙間で図形を塊分けし各々ブロック化</t>
        </is>
      </c>
      <c r="F16" s="2" t="n">
        <v>21</v>
      </c>
      <c r="G16" s="2" t="n">
        <v>19</v>
      </c>
      <c r="H16" s="2" t="n">
        <v>15</v>
      </c>
      <c r="I16" s="2" t="n">
        <v>16</v>
      </c>
      <c r="J16" s="5">
        <f>SUM(F16:I16)</f>
        <v/>
      </c>
      <c r="K16" s="4" t="inlineStr">
        <is>
          <t>クラスタ単位で自動ブロック化</t>
        </is>
      </c>
      <c r="L16" s="3" t="inlineStr">
        <is>
          <t>VitalGG</t>
        </is>
      </c>
      <c r="M16" s="3" t="inlineStr">
        <is>
          <t>@lisp 应用云</t>
        </is>
      </c>
      <c r="N16" s="6" t="inlineStr">
        <is>
          <t>開く</t>
        </is>
      </c>
    </row>
    <row r="17">
      <c r="A17" s="2">
        <f>RANK(J17,$J$2:$J$656)</f>
        <v/>
      </c>
      <c r="B17" s="3" t="inlineStr">
        <is>
          <t>印刷・レイアウト・図枠</t>
        </is>
      </c>
      <c r="C17" s="3" t="inlineStr">
        <is>
          <t>TT</t>
        </is>
      </c>
      <c r="D17" s="4" t="inlineStr">
        <is>
          <t>批量打印/图框排序/图框加长</t>
        </is>
      </c>
      <c r="E17" s="4" t="inlineStr">
        <is>
          <t>図枠順ソート・サイズ判定・長尺対応印刷</t>
        </is>
      </c>
      <c r="F17" s="2" t="n">
        <v>19</v>
      </c>
      <c r="G17" s="2" t="n">
        <v>14</v>
      </c>
      <c r="H17" s="2" t="n">
        <v>20</v>
      </c>
      <c r="I17" s="2" t="n">
        <v>18</v>
      </c>
      <c r="J17" s="5">
        <f>SUM(F17:I17)</f>
        <v/>
      </c>
      <c r="K17" s="4" t="inlineStr">
        <is>
          <t>図枠順序付け印刷</t>
        </is>
      </c>
      <c r="L17" s="3" t="inlineStr">
        <is>
          <t>kucha007</t>
        </is>
      </c>
      <c r="M17" s="3" t="inlineStr">
        <is>
          <t>明经CAD社区</t>
        </is>
      </c>
      <c r="N17" s="6" t="inlineStr">
        <is>
          <t>開く</t>
        </is>
      </c>
    </row>
    <row r="18">
      <c r="A18" s="2">
        <f>RANK(J18,$J$2:$J$656)</f>
        <v/>
      </c>
      <c r="B18" s="3" t="inlineStr">
        <is>
          <t>作図</t>
        </is>
      </c>
      <c r="C18" s="3" t="inlineStr">
        <is>
          <t>S</t>
        </is>
      </c>
      <c r="D18" s="4" t="inlineStr">
        <is>
          <t>填充图案拉伸6.0</t>
        </is>
      </c>
      <c r="E18" s="4" t="inlineStr">
        <is>
          <t>ハッチ境界ごと追従させるSTRETCH代替</t>
        </is>
      </c>
      <c r="F18" s="2" t="n">
        <v>19</v>
      </c>
      <c r="G18" s="2" t="n">
        <v>16</v>
      </c>
      <c r="H18" s="2" t="n">
        <v>17</v>
      </c>
      <c r="I18" s="2" t="n">
        <v>18</v>
      </c>
      <c r="J18" s="5">
        <f>SUM(F18:I18)</f>
        <v/>
      </c>
      <c r="K18" s="4" t="inlineStr">
        <is>
          <t>ハッチも伸びるSTRETCH</t>
        </is>
      </c>
      <c r="L18" s="3" t="inlineStr">
        <is>
          <t>陈伟</t>
        </is>
      </c>
      <c r="M18" s="3" t="inlineStr">
        <is>
          <t>明经CAD社区</t>
        </is>
      </c>
      <c r="N18" s="6" t="inlineStr">
        <is>
          <t>開く</t>
        </is>
      </c>
    </row>
    <row r="19">
      <c r="A19" s="2">
        <f>RANK(J19,$J$2:$J$656)</f>
        <v/>
      </c>
      <c r="B19" s="3" t="inlineStr">
        <is>
          <t>文字・テキスト</t>
        </is>
      </c>
      <c r="C19" s="3" t="inlineStr">
        <is>
          <t>定位压线字</t>
        </is>
      </c>
      <c r="D19" s="4" t="inlineStr">
        <is>
          <t>定位压线字 (@lisp文本)</t>
        </is>
      </c>
      <c r="E19" s="4" t="inlineStr">
        <is>
          <t>線と重なっている文字を強調表示</t>
        </is>
      </c>
      <c r="F19" s="2" t="n">
        <v>21</v>
      </c>
      <c r="G19" s="2" t="n">
        <v>18</v>
      </c>
      <c r="H19" s="2" t="n">
        <v>13</v>
      </c>
      <c r="I19" s="2" t="n">
        <v>18</v>
      </c>
      <c r="J19" s="5">
        <f>SUM(F19:I19)</f>
        <v/>
      </c>
      <c r="K19" s="4" t="inlineStr">
        <is>
          <t>図面チェック用に有用</t>
        </is>
      </c>
      <c r="L19" s="3" t="inlineStr">
        <is>
          <t>VitalGG</t>
        </is>
      </c>
      <c r="M19" s="3" t="inlineStr">
        <is>
          <t>@lisp 应用云</t>
        </is>
      </c>
      <c r="N19" s="6" t="inlineStr">
        <is>
          <t>開く</t>
        </is>
      </c>
    </row>
    <row r="20">
      <c r="A20" s="2">
        <f>RANK(J20,$J$2:$J$656)</f>
        <v/>
      </c>
      <c r="B20" s="3" t="inlineStr">
        <is>
          <t>作図</t>
        </is>
      </c>
      <c r="C20" s="3" t="inlineStr">
        <is>
          <t>S</t>
        </is>
      </c>
      <c r="D20" s="4" t="inlineStr">
        <is>
          <t>带填充拉伸_v8.6（记忆拉伸）</t>
        </is>
      </c>
      <c r="E20" s="4" t="inlineStr">
        <is>
          <t>ハッチ連動ストレッチ・前回値記憶</t>
        </is>
      </c>
      <c r="F20" s="2" t="n">
        <v>19</v>
      </c>
      <c r="G20" s="2" t="n">
        <v>16</v>
      </c>
      <c r="H20" s="2" t="n">
        <v>17</v>
      </c>
      <c r="I20" s="2" t="n">
        <v>18</v>
      </c>
      <c r="J20" s="5">
        <f>SUM(F20:I20)</f>
        <v/>
      </c>
      <c r="K20" s="4" t="inlineStr">
        <is>
          <t>ハッチ連動STRETCH</t>
        </is>
      </c>
      <c r="L20" s="3" t="inlineStr">
        <is>
          <t>kucha007</t>
        </is>
      </c>
      <c r="M20" s="3" t="inlineStr">
        <is>
          <t>明经CAD社区</t>
        </is>
      </c>
      <c r="N20" s="6" t="inlineStr">
        <is>
          <t>開く</t>
        </is>
      </c>
    </row>
    <row r="21">
      <c r="A21" s="2">
        <f>RANK(J21,$J$2:$J$656)</f>
        <v/>
      </c>
      <c r="B21" s="3" t="inlineStr">
        <is>
          <t>印刷・レイアウト・図枠</t>
        </is>
      </c>
      <c r="C21" s="3" t="inlineStr">
        <is>
          <t>ZZML</t>
        </is>
      </c>
      <c r="D21" s="4" t="inlineStr">
        <is>
          <t>批量制作目录—不开图提取块属性</t>
        </is>
      </c>
      <c r="E21" s="4" t="inlineStr">
        <is>
          <t>図面を開かずに図枠属性を抽出し目録化</t>
        </is>
      </c>
      <c r="F21" s="2" t="n">
        <v>20</v>
      </c>
      <c r="G21" s="2" t="n">
        <v>14</v>
      </c>
      <c r="H21" s="2" t="n">
        <v>20</v>
      </c>
      <c r="I21" s="2" t="n">
        <v>16</v>
      </c>
      <c r="J21" s="5">
        <f>SUM(F21:I21)</f>
        <v/>
      </c>
      <c r="K21" s="4" t="inlineStr">
        <is>
          <t>非オープン一括目録</t>
        </is>
      </c>
      <c r="L21" s="3" t="inlineStr">
        <is>
          <t>kucha007</t>
        </is>
      </c>
      <c r="M21" s="3" t="inlineStr">
        <is>
          <t>明经CAD社区</t>
        </is>
      </c>
      <c r="N21" s="6" t="inlineStr">
        <is>
          <t>開く</t>
        </is>
      </c>
    </row>
    <row r="22">
      <c r="A22" s="2">
        <f>RANK(J22,$J$2:$J$656)</f>
        <v/>
      </c>
      <c r="B22" s="3" t="inlineStr">
        <is>
          <t>文字・テキスト</t>
        </is>
      </c>
      <c r="C22" s="3" t="inlineStr">
        <is>
          <t>PDFOCRTEXT</t>
        </is>
      </c>
      <c r="D22" s="4" t="inlineStr">
        <is>
          <t>PDFOCRTEXT PDF转CAD文字OCR</t>
        </is>
      </c>
      <c r="E22" s="4" t="inlineStr">
        <is>
          <t>PDF由来の線文字をOCRしてMTEXT化</t>
        </is>
      </c>
      <c r="F22" s="2" t="n">
        <v>18</v>
      </c>
      <c r="G22" s="2" t="n">
        <v>20</v>
      </c>
      <c r="H22" s="2" t="n">
        <v>15</v>
      </c>
      <c r="I22" s="2" t="n">
        <v>16</v>
      </c>
      <c r="J22" s="5">
        <f>SUM(F22:I22)</f>
        <v/>
      </c>
      <c r="K22" s="4" t="inlineStr">
        <is>
          <t>PDFSHXTOTEXTの汎用版</t>
        </is>
      </c>
      <c r="L22" s="3" t="inlineStr">
        <is>
          <t>y1991427360s</t>
        </is>
      </c>
      <c r="M22" s="3" t="inlineStr">
        <is>
          <t>GitHub: y1991427360s/pdf2cad-ocr-text-helper</t>
        </is>
      </c>
      <c r="N22" s="6" t="inlineStr">
        <is>
          <t>開く</t>
        </is>
      </c>
    </row>
    <row r="23">
      <c r="A23" s="2">
        <f>RANK(J23,$J$2:$J$656)</f>
        <v/>
      </c>
      <c r="B23" s="3" t="inlineStr">
        <is>
          <t>印刷・レイアウト・図枠</t>
        </is>
      </c>
      <c r="C23" s="3" t="inlineStr">
        <is>
          <t>-</t>
        </is>
      </c>
      <c r="D23" s="4" t="inlineStr">
        <is>
          <t>批量打印（图框为图块/矩形/直线）</t>
        </is>
      </c>
      <c r="E23" s="4" t="inlineStr">
        <is>
          <t>多種図枠を認識して一括印刷</t>
        </is>
      </c>
      <c r="F23" s="2" t="n">
        <v>18</v>
      </c>
      <c r="G23" s="2" t="n">
        <v>12</v>
      </c>
      <c r="H23" s="2" t="n">
        <v>20</v>
      </c>
      <c r="I23" s="2" t="n">
        <v>19</v>
      </c>
      <c r="J23" s="5">
        <f>SUM(F23:I23)</f>
        <v/>
      </c>
      <c r="K23" s="4" t="inlineStr">
        <is>
          <t>図枠認識印刷</t>
        </is>
      </c>
      <c r="L23" s="3" t="inlineStr"/>
      <c r="M23" s="3" t="inlineStr">
        <is>
          <t>晓东CAD家园</t>
        </is>
      </c>
      <c r="N23" s="6" t="inlineStr">
        <is>
          <t>開く</t>
        </is>
      </c>
    </row>
    <row r="24">
      <c r="A24" s="2">
        <f>RANK(J24,$J$2:$J$656)</f>
        <v/>
      </c>
      <c r="B24" s="3" t="inlineStr">
        <is>
          <t>文字・テキスト</t>
        </is>
      </c>
      <c r="C24" s="3" t="inlineStr">
        <is>
          <t>点哪加哪</t>
        </is>
      </c>
      <c r="D24" s="4" t="inlineStr">
        <is>
          <t>点哪加哪 (@lisp文本)</t>
        </is>
      </c>
      <c r="E24" s="4" t="inlineStr">
        <is>
          <t>文字内の指定桁をクリックで増分コピー</t>
        </is>
      </c>
      <c r="F24" s="2" t="n">
        <v>18</v>
      </c>
      <c r="G24" s="2" t="n">
        <v>17</v>
      </c>
      <c r="H24" s="2" t="n">
        <v>16</v>
      </c>
      <c r="I24" s="2" t="n">
        <v>18</v>
      </c>
      <c r="J24" s="5">
        <f>SUM(F24:I24)</f>
        <v/>
      </c>
      <c r="K24" s="4" t="inlineStr">
        <is>
          <t>桁指定インクリメントが独創的</t>
        </is>
      </c>
      <c r="L24" s="3" t="inlineStr">
        <is>
          <t>VitalGG</t>
        </is>
      </c>
      <c r="M24" s="3" t="inlineStr">
        <is>
          <t>@lisp 应用云</t>
        </is>
      </c>
      <c r="N24" s="6" t="inlineStr">
        <is>
          <t>開く</t>
        </is>
      </c>
    </row>
    <row r="25">
      <c r="A25" s="2">
        <f>RANK(J25,$J$2:$J$656)</f>
        <v/>
      </c>
      <c r="B25" s="3" t="inlineStr">
        <is>
          <t>設定・環境</t>
        </is>
      </c>
      <c r="C25" s="3" t="inlineStr">
        <is>
          <t>-</t>
        </is>
      </c>
      <c r="D25" s="4" t="inlineStr">
        <is>
          <t>自动输入法（永久免费）</t>
        </is>
      </c>
      <c r="E25" s="4" t="inlineStr">
        <is>
          <t>編集状況に応じ中英IMEを自動切替</t>
        </is>
      </c>
      <c r="F25" s="2" t="n">
        <v>22</v>
      </c>
      <c r="G25" s="2" t="n">
        <v>18</v>
      </c>
      <c r="H25" s="2" t="n">
        <v>17</v>
      </c>
      <c r="I25" s="2" t="n">
        <v>12</v>
      </c>
      <c r="J25" s="5">
        <f>SUM(F25:I25)</f>
        <v/>
      </c>
      <c r="K25" s="4" t="inlineStr">
        <is>
          <t>IME自動切替</t>
        </is>
      </c>
      <c r="L25" s="3" t="inlineStr">
        <is>
          <t>moy838840554</t>
        </is>
      </c>
      <c r="M25" s="3" t="inlineStr">
        <is>
          <t>明经CAD社区</t>
        </is>
      </c>
      <c r="N25" s="6" t="inlineStr">
        <is>
          <t>開く</t>
        </is>
      </c>
    </row>
    <row r="26">
      <c r="A26" s="2">
        <f>RANK(J26,$J$2:$J$656)</f>
        <v/>
      </c>
      <c r="B26" s="3" t="inlineStr">
        <is>
          <t>選択・絞り込み</t>
        </is>
      </c>
      <c r="C26" s="3" t="inlineStr">
        <is>
          <t>ss1~ss5</t>
        </is>
      </c>
      <c r="D26" s="4" t="inlineStr">
        <is>
          <t>选择集记忆 (@lisp选择)</t>
        </is>
      </c>
      <c r="E26" s="4" t="inlineStr">
        <is>
          <t>選択セットを5つまで記憶・再呼出</t>
        </is>
      </c>
      <c r="F26" s="2" t="n">
        <v>18</v>
      </c>
      <c r="G26" s="2" t="n">
        <v>15</v>
      </c>
      <c r="H26" s="2" t="n">
        <v>16</v>
      </c>
      <c r="I26" s="2" t="n">
        <v>20</v>
      </c>
      <c r="J26" s="5">
        <f>SUM(F26:I26)</f>
        <v/>
      </c>
      <c r="K26" s="4" t="inlineStr">
        <is>
          <t>名前付き選択セット</t>
        </is>
      </c>
      <c r="L26" s="3" t="inlineStr">
        <is>
          <t>VitalGG</t>
        </is>
      </c>
      <c r="M26" s="3" t="inlineStr">
        <is>
          <t>@lisp 应用云</t>
        </is>
      </c>
      <c r="N26" s="6" t="inlineStr">
        <is>
          <t>開く</t>
        </is>
      </c>
    </row>
    <row r="27">
      <c r="A27" s="2">
        <f>RANK(J27,$J$2:$J$656)</f>
        <v/>
      </c>
      <c r="B27" s="3" t="inlineStr">
        <is>
          <t>線・ポリライン編集</t>
        </is>
      </c>
      <c r="C27" s="3" t="inlineStr">
        <is>
          <t>-</t>
        </is>
      </c>
      <c r="D27" s="4" t="inlineStr">
        <is>
          <t>阿甘超级复制V5.0</t>
        </is>
      </c>
      <c r="E27" s="4" t="inlineStr">
        <is>
          <t>多機能な動的複写</t>
        </is>
      </c>
      <c r="F27" s="2" t="n">
        <v>17</v>
      </c>
      <c r="G27" s="2" t="n">
        <v>17</v>
      </c>
      <c r="H27" s="2" t="n">
        <v>16</v>
      </c>
      <c r="I27" s="2" t="n">
        <v>19</v>
      </c>
      <c r="J27" s="5">
        <f>SUM(F27:I27)</f>
        <v/>
      </c>
      <c r="K27" s="4" t="inlineStr">
        <is>
          <t>動的複写</t>
        </is>
      </c>
      <c r="L27" s="3" t="inlineStr">
        <is>
          <t>dtucad</t>
        </is>
      </c>
      <c r="M27" s="3" t="inlineStr">
        <is>
          <t>明经CAD社区</t>
        </is>
      </c>
      <c r="N27" s="6" t="inlineStr">
        <is>
          <t>開く</t>
        </is>
      </c>
    </row>
    <row r="28">
      <c r="A28" s="2">
        <f>RANK(J28,$J$2:$J$656)</f>
        <v/>
      </c>
      <c r="B28" s="3" t="inlineStr">
        <is>
          <t>文字・テキスト</t>
        </is>
      </c>
      <c r="C28" s="3" t="inlineStr">
        <is>
          <t>QE</t>
        </is>
      </c>
      <c r="D28" s="4" t="inlineStr">
        <is>
          <t>ZW工具 QE 剪贴板批量替换文字</t>
        </is>
      </c>
      <c r="E28" s="4" t="inlineStr">
        <is>
          <t>クリップボードの行で選択文字を順に置換</t>
        </is>
      </c>
      <c r="F28" s="2" t="n">
        <v>20</v>
      </c>
      <c r="G28" s="2" t="n">
        <v>17</v>
      </c>
      <c r="H28" s="2" t="n">
        <v>16</v>
      </c>
      <c r="I28" s="2" t="n">
        <v>15</v>
      </c>
      <c r="J28" s="5">
        <f>SUM(F28:I28)</f>
        <v/>
      </c>
      <c r="K28" s="4" t="inlineStr">
        <is>
          <t>Excel列を図面へ流込</t>
        </is>
      </c>
      <c r="L28" s="3" t="inlineStr">
        <is>
          <t>y1991427360s</t>
        </is>
      </c>
      <c r="M28" s="3" t="inlineStr">
        <is>
          <t>GitHub: y1991427360s/zwcad-autolisp-tools</t>
        </is>
      </c>
      <c r="N28" s="6" t="inlineStr">
        <is>
          <t>開く</t>
        </is>
      </c>
    </row>
    <row r="29">
      <c r="A29" s="2">
        <f>RANK(J29,$J$2:$J$656)</f>
        <v/>
      </c>
      <c r="B29" s="3" t="inlineStr">
        <is>
          <t>印刷・レイアウト・図枠</t>
        </is>
      </c>
      <c r="C29" s="3" t="inlineStr">
        <is>
          <t>-</t>
        </is>
      </c>
      <c r="D29" s="4" t="inlineStr">
        <is>
          <t>依云CAD批量打图精灵9.0</t>
        </is>
      </c>
      <c r="E29" s="4" t="inlineStr">
        <is>
          <t>一括印刷ソフト</t>
        </is>
      </c>
      <c r="F29" s="2" t="n">
        <v>18</v>
      </c>
      <c r="G29" s="2" t="n">
        <v>10</v>
      </c>
      <c r="H29" s="2" t="n">
        <v>20</v>
      </c>
      <c r="I29" s="2" t="n">
        <v>20</v>
      </c>
      <c r="J29" s="5">
        <f>SUM(F29:I29)</f>
        <v/>
      </c>
      <c r="K29" s="4" t="inlineStr">
        <is>
          <t>一括印刷</t>
        </is>
      </c>
      <c r="L29" s="3" t="inlineStr">
        <is>
          <t>渴望光明88</t>
        </is>
      </c>
      <c r="M29" s="3" t="inlineStr">
        <is>
          <t>明经CAD社区</t>
        </is>
      </c>
      <c r="N29" s="6" t="inlineStr">
        <is>
          <t>開く</t>
        </is>
      </c>
    </row>
    <row r="30">
      <c r="A30" s="2">
        <f>RANK(J30,$J$2:$J$656)</f>
        <v/>
      </c>
      <c r="B30" s="3" t="inlineStr">
        <is>
          <t>設定・環境</t>
        </is>
      </c>
      <c r="C30" s="3" t="inlineStr">
        <is>
          <t>-</t>
        </is>
      </c>
      <c r="D30" s="4" t="inlineStr">
        <is>
          <t>易输入（文字編集時IME自動切替）</t>
        </is>
      </c>
      <c r="E30" s="4" t="inlineStr">
        <is>
          <t>文字編集時に中英IMEを自動切替</t>
        </is>
      </c>
      <c r="F30" s="2" t="n">
        <v>22</v>
      </c>
      <c r="G30" s="2" t="n">
        <v>18</v>
      </c>
      <c r="H30" s="2" t="n">
        <v>16</v>
      </c>
      <c r="I30" s="2" t="n">
        <v>12</v>
      </c>
      <c r="J30" s="5">
        <f>SUM(F30:I30)</f>
        <v/>
      </c>
      <c r="K30" s="4" t="inlineStr">
        <is>
          <t>IME切替</t>
        </is>
      </c>
      <c r="L30" s="3" t="inlineStr">
        <is>
          <t>红黑墨水</t>
        </is>
      </c>
      <c r="M30" s="3" t="inlineStr">
        <is>
          <t>明经CAD社区</t>
        </is>
      </c>
      <c r="N30" s="6" t="inlineStr">
        <is>
          <t>開く</t>
        </is>
      </c>
    </row>
    <row r="31">
      <c r="A31" s="2">
        <f>RANK(J31,$J$2:$J$656)</f>
        <v/>
      </c>
      <c r="B31" s="3" t="inlineStr">
        <is>
          <t>文字・テキスト</t>
        </is>
      </c>
      <c r="C31" s="3" t="inlineStr">
        <is>
          <t>THT</t>
        </is>
      </c>
      <c r="D31" s="4" t="inlineStr">
        <is>
          <t>统一字体_v1.6.0—不开图修改</t>
        </is>
      </c>
      <c r="E31" s="4" t="inlineStr">
        <is>
          <t>図面を開かず文字スタイルのフォント統一</t>
        </is>
      </c>
      <c r="F31" s="2" t="n">
        <v>20</v>
      </c>
      <c r="G31" s="2" t="n">
        <v>14</v>
      </c>
      <c r="H31" s="2" t="n">
        <v>16</v>
      </c>
      <c r="I31" s="2" t="n">
        <v>18</v>
      </c>
      <c r="J31" s="5">
        <f>SUM(F31:I31)</f>
        <v/>
      </c>
      <c r="K31" s="4" t="inlineStr">
        <is>
          <t>非オープンでフォント統一</t>
        </is>
      </c>
      <c r="L31" s="3" t="inlineStr">
        <is>
          <t>kucha007</t>
        </is>
      </c>
      <c r="M31" s="3" t="inlineStr">
        <is>
          <t>明经CAD社区</t>
        </is>
      </c>
      <c r="N31" s="6" t="inlineStr">
        <is>
          <t>開く</t>
        </is>
      </c>
    </row>
    <row r="32">
      <c r="A32" s="2">
        <f>RANK(J32,$J$2:$J$656)</f>
        <v/>
      </c>
      <c r="B32" s="3" t="inlineStr">
        <is>
          <t>表示・UCS・ビュー</t>
        </is>
      </c>
      <c r="C32" s="3" t="inlineStr">
        <is>
          <t>阿甘对图器</t>
        </is>
      </c>
      <c r="D32" s="4" t="inlineStr">
        <is>
          <t>阿甘对图器</t>
        </is>
      </c>
      <c r="E32" s="4" t="inlineStr">
        <is>
          <t>2図面/ビューポートを同期表示して照合</t>
        </is>
      </c>
      <c r="F32" s="2" t="n">
        <v>20</v>
      </c>
      <c r="G32" s="2" t="n">
        <v>18</v>
      </c>
      <c r="H32" s="2" t="n">
        <v>14</v>
      </c>
      <c r="I32" s="2" t="n">
        <v>16</v>
      </c>
      <c r="J32" s="5">
        <f>SUM(F32:I32)</f>
        <v/>
      </c>
      <c r="K32" s="4" t="inlineStr">
        <is>
          <t>DWGCOMPAREと別の同期照合</t>
        </is>
      </c>
      <c r="L32" s="3" t="inlineStr">
        <is>
          <t>阿甘(print1985)</t>
        </is>
      </c>
      <c r="M32" s="3" t="inlineStr">
        <is>
          <t>@lisp 应用云</t>
        </is>
      </c>
      <c r="N32" s="6" t="inlineStr">
        <is>
          <t>開く</t>
        </is>
      </c>
    </row>
    <row r="33">
      <c r="A33" s="2">
        <f>RANK(J33,$J$2:$J$656)</f>
        <v/>
      </c>
      <c r="B33" s="3" t="inlineStr">
        <is>
          <t>印刷・レイアウト・図枠</t>
        </is>
      </c>
      <c r="C33" s="3" t="inlineStr">
        <is>
          <t>QQ</t>
        </is>
      </c>
      <c r="D33" s="4" t="inlineStr">
        <is>
          <t>按块打印_v1.7</t>
        </is>
      </c>
      <c r="E33" s="4" t="inlineStr">
        <is>
          <t>ブロック図枠単位で用紙自動適合印刷</t>
        </is>
      </c>
      <c r="F33" s="2" t="n">
        <v>18</v>
      </c>
      <c r="G33" s="2" t="n">
        <v>12</v>
      </c>
      <c r="H33" s="2" t="n">
        <v>19</v>
      </c>
      <c r="I33" s="2" t="n">
        <v>18</v>
      </c>
      <c r="J33" s="5">
        <f>SUM(F33:I33)</f>
        <v/>
      </c>
      <c r="K33" s="4" t="inlineStr">
        <is>
          <t>図枠ブロック印刷</t>
        </is>
      </c>
      <c r="L33" s="3" t="inlineStr">
        <is>
          <t>kucha007</t>
        </is>
      </c>
      <c r="M33" s="3" t="inlineStr">
        <is>
          <t>明经CAD社区</t>
        </is>
      </c>
      <c r="N33" s="6" t="inlineStr">
        <is>
          <t>開く</t>
        </is>
      </c>
    </row>
    <row r="34">
      <c r="A34" s="2">
        <f>RANK(J34,$J$2:$J$656)</f>
        <v/>
      </c>
      <c r="B34" s="3" t="inlineStr">
        <is>
          <t>表・Excel連携</t>
        </is>
      </c>
      <c r="C34" s="3" t="inlineStr">
        <is>
          <t>生成表格</t>
        </is>
      </c>
      <c r="D34" s="4" t="inlineStr">
        <is>
          <t>生成表格 (@lisp文本)</t>
        </is>
      </c>
      <c r="E34" s="4" t="inlineStr">
        <is>
          <t>行列配置の文字からAutoCAD表を生成</t>
        </is>
      </c>
      <c r="F34" s="2" t="n">
        <v>18</v>
      </c>
      <c r="G34" s="2" t="n">
        <v>14</v>
      </c>
      <c r="H34" s="2" t="n">
        <v>17</v>
      </c>
      <c r="I34" s="2" t="n">
        <v>18</v>
      </c>
      <c r="J34" s="5">
        <f>SUM(F34:I34)</f>
        <v/>
      </c>
      <c r="K34" s="4" t="inlineStr">
        <is>
          <t>文字群→TABLE化</t>
        </is>
      </c>
      <c r="L34" s="3" t="inlineStr">
        <is>
          <t>VitalGG</t>
        </is>
      </c>
      <c r="M34" s="3" t="inlineStr">
        <is>
          <t>@lisp 应用云</t>
        </is>
      </c>
      <c r="N34" s="6" t="inlineStr">
        <is>
          <t>開く</t>
        </is>
      </c>
    </row>
    <row r="35">
      <c r="A35" s="2">
        <f>RANK(J35,$J$2:$J$656)</f>
        <v/>
      </c>
      <c r="B35" s="3" t="inlineStr">
        <is>
          <t>設定・環境</t>
        </is>
      </c>
      <c r="C35" s="3" t="inlineStr">
        <is>
          <t>键盘侠</t>
        </is>
      </c>
      <c r="D35" s="4" t="inlineStr">
        <is>
          <t>键盘侠</t>
        </is>
      </c>
      <c r="E35" s="4" t="inlineStr">
        <is>
          <t>コマンドライン入力時の中英IME自動切替</t>
        </is>
      </c>
      <c r="F35" s="2" t="n">
        <v>22</v>
      </c>
      <c r="G35" s="2" t="n">
        <v>18</v>
      </c>
      <c r="H35" s="2" t="n">
        <v>17</v>
      </c>
      <c r="I35" s="2" t="n">
        <v>10</v>
      </c>
      <c r="J35" s="5">
        <f>SUM(F35:I35)</f>
        <v/>
      </c>
      <c r="K35" s="4" t="inlineStr">
        <is>
          <t>IME自動切替は日本でも有用</t>
        </is>
      </c>
      <c r="L35" s="3" t="inlineStr">
        <is>
          <t>阿甘</t>
        </is>
      </c>
      <c r="M35" s="3" t="inlineStr">
        <is>
          <t>@lisp 应用云</t>
        </is>
      </c>
      <c r="N35" s="6" t="inlineStr">
        <is>
          <t>開く</t>
        </is>
      </c>
    </row>
    <row r="36">
      <c r="A36" s="2">
        <f>RANK(J36,$J$2:$J$656)</f>
        <v/>
      </c>
      <c r="B36" s="3" t="inlineStr">
        <is>
          <t>外部参照・図面管理・一括処理</t>
        </is>
      </c>
      <c r="C36" s="3" t="inlineStr">
        <is>
          <t>-</t>
        </is>
      </c>
      <c r="D36" s="4" t="inlineStr">
        <is>
          <t>CAD批量清理与版本转换0.2</t>
        </is>
      </c>
      <c r="E36" s="4" t="inlineStr">
        <is>
          <t>図面を開かず一括PURGE・版変換</t>
        </is>
      </c>
      <c r="F36" s="2" t="n">
        <v>17</v>
      </c>
      <c r="G36" s="2" t="n">
        <v>10</v>
      </c>
      <c r="H36" s="2" t="n">
        <v>20</v>
      </c>
      <c r="I36" s="2" t="n">
        <v>19</v>
      </c>
      <c r="J36" s="5">
        <f>SUM(F36:I36)</f>
        <v/>
      </c>
      <c r="K36" s="4" t="inlineStr">
        <is>
          <t>非オープン一括清理</t>
        </is>
      </c>
      <c r="L36" s="3" t="inlineStr">
        <is>
          <t>ProgramFancier</t>
        </is>
      </c>
      <c r="M36" s="3" t="inlineStr">
        <is>
          <t>明经CAD社区</t>
        </is>
      </c>
      <c r="N36" s="6" t="inlineStr">
        <is>
          <t>開く</t>
        </is>
      </c>
    </row>
    <row r="37">
      <c r="A37" s="2">
        <f>RANK(J37,$J$2:$J$656)</f>
        <v/>
      </c>
      <c r="B37" s="3" t="inlineStr">
        <is>
          <t>ブロック・属性</t>
        </is>
      </c>
      <c r="C37" s="3" t="inlineStr">
        <is>
          <t>@block:set-number</t>
        </is>
      </c>
      <c r="D37" s="4" t="inlineStr">
        <is>
          <t>块自动编号 (@lisp Block)</t>
        </is>
      </c>
      <c r="E37" s="4" t="inlineStr">
        <is>
          <t>属性ブロックを上→下・左→右に自動採番</t>
        </is>
      </c>
      <c r="F37" s="2" t="n">
        <v>18</v>
      </c>
      <c r="G37" s="2" t="n">
        <v>12</v>
      </c>
      <c r="H37" s="2" t="n">
        <v>18</v>
      </c>
      <c r="I37" s="2" t="n">
        <v>18</v>
      </c>
      <c r="J37" s="5">
        <f>SUM(F37:I37)</f>
        <v/>
      </c>
      <c r="K37" s="4" t="inlineStr">
        <is>
          <t>位置順の自動採番</t>
        </is>
      </c>
      <c r="L37" s="3" t="inlineStr">
        <is>
          <t>VitalGG</t>
        </is>
      </c>
      <c r="M37" s="3" t="inlineStr">
        <is>
          <t>@lisp 应用云</t>
        </is>
      </c>
      <c r="N37" s="6" t="inlineStr">
        <is>
          <t>開く</t>
        </is>
      </c>
    </row>
    <row r="38">
      <c r="A38" s="2">
        <f>RANK(J38,$J$2:$J$656)</f>
        <v/>
      </c>
      <c r="B38" s="3" t="inlineStr">
        <is>
          <t>外部参照・図面管理・一括処理</t>
        </is>
      </c>
      <c r="C38" s="3" t="inlineStr">
        <is>
          <t>BatPurgeAll</t>
        </is>
      </c>
      <c r="D38" s="4" t="inlineStr">
        <is>
          <t>超级批量清理磁盘DWG</t>
        </is>
      </c>
      <c r="E38" s="4" t="inlineStr">
        <is>
          <t>ディスク上の多数DWGを一括清理</t>
        </is>
      </c>
      <c r="F38" s="2" t="n">
        <v>17</v>
      </c>
      <c r="G38" s="2" t="n">
        <v>10</v>
      </c>
      <c r="H38" s="2" t="n">
        <v>20</v>
      </c>
      <c r="I38" s="2" t="n">
        <v>19</v>
      </c>
      <c r="J38" s="5">
        <f>SUM(F38:I38)</f>
        <v/>
      </c>
      <c r="K38" s="4" t="inlineStr">
        <is>
          <t>非オープン一括清理</t>
        </is>
      </c>
      <c r="L38" s="3" t="inlineStr"/>
      <c r="M38" s="3" t="inlineStr">
        <is>
          <t>晓东CAD家园</t>
        </is>
      </c>
      <c r="N38" s="6" t="inlineStr">
        <is>
          <t>開く</t>
        </is>
      </c>
    </row>
    <row r="39">
      <c r="A39" s="2">
        <f>RANK(J39,$J$2:$J$656)</f>
        <v/>
      </c>
      <c r="B39" s="3" t="inlineStr">
        <is>
          <t>設備</t>
        </is>
      </c>
      <c r="C39" s="3" t="inlineStr">
        <is>
          <t>-</t>
        </is>
      </c>
      <c r="D39" s="4" t="inlineStr">
        <is>
          <t>cad-cable-stat 电缆长度自动统计</t>
        </is>
      </c>
      <c r="E39" s="4" t="inlineStr">
        <is>
          <t>配線経路をLISPで抽出しPythonで経路探索・長さ集計</t>
        </is>
      </c>
      <c r="F39" s="2" t="n">
        <v>22</v>
      </c>
      <c r="G39" s="2" t="n">
        <v>20</v>
      </c>
      <c r="H39" s="2" t="n">
        <v>18</v>
      </c>
      <c r="I39" s="2" t="n">
        <v>5</v>
      </c>
      <c r="J39" s="5">
        <f>SUM(F39:I39)</f>
        <v/>
      </c>
      <c r="K39" s="4" t="inlineStr">
        <is>
          <t>ケーブル長自動算定</t>
        </is>
      </c>
      <c r="L39" s="3" t="inlineStr">
        <is>
          <t>y1991427360s</t>
        </is>
      </c>
      <c r="M39" s="3" t="inlineStr">
        <is>
          <t>GitHub: y1991427360s/cad-cable-stat</t>
        </is>
      </c>
      <c r="N39" s="6" t="inlineStr">
        <is>
          <t>開く</t>
        </is>
      </c>
    </row>
    <row r="40">
      <c r="A40" s="2">
        <f>RANK(J40,$J$2:$J$656)</f>
        <v/>
      </c>
      <c r="B40" s="3" t="inlineStr">
        <is>
          <t>座標・測量・土木</t>
        </is>
      </c>
      <c r="C40" s="3" t="inlineStr">
        <is>
          <t>TF-CALC</t>
        </is>
      </c>
      <c r="D40" s="4" t="inlineStr">
        <is>
          <t>TerrainForge 方格网土方计算</t>
        </is>
      </c>
      <c r="E40" s="4" t="inlineStr">
        <is>
          <t>TIN＋方眼法で造成土量計算・表出力</t>
        </is>
      </c>
      <c r="F40" s="2" t="n">
        <v>22</v>
      </c>
      <c r="G40" s="2" t="n">
        <v>16</v>
      </c>
      <c r="H40" s="2" t="n">
        <v>19</v>
      </c>
      <c r="I40" s="2" t="n">
        <v>8</v>
      </c>
      <c r="J40" s="5">
        <f>SUM(F40:I40)</f>
        <v/>
      </c>
      <c r="K40" s="4" t="inlineStr">
        <is>
          <t>土量計算を図面内完結</t>
        </is>
      </c>
      <c r="L40" s="3" t="inlineStr">
        <is>
          <t>leileistart</t>
        </is>
      </c>
      <c r="M40" s="3" t="inlineStr">
        <is>
          <t>GitHub: leileistart/TerrainForge</t>
        </is>
      </c>
      <c r="N40" s="6" t="inlineStr">
        <is>
          <t>開く</t>
        </is>
      </c>
    </row>
    <row r="41">
      <c r="A41" s="2">
        <f>RANK(J41,$J$2:$J$656)</f>
        <v/>
      </c>
      <c r="B41" s="3" t="inlineStr">
        <is>
          <t>文字・テキスト</t>
        </is>
      </c>
      <c r="C41" s="3" t="inlineStr">
        <is>
          <t>-</t>
        </is>
      </c>
      <c r="D41" s="4" t="inlineStr">
        <is>
          <t>对话框文字万能替换（正则）</t>
        </is>
      </c>
      <c r="E41" s="4" t="inlineStr">
        <is>
          <t>正規表現対応の文字一括置換</t>
        </is>
      </c>
      <c r="F41" s="2" t="n">
        <v>16</v>
      </c>
      <c r="G41" s="2" t="n">
        <v>14</v>
      </c>
      <c r="H41" s="2" t="n">
        <v>16</v>
      </c>
      <c r="I41" s="2" t="n">
        <v>19</v>
      </c>
      <c r="J41" s="5">
        <f>SUM(F41:I41)</f>
        <v/>
      </c>
      <c r="K41" s="4" t="inlineStr">
        <is>
          <t>正規表現置換</t>
        </is>
      </c>
      <c r="L41" s="3" t="inlineStr"/>
      <c r="M41" s="3" t="inlineStr">
        <is>
          <t>晓东CAD家园</t>
        </is>
      </c>
      <c r="N41" s="6" t="inlineStr">
        <is>
          <t>開く</t>
        </is>
      </c>
    </row>
    <row r="42">
      <c r="A42" s="2">
        <f>RANK(J42,$J$2:$J$656)</f>
        <v/>
      </c>
      <c r="B42" s="3" t="inlineStr">
        <is>
          <t>表・Excel連携</t>
        </is>
      </c>
      <c r="C42" s="3" t="inlineStr">
        <is>
          <t>行列计算</t>
        </is>
      </c>
      <c r="D42" s="4" t="inlineStr">
        <is>
          <t>行列计算 (@lisp数学)</t>
        </is>
      </c>
      <c r="E42" s="4" t="inlineStr">
        <is>
          <t>表状に並んだ文字数値を行列ごとに計算</t>
        </is>
      </c>
      <c r="F42" s="2" t="n">
        <v>20</v>
      </c>
      <c r="G42" s="2" t="n">
        <v>15</v>
      </c>
      <c r="H42" s="2" t="n">
        <v>15</v>
      </c>
      <c r="I42" s="2" t="n">
        <v>15</v>
      </c>
      <c r="J42" s="5">
        <f>SUM(F42:I42)</f>
        <v/>
      </c>
      <c r="K42" s="4" t="inlineStr">
        <is>
          <t>図中の表を計算可能に</t>
        </is>
      </c>
      <c r="L42" s="3" t="inlineStr">
        <is>
          <t>VitalGG</t>
        </is>
      </c>
      <c r="M42" s="3" t="inlineStr">
        <is>
          <t>@lisp 应用云</t>
        </is>
      </c>
      <c r="N42" s="6" t="inlineStr">
        <is>
          <t>開く</t>
        </is>
      </c>
    </row>
    <row r="43">
      <c r="A43" s="2">
        <f>RANK(J43,$J$2:$J$656)</f>
        <v/>
      </c>
      <c r="B43" s="3" t="inlineStr">
        <is>
          <t>その他</t>
        </is>
      </c>
      <c r="C43" s="3" t="inlineStr">
        <is>
          <t>生成内容/图纸审查</t>
        </is>
      </c>
      <c r="D43" s="4" t="inlineStr">
        <is>
          <t>AIGC</t>
        </is>
      </c>
      <c r="E43" s="4" t="inlineStr">
        <is>
          <t>ローカルLLM(Ollama)で文章生成・図面審査</t>
        </is>
      </c>
      <c r="F43" s="2" t="n">
        <v>22</v>
      </c>
      <c r="G43" s="2" t="n">
        <v>22</v>
      </c>
      <c r="H43" s="2" t="n">
        <v>8</v>
      </c>
      <c r="I43" s="2" t="n">
        <v>12</v>
      </c>
      <c r="J43" s="5">
        <f>SUM(F43:I43)</f>
        <v/>
      </c>
      <c r="K43" s="4" t="inlineStr">
        <is>
          <t>CAD内LLM連携</t>
        </is>
      </c>
      <c r="L43" s="3" t="inlineStr">
        <is>
          <t>VitalGG</t>
        </is>
      </c>
      <c r="M43" s="3" t="inlineStr">
        <is>
          <t>@lisp 应用云</t>
        </is>
      </c>
      <c r="N43" s="6" t="inlineStr">
        <is>
          <t>開く</t>
        </is>
      </c>
    </row>
    <row r="44">
      <c r="A44" s="2">
        <f>RANK(J44,$J$2:$J$656)</f>
        <v/>
      </c>
      <c r="B44" s="3" t="inlineStr">
        <is>
          <t>表・Excel連携</t>
        </is>
      </c>
      <c r="C44" s="3" t="inlineStr">
        <is>
          <t>-</t>
        </is>
      </c>
      <c r="D44" s="4" t="inlineStr">
        <is>
          <t>TableTransformer 表格转换</t>
        </is>
      </c>
      <c r="E44" s="4" t="inlineStr">
        <is>
          <t>線と文字の表⇔TABLE・Excel変換</t>
        </is>
      </c>
      <c r="F44" s="2" t="n">
        <v>18</v>
      </c>
      <c r="G44" s="2" t="n">
        <v>12</v>
      </c>
      <c r="H44" s="2" t="n">
        <v>17</v>
      </c>
      <c r="I44" s="2" t="n">
        <v>17</v>
      </c>
      <c r="J44" s="5">
        <f>SUM(F44:I44)</f>
        <v/>
      </c>
      <c r="K44" s="4" t="inlineStr">
        <is>
          <t>線表→TABLE化</t>
        </is>
      </c>
      <c r="L44" s="3" t="inlineStr">
        <is>
          <t>橡皮</t>
        </is>
      </c>
      <c r="M44" s="3" t="inlineStr">
        <is>
          <t>明经CAD社区</t>
        </is>
      </c>
      <c r="N44" s="6" t="inlineStr">
        <is>
          <t>開く</t>
        </is>
      </c>
    </row>
    <row r="45">
      <c r="A45" s="2">
        <f>RANK(J45,$J$2:$J$656)</f>
        <v/>
      </c>
      <c r="B45" s="3" t="inlineStr">
        <is>
          <t>選択・絞り込み</t>
        </is>
      </c>
      <c r="C45" s="3" t="inlineStr">
        <is>
          <t>分堆加框</t>
        </is>
      </c>
      <c r="D45" s="4" t="inlineStr">
        <is>
          <t>分堆加框 (@lisp选择)</t>
        </is>
      </c>
      <c r="E45" s="4" t="inlineStr">
        <is>
          <t>選択図形を塊ごとに外接矩形で囲む</t>
        </is>
      </c>
      <c r="F45" s="2" t="n">
        <v>20</v>
      </c>
      <c r="G45" s="2" t="n">
        <v>16</v>
      </c>
      <c r="H45" s="2" t="n">
        <v>12</v>
      </c>
      <c r="I45" s="2" t="n">
        <v>16</v>
      </c>
      <c r="J45" s="5">
        <f>SUM(F45:I45)</f>
        <v/>
      </c>
      <c r="K45" s="4" t="inlineStr">
        <is>
          <t>クラスタ外枠を自動作図</t>
        </is>
      </c>
      <c r="L45" s="3" t="inlineStr">
        <is>
          <t>VitalGG</t>
        </is>
      </c>
      <c r="M45" s="3" t="inlineStr">
        <is>
          <t>@lisp 应用云</t>
        </is>
      </c>
      <c r="N45" s="6" t="inlineStr">
        <is>
          <t>開く</t>
        </is>
      </c>
    </row>
    <row r="46">
      <c r="A46" s="2">
        <f>RANK(J46,$J$2:$J$656)</f>
        <v/>
      </c>
      <c r="B46" s="3" t="inlineStr">
        <is>
          <t>設備</t>
        </is>
      </c>
      <c r="C46" s="3" t="inlineStr">
        <is>
          <t>hvac:floor-heating-auto</t>
        </is>
      </c>
      <c r="D46" s="4" t="inlineStr">
        <is>
          <t>地暖盘管自动绘制 (@lisp暖通)</t>
        </is>
      </c>
      <c r="E46" s="4" t="inlineStr">
        <is>
          <t>閉領域に蛇行/渦巻き床暖配管を自動作図</t>
        </is>
      </c>
      <c r="F46" s="2" t="n">
        <v>22</v>
      </c>
      <c r="G46" s="2" t="n">
        <v>18</v>
      </c>
      <c r="H46" s="2" t="n">
        <v>18</v>
      </c>
      <c r="I46" s="2" t="n">
        <v>6</v>
      </c>
      <c r="J46" s="5">
        <f>SUM(F46:I46)</f>
        <v/>
      </c>
      <c r="K46" s="4" t="inlineStr">
        <is>
          <t>配管パターン自動生成</t>
        </is>
      </c>
      <c r="L46" s="3" t="inlineStr">
        <is>
          <t>VitalGG</t>
        </is>
      </c>
      <c r="M46" s="3" t="inlineStr">
        <is>
          <t>@lisp 应用云</t>
        </is>
      </c>
      <c r="N46" s="6" t="inlineStr">
        <is>
          <t>開く</t>
        </is>
      </c>
    </row>
    <row r="47">
      <c r="A47" s="2">
        <f>RANK(J47,$J$2:$J$656)</f>
        <v/>
      </c>
      <c r="B47" s="3" t="inlineStr">
        <is>
          <t>ブロック・属性</t>
        </is>
      </c>
      <c r="C47" s="3" t="inlineStr">
        <is>
          <t>-</t>
        </is>
      </c>
      <c r="D47" s="4" t="inlineStr">
        <is>
          <t>块内删除（不进块直接删除）</t>
        </is>
      </c>
      <c r="E47" s="4" t="inlineStr">
        <is>
          <t>ブロック編集に入らず内部図形を削除</t>
        </is>
      </c>
      <c r="F47" s="2" t="n">
        <v>18</v>
      </c>
      <c r="G47" s="2" t="n">
        <v>16</v>
      </c>
      <c r="H47" s="2" t="n">
        <v>14</v>
      </c>
      <c r="I47" s="2" t="n">
        <v>16</v>
      </c>
      <c r="J47" s="5">
        <f>SUM(F47:I47)</f>
        <v/>
      </c>
      <c r="K47" s="4" t="inlineStr">
        <is>
          <t>ブロック内直接削除</t>
        </is>
      </c>
      <c r="L47" s="3" t="inlineStr">
        <is>
          <t>liu22737</t>
        </is>
      </c>
      <c r="M47" s="3" t="inlineStr">
        <is>
          <t>明经CAD社区</t>
        </is>
      </c>
      <c r="N47" s="6" t="inlineStr">
        <is>
          <t>開く</t>
        </is>
      </c>
    </row>
    <row r="48">
      <c r="A48" s="2">
        <f>RANK(J48,$J$2:$J$656)</f>
        <v/>
      </c>
      <c r="B48" s="3" t="inlineStr">
        <is>
          <t>選択・絞り込み</t>
        </is>
      </c>
      <c r="C48" s="3" t="inlineStr">
        <is>
          <t>填充选块</t>
        </is>
      </c>
      <c r="D48" s="4" t="inlineStr">
        <is>
          <t>填充选块 (@lisp选择)</t>
        </is>
      </c>
      <c r="E48" s="4" t="inlineStr">
        <is>
          <t>ハッチ領域内のブロックを選択</t>
        </is>
      </c>
      <c r="F48" s="2" t="n">
        <v>19</v>
      </c>
      <c r="G48" s="2" t="n">
        <v>15</v>
      </c>
      <c r="H48" s="2" t="n">
        <v>14</v>
      </c>
      <c r="I48" s="2" t="n">
        <v>16</v>
      </c>
      <c r="J48" s="5">
        <f>SUM(F48:I48)</f>
        <v/>
      </c>
      <c r="K48" s="4" t="inlineStr">
        <is>
          <t>ハッチ境界で選択</t>
        </is>
      </c>
      <c r="L48" s="3" t="inlineStr">
        <is>
          <t>VitalGG</t>
        </is>
      </c>
      <c r="M48" s="3" t="inlineStr">
        <is>
          <t>@lisp 应用云</t>
        </is>
      </c>
      <c r="N48" s="6" t="inlineStr">
        <is>
          <t>開く</t>
        </is>
      </c>
    </row>
    <row r="49">
      <c r="A49" s="2">
        <f>RANK(J49,$J$2:$J$656)</f>
        <v/>
      </c>
      <c r="B49" s="3" t="inlineStr">
        <is>
          <t>外部参照・図面管理・一括処理</t>
        </is>
      </c>
      <c r="C49" s="3" t="inlineStr">
        <is>
          <t>@文件布图</t>
        </is>
      </c>
      <c r="D49" s="4" t="inlineStr">
        <is>
          <t>文件布图</t>
        </is>
      </c>
      <c r="E49" s="4" t="inlineStr">
        <is>
          <t>複数DWGを2点指定で並べて1図面に集約</t>
        </is>
      </c>
      <c r="F49" s="2" t="n">
        <v>19</v>
      </c>
      <c r="G49" s="2" t="n">
        <v>14</v>
      </c>
      <c r="H49" s="2" t="n">
        <v>16</v>
      </c>
      <c r="I49" s="2" t="n">
        <v>15</v>
      </c>
      <c r="J49" s="5">
        <f>SUM(F49:I49)</f>
        <v/>
      </c>
      <c r="K49" s="4" t="inlineStr">
        <is>
          <t>図面の一括取込配置</t>
        </is>
      </c>
      <c r="L49" s="3" t="inlineStr">
        <is>
          <t>VitalGG</t>
        </is>
      </c>
      <c r="M49" s="3" t="inlineStr">
        <is>
          <t>@lisp 应用云</t>
        </is>
      </c>
      <c r="N49" s="6" t="inlineStr">
        <is>
          <t>開く</t>
        </is>
      </c>
    </row>
    <row r="50">
      <c r="A50" s="2">
        <f>RANK(J50,$J$2:$J$656)</f>
        <v/>
      </c>
      <c r="B50" s="3" t="inlineStr">
        <is>
          <t>線・ポリライン編集</t>
        </is>
      </c>
      <c r="C50" s="3" t="inlineStr">
        <is>
          <t>-</t>
        </is>
      </c>
      <c r="D50" s="4" t="inlineStr">
        <is>
          <t>生成外轮廓线</t>
        </is>
      </c>
      <c r="E50" s="4" t="inlineStr">
        <is>
          <t>選択図形の外形輪郭線を生成</t>
        </is>
      </c>
      <c r="F50" s="2" t="n">
        <v>18</v>
      </c>
      <c r="G50" s="2" t="n">
        <v>14</v>
      </c>
      <c r="H50" s="2" t="n">
        <v>15</v>
      </c>
      <c r="I50" s="2" t="n">
        <v>17</v>
      </c>
      <c r="J50" s="5">
        <f>SUM(F50:I50)</f>
        <v/>
      </c>
      <c r="K50" s="4" t="inlineStr">
        <is>
          <t>外形抽出</t>
        </is>
      </c>
      <c r="L50" s="3" t="inlineStr">
        <is>
          <t>shenme150</t>
        </is>
      </c>
      <c r="M50" s="3" t="inlineStr">
        <is>
          <t>明经CAD社区</t>
        </is>
      </c>
      <c r="N50" s="6" t="inlineStr">
        <is>
          <t>開く</t>
        </is>
      </c>
    </row>
    <row r="51">
      <c r="A51" s="2">
        <f>RANK(J51,$J$2:$J$656)</f>
        <v/>
      </c>
      <c r="B51" s="3" t="inlineStr">
        <is>
          <t>ハッチ・面積・長さ集計</t>
        </is>
      </c>
      <c r="C51" s="3" t="inlineStr">
        <is>
          <t>统计线长</t>
        </is>
      </c>
      <c r="D51" s="4" t="inlineStr">
        <is>
          <t>统计线长 (@lisp curve)</t>
        </is>
      </c>
      <c r="E51" s="4" t="inlineStr">
        <is>
          <t>曲線長を分類（層等）ごとに集計</t>
        </is>
      </c>
      <c r="F51" s="2" t="n">
        <v>18</v>
      </c>
      <c r="G51" s="2" t="n">
        <v>10</v>
      </c>
      <c r="H51" s="2" t="n">
        <v>18</v>
      </c>
      <c r="I51" s="2" t="n">
        <v>18</v>
      </c>
      <c r="J51" s="5">
        <f>SUM(F51:I51)</f>
        <v/>
      </c>
      <c r="K51" s="4" t="inlineStr">
        <is>
          <t>分類別長さ集計</t>
        </is>
      </c>
      <c r="L51" s="3" t="inlineStr">
        <is>
          <t>VitalGG</t>
        </is>
      </c>
      <c r="M51" s="3" t="inlineStr">
        <is>
          <t>@lisp 应用云</t>
        </is>
      </c>
      <c r="N51" s="6" t="inlineStr">
        <is>
          <t>開く</t>
        </is>
      </c>
    </row>
    <row r="52">
      <c r="A52" s="2">
        <f>RANK(J52,$J$2:$J$656)</f>
        <v/>
      </c>
      <c r="B52" s="3" t="inlineStr">
        <is>
          <t>文字・テキスト</t>
        </is>
      </c>
      <c r="C52" s="3" t="inlineStr">
        <is>
          <t>重排序号</t>
        </is>
      </c>
      <c r="D52" s="4" t="inlineStr">
        <is>
          <t>重排序号 (@lisp文本)</t>
        </is>
      </c>
      <c r="E52" s="4" t="inlineStr">
        <is>
          <t>文頭の「n.」「n.n」番号を振り直し</t>
        </is>
      </c>
      <c r="F52" s="2" t="n">
        <v>20</v>
      </c>
      <c r="G52" s="2" t="n">
        <v>14</v>
      </c>
      <c r="H52" s="2" t="n">
        <v>14</v>
      </c>
      <c r="I52" s="2" t="n">
        <v>16</v>
      </c>
      <c r="J52" s="5">
        <f>SUM(F52:I52)</f>
        <v/>
      </c>
      <c r="K52" s="4" t="inlineStr">
        <is>
          <t>注記番号の再採番</t>
        </is>
      </c>
      <c r="L52" s="3" t="inlineStr">
        <is>
          <t>VitalGG</t>
        </is>
      </c>
      <c r="M52" s="3" t="inlineStr">
        <is>
          <t>@lisp 应用云</t>
        </is>
      </c>
      <c r="N52" s="6" t="inlineStr">
        <is>
          <t>開く</t>
        </is>
      </c>
    </row>
    <row r="53">
      <c r="A53" s="2">
        <f>RANK(J53,$J$2:$J$656)</f>
        <v/>
      </c>
      <c r="B53" s="3" t="inlineStr">
        <is>
          <t>印刷・レイアウト・図枠</t>
        </is>
      </c>
      <c r="C53" s="3" t="inlineStr">
        <is>
          <t>sd1t</t>
        </is>
      </c>
      <c r="D53" s="4" t="inlineStr">
        <is>
          <t>sd1t 图框导PDF</t>
        </is>
      </c>
      <c r="E53" s="4" t="inlineStr">
        <is>
          <t>全図枠をPDF出力し1つに結合</t>
        </is>
      </c>
      <c r="F53" s="2" t="n">
        <v>17</v>
      </c>
      <c r="G53" s="2" t="n">
        <v>10</v>
      </c>
      <c r="H53" s="2" t="n">
        <v>19</v>
      </c>
      <c r="I53" s="2" t="n">
        <v>17</v>
      </c>
      <c r="J53" s="5">
        <f>SUM(F53:I53)</f>
        <v/>
      </c>
      <c r="K53" s="4" t="inlineStr">
        <is>
          <t>図枠→結合PDF</t>
        </is>
      </c>
      <c r="L53" s="3" t="inlineStr">
        <is>
          <t>VitalGG</t>
        </is>
      </c>
      <c r="M53" s="3" t="inlineStr">
        <is>
          <t>@lisp 应用云</t>
        </is>
      </c>
      <c r="N53" s="6" t="inlineStr">
        <is>
          <t>開く</t>
        </is>
      </c>
    </row>
    <row r="54">
      <c r="A54" s="2">
        <f>RANK(J54,$J$2:$J$656)</f>
        <v/>
      </c>
      <c r="B54" s="3" t="inlineStr">
        <is>
          <t>表・Excel連携</t>
        </is>
      </c>
      <c r="C54" s="3" t="inlineStr">
        <is>
          <t>MJ</t>
        </is>
      </c>
      <c r="D54" s="4" t="inlineStr">
        <is>
          <t>ZW工具 MJ 表格自动收窄居中</t>
        </is>
      </c>
      <c r="E54" s="4" t="inlineStr">
        <is>
          <t>線表の幅を最長文字に合わせ縮め中央揃え</t>
        </is>
      </c>
      <c r="F54" s="2" t="n">
        <v>20</v>
      </c>
      <c r="G54" s="2" t="n">
        <v>16</v>
      </c>
      <c r="H54" s="2" t="n">
        <v>14</v>
      </c>
      <c r="I54" s="2" t="n">
        <v>13</v>
      </c>
      <c r="J54" s="5">
        <f>SUM(F54:I54)</f>
        <v/>
      </c>
      <c r="K54" s="4" t="inlineStr">
        <is>
          <t>線表の自動整形</t>
        </is>
      </c>
      <c r="L54" s="3" t="inlineStr">
        <is>
          <t>y1991427360s</t>
        </is>
      </c>
      <c r="M54" s="3" t="inlineStr">
        <is>
          <t>GitHub: y1991427360s/zwcad-autolisp-tools</t>
        </is>
      </c>
      <c r="N54" s="6" t="inlineStr">
        <is>
          <t>開く</t>
        </is>
      </c>
    </row>
    <row r="55">
      <c r="A55" s="2">
        <f>RANK(J55,$J$2:$J$656)</f>
        <v/>
      </c>
      <c r="B55" s="3" t="inlineStr">
        <is>
          <t>印刷・レイアウト・図枠</t>
        </is>
      </c>
      <c r="C55" s="3" t="inlineStr">
        <is>
          <t>加手写签名</t>
        </is>
      </c>
      <c r="D55" s="4" t="inlineStr">
        <is>
          <t>加手写签名</t>
        </is>
      </c>
      <c r="E55" s="4" t="inlineStr">
        <is>
          <t>人名文字の後ろに手書き署名ブロックを配置</t>
        </is>
      </c>
      <c r="F55" s="2" t="n">
        <v>20</v>
      </c>
      <c r="G55" s="2" t="n">
        <v>16</v>
      </c>
      <c r="H55" s="2" t="n">
        <v>14</v>
      </c>
      <c r="I55" s="2" t="n">
        <v>13</v>
      </c>
      <c r="J55" s="5">
        <f>SUM(F55:I55)</f>
        <v/>
      </c>
      <c r="K55" s="4" t="inlineStr">
        <is>
          <t>署名欄の自動押印</t>
        </is>
      </c>
      <c r="L55" s="3" t="inlineStr">
        <is>
          <t>VitalGG</t>
        </is>
      </c>
      <c r="M55" s="3" t="inlineStr">
        <is>
          <t>@lisp 应用云</t>
        </is>
      </c>
      <c r="N55" s="6" t="inlineStr">
        <is>
          <t>開く</t>
        </is>
      </c>
    </row>
    <row r="56">
      <c r="A56" s="2">
        <f>RANK(J56,$J$2:$J$656)</f>
        <v/>
      </c>
      <c r="B56" s="3" t="inlineStr">
        <is>
          <t>画層</t>
        </is>
      </c>
      <c r="C56" s="3" t="inlineStr">
        <is>
          <t>-</t>
        </is>
      </c>
      <c r="D56" s="4" t="inlineStr">
        <is>
          <t>按颜色或线型自动分层</t>
        </is>
      </c>
      <c r="E56" s="4" t="inlineStr">
        <is>
          <t>色・線種ごとに画層を自動作成し振分け</t>
        </is>
      </c>
      <c r="F56" s="2" t="n">
        <v>19</v>
      </c>
      <c r="G56" s="2" t="n">
        <v>14</v>
      </c>
      <c r="H56" s="2" t="n">
        <v>14</v>
      </c>
      <c r="I56" s="2" t="n">
        <v>16</v>
      </c>
      <c r="J56" s="5">
        <f>SUM(F56:I56)</f>
        <v/>
      </c>
      <c r="K56" s="4" t="inlineStr">
        <is>
          <t>他社図面の層整理</t>
        </is>
      </c>
      <c r="L56" s="3" t="inlineStr"/>
      <c r="M56" s="3" t="inlineStr">
        <is>
          <t>晓东CAD家园</t>
        </is>
      </c>
      <c r="N56" s="6" t="inlineStr">
        <is>
          <t>開く</t>
        </is>
      </c>
    </row>
    <row r="57">
      <c r="A57" s="2">
        <f>RANK(J57,$J$2:$J$656)</f>
        <v/>
      </c>
      <c r="B57" s="3" t="inlineStr">
        <is>
          <t>文字・テキスト</t>
        </is>
      </c>
      <c r="C57" s="3" t="inlineStr">
        <is>
          <t>DZ</t>
        </is>
      </c>
      <c r="D57" s="4" t="inlineStr">
        <is>
          <t>文字增减_v1.9.3</t>
        </is>
      </c>
      <c r="E57" s="4" t="inlineStr">
        <is>
          <t>文字中の数値・語句を増減（鉄筋記号・ローマ数字対応）</t>
        </is>
      </c>
      <c r="F57" s="2" t="n">
        <v>18</v>
      </c>
      <c r="G57" s="2" t="n">
        <v>14</v>
      </c>
      <c r="H57" s="2" t="n">
        <v>15</v>
      </c>
      <c r="I57" s="2" t="n">
        <v>16</v>
      </c>
      <c r="J57" s="5">
        <f>SUM(F57:I57)</f>
        <v/>
      </c>
      <c r="K57" s="4" t="inlineStr">
        <is>
          <t>数値文字の増減</t>
        </is>
      </c>
      <c r="L57" s="3" t="inlineStr">
        <is>
          <t>kucha007</t>
        </is>
      </c>
      <c r="M57" s="3" t="inlineStr">
        <is>
          <t>明经CAD社区</t>
        </is>
      </c>
      <c r="N57" s="6" t="inlineStr">
        <is>
          <t>開く</t>
        </is>
      </c>
    </row>
    <row r="58">
      <c r="A58" s="2">
        <f>RANK(J58,$J$2:$J$656)</f>
        <v/>
      </c>
      <c r="B58" s="3" t="inlineStr">
        <is>
          <t>建築</t>
        </is>
      </c>
      <c r="C58" s="3" t="inlineStr">
        <is>
          <t>检查窗地比</t>
        </is>
      </c>
      <c r="D58" s="4" t="inlineStr">
        <is>
          <t>检查窗地比 (@建筑)</t>
        </is>
      </c>
      <c r="E58" s="4" t="inlineStr">
        <is>
          <t>室の窓床面積比を検査し不適合を赤表示</t>
        </is>
      </c>
      <c r="F58" s="2" t="n">
        <v>22</v>
      </c>
      <c r="G58" s="2" t="n">
        <v>18</v>
      </c>
      <c r="H58" s="2" t="n">
        <v>15</v>
      </c>
      <c r="I58" s="2" t="n">
        <v>8</v>
      </c>
      <c r="J58" s="5">
        <f>SUM(F58:I58)</f>
        <v/>
      </c>
      <c r="K58" s="4" t="inlineStr">
        <is>
          <t>法規チェックの自動化</t>
        </is>
      </c>
      <c r="L58" s="3" t="inlineStr">
        <is>
          <t>VitalGG</t>
        </is>
      </c>
      <c r="M58" s="3" t="inlineStr">
        <is>
          <t>@lisp 应用云</t>
        </is>
      </c>
      <c r="N58" s="6" t="inlineStr">
        <is>
          <t>開く</t>
        </is>
      </c>
    </row>
    <row r="59">
      <c r="A59" s="2">
        <f>RANK(J59,$J$2:$J$656)</f>
        <v/>
      </c>
      <c r="B59" s="3" t="inlineStr">
        <is>
          <t>文字・テキスト</t>
        </is>
      </c>
      <c r="C59" s="3" t="inlineStr">
        <is>
          <t>FA</t>
        </is>
      </c>
      <c r="D59" s="4" t="inlineStr">
        <is>
          <t>阿甘文字刷_v5.1</t>
        </is>
      </c>
      <c r="E59" s="4" t="inlineStr">
        <is>
          <t>文字内容・書式を他の文字へ刷り込み</t>
        </is>
      </c>
      <c r="F59" s="2" t="n">
        <v>14</v>
      </c>
      <c r="G59" s="2" t="n">
        <v>12</v>
      </c>
      <c r="H59" s="2" t="n">
        <v>17</v>
      </c>
      <c r="I59" s="2" t="n">
        <v>20</v>
      </c>
      <c r="J59" s="5">
        <f>SUM(F59:I59)</f>
        <v/>
      </c>
      <c r="K59" s="4" t="inlineStr">
        <is>
          <t>文字内容のコピー刷り</t>
        </is>
      </c>
      <c r="L59" s="3" t="inlineStr">
        <is>
          <t>kucha007</t>
        </is>
      </c>
      <c r="M59" s="3" t="inlineStr">
        <is>
          <t>明经CAD社区</t>
        </is>
      </c>
      <c r="N59" s="6" t="inlineStr">
        <is>
          <t>開く</t>
        </is>
      </c>
    </row>
    <row r="60">
      <c r="A60" s="2">
        <f>RANK(J60,$J$2:$J$656)</f>
        <v/>
      </c>
      <c r="B60" s="3" t="inlineStr">
        <is>
          <t>印刷・レイアウト・図枠</t>
        </is>
      </c>
      <c r="C60" s="3" t="inlineStr">
        <is>
          <t>MJPLOTQ</t>
        </is>
      </c>
      <c r="D60" s="4" t="inlineStr">
        <is>
          <t>MJArea 批量打印</t>
        </is>
      </c>
      <c r="E60" s="4" t="inlineStr">
        <is>
          <t>図枠を範囲選択し一括PDF/印刷（Mac対応）</t>
        </is>
      </c>
      <c r="F60" s="2" t="n">
        <v>16</v>
      </c>
      <c r="G60" s="2" t="n">
        <v>10</v>
      </c>
      <c r="H60" s="2" t="n">
        <v>18</v>
      </c>
      <c r="I60" s="2" t="n">
        <v>18</v>
      </c>
      <c r="J60" s="5">
        <f>SUM(F60:I60)</f>
        <v/>
      </c>
      <c r="K60" s="4" t="inlineStr">
        <is>
          <t>Mac版一括印刷</t>
        </is>
      </c>
      <c r="L60" s="3" t="inlineStr">
        <is>
          <t>biubiup0</t>
        </is>
      </c>
      <c r="M60" s="3" t="inlineStr">
        <is>
          <t>GitHub: biubiup0/MJArea</t>
        </is>
      </c>
      <c r="N60" s="6" t="inlineStr">
        <is>
          <t>開く</t>
        </is>
      </c>
    </row>
    <row r="61">
      <c r="A61" s="2">
        <f>RANK(J61,$J$2:$J$656)</f>
        <v/>
      </c>
      <c r="B61" s="3" t="inlineStr">
        <is>
          <t>印刷・レイアウト・図枠</t>
        </is>
      </c>
      <c r="C61" s="3" t="inlineStr">
        <is>
          <t>FSN</t>
        </is>
      </c>
      <c r="D61" s="4" t="inlineStr">
        <is>
          <t>ZYFTools 图框自动编号</t>
        </is>
      </c>
      <c r="E61" s="4" t="inlineStr">
        <is>
          <t>図枠を自動採番（プロジェクト名整合チェック付）</t>
        </is>
      </c>
      <c r="F61" s="2" t="n">
        <v>18</v>
      </c>
      <c r="G61" s="2" t="n">
        <v>12</v>
      </c>
      <c r="H61" s="2" t="n">
        <v>17</v>
      </c>
      <c r="I61" s="2" t="n">
        <v>15</v>
      </c>
      <c r="J61" s="5">
        <f>SUM(F61:I61)</f>
        <v/>
      </c>
      <c r="K61" s="4" t="inlineStr">
        <is>
          <t>図枠採番</t>
        </is>
      </c>
      <c r="L61" s="3" t="inlineStr">
        <is>
          <t>WuwuZhang0019</t>
        </is>
      </c>
      <c r="M61" s="3" t="inlineStr">
        <is>
          <t>GitHub: WuwuZhang0019/CADTools</t>
        </is>
      </c>
      <c r="N61" s="6" t="inlineStr">
        <is>
          <t>開く</t>
        </is>
      </c>
    </row>
    <row r="62">
      <c r="A62" s="2">
        <f>RANK(J62,$J$2:$J$656)</f>
        <v/>
      </c>
      <c r="B62" s="3" t="inlineStr">
        <is>
          <t>文字・テキスト</t>
        </is>
      </c>
      <c r="C62" s="3" t="inlineStr">
        <is>
          <t>-</t>
        </is>
      </c>
      <c r="D62" s="4" t="inlineStr">
        <is>
          <t>一一覆盖对应文本</t>
        </is>
      </c>
      <c r="E62" s="4" t="inlineStr">
        <is>
          <t>文字群を別の文字群で1対1置換（目録記入）</t>
        </is>
      </c>
      <c r="F62" s="2" t="n">
        <v>18</v>
      </c>
      <c r="G62" s="2" t="n">
        <v>14</v>
      </c>
      <c r="H62" s="2" t="n">
        <v>15</v>
      </c>
      <c r="I62" s="2" t="n">
        <v>15</v>
      </c>
      <c r="J62" s="5">
        <f>SUM(F62:I62)</f>
        <v/>
      </c>
      <c r="K62" s="4" t="inlineStr">
        <is>
          <t>文字群の対応置換</t>
        </is>
      </c>
      <c r="L62" s="3" t="inlineStr">
        <is>
          <t>stulsx</t>
        </is>
      </c>
      <c r="M62" s="3" t="inlineStr">
        <is>
          <t>明经CAD社区</t>
        </is>
      </c>
      <c r="N62" s="6" t="inlineStr">
        <is>
          <t>開く</t>
        </is>
      </c>
    </row>
    <row r="63">
      <c r="A63" s="2">
        <f>RANK(J63,$J$2:$J$656)</f>
        <v/>
      </c>
      <c r="B63" s="3" t="inlineStr">
        <is>
          <t>作図</t>
        </is>
      </c>
      <c r="C63" s="3" t="inlineStr">
        <is>
          <t>分堆等间隙排版</t>
        </is>
      </c>
      <c r="D63" s="4" t="inlineStr">
        <is>
          <t>排版 (composing)</t>
        </is>
      </c>
      <c r="E63" s="4" t="inlineStr">
        <is>
          <t>図形群を塊分けして等間隔/等ピッチ配置</t>
        </is>
      </c>
      <c r="F63" s="2" t="n">
        <v>18</v>
      </c>
      <c r="G63" s="2" t="n">
        <v>14</v>
      </c>
      <c r="H63" s="2" t="n">
        <v>14</v>
      </c>
      <c r="I63" s="2" t="n">
        <v>16</v>
      </c>
      <c r="J63" s="5">
        <f>SUM(F63:I63)</f>
        <v/>
      </c>
      <c r="K63" s="4" t="inlineStr">
        <is>
          <t>塊単位で等間隔配置</t>
        </is>
      </c>
      <c r="L63" s="3" t="inlineStr">
        <is>
          <t>VitalGG</t>
        </is>
      </c>
      <c r="M63" s="3" t="inlineStr">
        <is>
          <t>@lisp 应用云</t>
        </is>
      </c>
      <c r="N63" s="6" t="inlineStr">
        <is>
          <t>開く</t>
        </is>
      </c>
    </row>
    <row r="64">
      <c r="A64" s="2">
        <f>RANK(J64,$J$2:$J$656)</f>
        <v/>
      </c>
      <c r="B64" s="3" t="inlineStr">
        <is>
          <t>ハッチ・面積・長さ集計</t>
        </is>
      </c>
      <c r="C64" s="3" t="inlineStr">
        <is>
          <t>-</t>
        </is>
      </c>
      <c r="D64" s="4" t="inlineStr">
        <is>
          <t>文字带数字统计算量</t>
        </is>
      </c>
      <c r="E64" s="4" t="inlineStr">
        <is>
          <t>数量付き文字を解析して集計</t>
        </is>
      </c>
      <c r="F64" s="2" t="n">
        <v>19</v>
      </c>
      <c r="G64" s="2" t="n">
        <v>14</v>
      </c>
      <c r="H64" s="2" t="n">
        <v>15</v>
      </c>
      <c r="I64" s="2" t="n">
        <v>14</v>
      </c>
      <c r="J64" s="5">
        <f>SUM(F64:I64)</f>
        <v/>
      </c>
      <c r="K64" s="4" t="inlineStr">
        <is>
          <t>文字から数量集計</t>
        </is>
      </c>
      <c r="L64" s="3" t="inlineStr"/>
      <c r="M64" s="3" t="inlineStr">
        <is>
          <t>晓东CAD家园</t>
        </is>
      </c>
      <c r="N64" s="6" t="inlineStr">
        <is>
          <t>開く</t>
        </is>
      </c>
    </row>
    <row r="65">
      <c r="A65" s="2">
        <f>RANK(J65,$J$2:$J$656)</f>
        <v/>
      </c>
      <c r="B65" s="3" t="inlineStr">
        <is>
          <t>文字・テキスト</t>
        </is>
      </c>
      <c r="C65" s="3" t="inlineStr">
        <is>
          <t>-</t>
        </is>
      </c>
      <c r="D65" s="4" t="inlineStr">
        <is>
          <t>文本超级编辑</t>
        </is>
      </c>
      <c r="E65" s="4" t="inlineStr">
        <is>
          <t>寸法・文字・ブロック内文字をまとめて編集</t>
        </is>
      </c>
      <c r="F65" s="2" t="n">
        <v>16</v>
      </c>
      <c r="G65" s="2" t="n">
        <v>12</v>
      </c>
      <c r="H65" s="2" t="n">
        <v>16</v>
      </c>
      <c r="I65" s="2" t="n">
        <v>18</v>
      </c>
      <c r="J65" s="5">
        <f>SUM(F65:I65)</f>
        <v/>
      </c>
      <c r="K65" s="4" t="inlineStr">
        <is>
          <t>ブロック内文字も一括編集</t>
        </is>
      </c>
      <c r="L65" s="3" t="inlineStr">
        <is>
          <t>jun353835273</t>
        </is>
      </c>
      <c r="M65" s="3" t="inlineStr">
        <is>
          <t>明经CAD社区</t>
        </is>
      </c>
      <c r="N65" s="6" t="inlineStr">
        <is>
          <t>開く</t>
        </is>
      </c>
    </row>
    <row r="66">
      <c r="A66" s="2">
        <f>RANK(J66,$J$2:$J$656)</f>
        <v/>
      </c>
      <c r="B66" s="3" t="inlineStr">
        <is>
          <t>印刷・レイアウト・図枠</t>
        </is>
      </c>
      <c r="C66" s="3" t="inlineStr">
        <is>
          <t>-</t>
        </is>
      </c>
      <c r="D66" s="4" t="inlineStr">
        <is>
          <t>自动套图框</t>
        </is>
      </c>
      <c r="E66" s="4" t="inlineStr">
        <is>
          <t>図形範囲に合わせ図枠を自動挿入</t>
        </is>
      </c>
      <c r="F66" s="2" t="n">
        <v>18</v>
      </c>
      <c r="G66" s="2" t="n">
        <v>12</v>
      </c>
      <c r="H66" s="2" t="n">
        <v>16</v>
      </c>
      <c r="I66" s="2" t="n">
        <v>16</v>
      </c>
      <c r="J66" s="5">
        <f>SUM(F66:I66)</f>
        <v/>
      </c>
      <c r="K66" s="4" t="inlineStr">
        <is>
          <t>図枠自動挿入</t>
        </is>
      </c>
      <c r="L66" s="3" t="inlineStr">
        <is>
          <t>CAD小帮手</t>
        </is>
      </c>
      <c r="M66" s="3" t="inlineStr">
        <is>
          <t>明经CAD社区</t>
        </is>
      </c>
      <c r="N66" s="6" t="inlineStr">
        <is>
          <t>開く</t>
        </is>
      </c>
    </row>
    <row r="67">
      <c r="A67" s="2">
        <f>RANK(J67,$J$2:$J$656)</f>
        <v/>
      </c>
      <c r="B67" s="3" t="inlineStr">
        <is>
          <t>その他</t>
        </is>
      </c>
      <c r="C67" s="3" t="inlineStr">
        <is>
          <t>Y</t>
        </is>
      </c>
      <c r="D67" s="4" t="inlineStr">
        <is>
          <t>贱人工具箱（220+工具）</t>
        </is>
      </c>
      <c r="E67" s="4" t="inlineStr">
        <is>
          <t>印刷・編集・文字・寸法・ブロックの220余ツール</t>
        </is>
      </c>
      <c r="F67" s="2" t="n">
        <v>12</v>
      </c>
      <c r="G67" s="2" t="n">
        <v>12</v>
      </c>
      <c r="H67" s="2" t="n">
        <v>18</v>
      </c>
      <c r="I67" s="2" t="n">
        <v>20</v>
      </c>
      <c r="J67" s="5">
        <f>SUM(F67:I67)</f>
        <v/>
      </c>
      <c r="K67" s="4" t="inlineStr">
        <is>
          <t>定番の総合ツール箱</t>
        </is>
      </c>
      <c r="L67" s="3" t="inlineStr">
        <is>
          <t>贱人</t>
        </is>
      </c>
      <c r="M67" s="3" t="inlineStr">
        <is>
          <t>贱人工具箱</t>
        </is>
      </c>
      <c r="N67" s="6" t="inlineStr">
        <is>
          <t>開く</t>
        </is>
      </c>
    </row>
    <row r="68">
      <c r="A68" s="2">
        <f>RANK(J68,$J$2:$J$656)</f>
        <v/>
      </c>
      <c r="B68" s="3" t="inlineStr">
        <is>
          <t>設定・環境</t>
        </is>
      </c>
      <c r="C68" s="3" t="inlineStr">
        <is>
          <t>-</t>
        </is>
      </c>
      <c r="D68" s="4" t="inlineStr">
        <is>
          <t>轮盘工具箱</t>
        </is>
      </c>
      <c r="E68" s="4" t="inlineStr">
        <is>
          <t>マウス位置に円形メニューを表示</t>
        </is>
      </c>
      <c r="F68" s="2" t="n">
        <v>16</v>
      </c>
      <c r="G68" s="2" t="n">
        <v>18</v>
      </c>
      <c r="H68" s="2" t="n">
        <v>12</v>
      </c>
      <c r="I68" s="2" t="n">
        <v>16</v>
      </c>
      <c r="J68" s="5">
        <f>SUM(F68:I68)</f>
        <v/>
      </c>
      <c r="K68" s="4" t="inlineStr">
        <is>
          <t>パイメニュー</t>
        </is>
      </c>
      <c r="L68" s="3" t="inlineStr">
        <is>
          <t>ajunseo</t>
        </is>
      </c>
      <c r="M68" s="3" t="inlineStr">
        <is>
          <t>明经CAD社区</t>
        </is>
      </c>
      <c r="N68" s="6" t="inlineStr">
        <is>
          <t>開く</t>
        </is>
      </c>
    </row>
    <row r="69">
      <c r="A69" s="2">
        <f>RANK(J69,$J$2:$J$656)</f>
        <v/>
      </c>
      <c r="B69" s="3" t="inlineStr">
        <is>
          <t>設定・環境</t>
        </is>
      </c>
      <c r="C69" s="3" t="inlineStr">
        <is>
          <t>-</t>
        </is>
      </c>
      <c r="D69" s="4" t="inlineStr">
        <is>
          <t>输入法自动切换/鼠标双击管理器</t>
        </is>
      </c>
      <c r="E69" s="4" t="inlineStr">
        <is>
          <t>IME切替・ダブルクリック動作管理・印刷設定</t>
        </is>
      </c>
      <c r="F69" s="2" t="n">
        <v>20</v>
      </c>
      <c r="G69" s="2" t="n">
        <v>16</v>
      </c>
      <c r="H69" s="2" t="n">
        <v>14</v>
      </c>
      <c r="I69" s="2" t="n">
        <v>12</v>
      </c>
      <c r="J69" s="5">
        <f>SUM(F69:I69)</f>
        <v/>
      </c>
      <c r="K69" s="4" t="inlineStr">
        <is>
          <t>ダブルクリック動作変更</t>
        </is>
      </c>
      <c r="L69" s="3" t="inlineStr">
        <is>
          <t>xiaoyingzi</t>
        </is>
      </c>
      <c r="M69" s="3" t="inlineStr">
        <is>
          <t>明经CAD社区</t>
        </is>
      </c>
      <c r="N69" s="6" t="inlineStr">
        <is>
          <t>開く</t>
        </is>
      </c>
    </row>
    <row r="70">
      <c r="A70" s="2">
        <f>RANK(J70,$J$2:$J$656)</f>
        <v/>
      </c>
      <c r="B70" s="3" t="inlineStr">
        <is>
          <t>作図</t>
        </is>
      </c>
      <c r="C70" s="3" t="inlineStr">
        <is>
          <t>-</t>
        </is>
      </c>
      <c r="D70" s="4" t="inlineStr">
        <is>
          <t>飞诗 超级异形排料</t>
        </is>
      </c>
      <c r="E70" s="4" t="inlineStr">
        <is>
          <t>異形部品の自動板取り（ネスティング）</t>
        </is>
      </c>
      <c r="F70" s="2" t="n">
        <v>22</v>
      </c>
      <c r="G70" s="2" t="n">
        <v>18</v>
      </c>
      <c r="H70" s="2" t="n">
        <v>16</v>
      </c>
      <c r="I70" s="2" t="n">
        <v>6</v>
      </c>
      <c r="J70" s="5">
        <f>SUM(F70:I70)</f>
        <v/>
      </c>
      <c r="K70" s="4" t="inlineStr">
        <is>
          <t>異形ネスティング</t>
        </is>
      </c>
      <c r="L70" s="3" t="inlineStr">
        <is>
          <t>飞诗(fsxm)</t>
        </is>
      </c>
      <c r="M70" s="3" t="inlineStr">
        <is>
          <t>明经CAD社区</t>
        </is>
      </c>
      <c r="N70" s="6" t="inlineStr">
        <is>
          <t>開く</t>
        </is>
      </c>
    </row>
    <row r="71">
      <c r="A71" s="2">
        <f>RANK(J71,$J$2:$J$656)</f>
        <v/>
      </c>
      <c r="B71" s="3" t="inlineStr">
        <is>
          <t>文字・テキスト</t>
        </is>
      </c>
      <c r="C71" s="3" t="inlineStr">
        <is>
          <t>JJJ</t>
        </is>
      </c>
      <c r="D71" s="4" t="inlineStr">
        <is>
          <t>JJJ递增（汉字序号・字母）</t>
        </is>
      </c>
      <c r="E71" s="4" t="inlineStr">
        <is>
          <t>漢数字・英字にも対応する増分複写</t>
        </is>
      </c>
      <c r="F71" s="2" t="n">
        <v>16</v>
      </c>
      <c r="G71" s="2" t="n">
        <v>14</v>
      </c>
      <c r="H71" s="2" t="n">
        <v>15</v>
      </c>
      <c r="I71" s="2" t="n">
        <v>16</v>
      </c>
      <c r="J71" s="5">
        <f>SUM(F71:I71)</f>
        <v/>
      </c>
      <c r="K71" s="4" t="inlineStr">
        <is>
          <t>漢数字対応増分</t>
        </is>
      </c>
      <c r="L71" s="3" t="inlineStr">
        <is>
          <t>1028695446</t>
        </is>
      </c>
      <c r="M71" s="3" t="inlineStr">
        <is>
          <t>明经CAD社区</t>
        </is>
      </c>
      <c r="N71" s="6" t="inlineStr">
        <is>
          <t>開く</t>
        </is>
      </c>
    </row>
    <row r="72">
      <c r="A72" s="2">
        <f>RANK(J72,$J$2:$J$656)</f>
        <v/>
      </c>
      <c r="B72" s="3" t="inlineStr">
        <is>
          <t>ブロック・属性</t>
        </is>
      </c>
      <c r="C72" s="3" t="inlineStr">
        <is>
          <t>块更新</t>
        </is>
      </c>
      <c r="D72" s="4" t="inlineStr">
        <is>
          <t>块更新</t>
        </is>
      </c>
      <c r="E72" s="4" t="inlineStr">
        <is>
          <t>フォルダ内DWGからブロック定義を一括更新</t>
        </is>
      </c>
      <c r="F72" s="2" t="n">
        <v>17</v>
      </c>
      <c r="G72" s="2" t="n">
        <v>10</v>
      </c>
      <c r="H72" s="2" t="n">
        <v>17</v>
      </c>
      <c r="I72" s="2" t="n">
        <v>17</v>
      </c>
      <c r="J72" s="5">
        <f>SUM(F72:I72)</f>
        <v/>
      </c>
      <c r="K72" s="4" t="inlineStr">
        <is>
          <t>ライブラリ同期</t>
        </is>
      </c>
      <c r="L72" s="3" t="inlineStr">
        <is>
          <t>VitalGG</t>
        </is>
      </c>
      <c r="M72" s="3" t="inlineStr">
        <is>
          <t>@lisp 应用云</t>
        </is>
      </c>
      <c r="N72" s="6" t="inlineStr">
        <is>
          <t>開く</t>
        </is>
      </c>
    </row>
    <row r="73">
      <c r="A73" s="2">
        <f>RANK(J73,$J$2:$J$656)</f>
        <v/>
      </c>
      <c r="B73" s="3" t="inlineStr">
        <is>
          <t>作図</t>
        </is>
      </c>
      <c r="C73" s="3" t="inlineStr">
        <is>
          <t>对齐图素</t>
        </is>
      </c>
      <c r="D73" s="4" t="inlineStr">
        <is>
          <t>对齐图素</t>
        </is>
      </c>
      <c r="E73" s="4" t="inlineStr">
        <is>
          <t>文字・天正文字・ブロック・表・寸法の行間整列</t>
        </is>
      </c>
      <c r="F73" s="2" t="n">
        <v>16</v>
      </c>
      <c r="G73" s="2" t="n">
        <v>12</v>
      </c>
      <c r="H73" s="2" t="n">
        <v>15</v>
      </c>
      <c r="I73" s="2" t="n">
        <v>18</v>
      </c>
      <c r="J73" s="5">
        <f>SUM(F73:I73)</f>
        <v/>
      </c>
      <c r="K73" s="4" t="inlineStr">
        <is>
          <t>多種図元の等間隔整列</t>
        </is>
      </c>
      <c r="L73" s="3" t="inlineStr">
        <is>
          <t>print1985</t>
        </is>
      </c>
      <c r="M73" s="3" t="inlineStr">
        <is>
          <t>@lisp 应用云</t>
        </is>
      </c>
      <c r="N73" s="6" t="inlineStr">
        <is>
          <t>開く</t>
        </is>
      </c>
    </row>
    <row r="74">
      <c r="A74" s="2">
        <f>RANK(J74,$J$2:$J$656)</f>
        <v/>
      </c>
      <c r="B74" s="3" t="inlineStr">
        <is>
          <t>ハッチ・面積・長さ集計</t>
        </is>
      </c>
      <c r="C74" s="3" t="inlineStr">
        <is>
          <t>GG</t>
        </is>
      </c>
      <c r="D74" s="4" t="inlineStr">
        <is>
          <t>工程量统计_v1.7.2</t>
        </is>
      </c>
      <c r="E74" s="4" t="inlineStr">
        <is>
          <t>長さ・面積・個数の工事数量を集計</t>
        </is>
      </c>
      <c r="F74" s="2" t="n">
        <v>18</v>
      </c>
      <c r="G74" s="2" t="n">
        <v>10</v>
      </c>
      <c r="H74" s="2" t="n">
        <v>18</v>
      </c>
      <c r="I74" s="2" t="n">
        <v>15</v>
      </c>
      <c r="J74" s="5">
        <f>SUM(F74:I74)</f>
        <v/>
      </c>
      <c r="K74" s="4" t="inlineStr">
        <is>
          <t>数量拾い</t>
        </is>
      </c>
      <c r="L74" s="3" t="inlineStr">
        <is>
          <t>kucha007</t>
        </is>
      </c>
      <c r="M74" s="3" t="inlineStr">
        <is>
          <t>明经CAD社区</t>
        </is>
      </c>
      <c r="N74" s="6" t="inlineStr">
        <is>
          <t>開く</t>
        </is>
      </c>
    </row>
    <row r="75">
      <c r="A75" s="2">
        <f>RANK(J75,$J$2:$J$656)</f>
        <v/>
      </c>
      <c r="B75" s="3" t="inlineStr">
        <is>
          <t>文字・テキスト</t>
        </is>
      </c>
      <c r="C75" s="3" t="inlineStr">
        <is>
          <t>文字排版</t>
        </is>
      </c>
      <c r="D75" s="4" t="inlineStr">
        <is>
          <t>文字排版 (@lisp文本)</t>
        </is>
      </c>
      <c r="E75" s="4" t="inlineStr">
        <is>
          <t>乱雑な単線文字を左揃え・等行間で整列</t>
        </is>
      </c>
      <c r="F75" s="2" t="n">
        <v>14</v>
      </c>
      <c r="G75" s="2" t="n">
        <v>10</v>
      </c>
      <c r="H75" s="2" t="n">
        <v>15</v>
      </c>
      <c r="I75" s="2" t="n">
        <v>22</v>
      </c>
      <c r="J75" s="5">
        <f>SUM(F75:I75)</f>
        <v/>
      </c>
      <c r="K75" s="4" t="inlineStr">
        <is>
          <t>TEXTALIGNより行間整列が楽</t>
        </is>
      </c>
      <c r="L75" s="3" t="inlineStr">
        <is>
          <t>VitalGG</t>
        </is>
      </c>
      <c r="M75" s="3" t="inlineStr">
        <is>
          <t>@lisp 应用云</t>
        </is>
      </c>
      <c r="N75" s="6" t="inlineStr">
        <is>
          <t>開く</t>
        </is>
      </c>
    </row>
    <row r="76">
      <c r="A76" s="2">
        <f>RANK(J76,$J$2:$J$656)</f>
        <v/>
      </c>
      <c r="B76" s="3" t="inlineStr">
        <is>
          <t>ハッチ・面積・長さ集計</t>
        </is>
      </c>
      <c r="C76" s="3" t="inlineStr">
        <is>
          <t>∑求和/∏求积</t>
        </is>
      </c>
      <c r="D76" s="4" t="inlineStr">
        <is>
          <t>文字数值求和 (@lisp数学)</t>
        </is>
      </c>
      <c r="E76" s="4" t="inlineStr">
        <is>
          <t>選択文字の数値を合計・積算</t>
        </is>
      </c>
      <c r="F76" s="2" t="n">
        <v>18</v>
      </c>
      <c r="G76" s="2" t="n">
        <v>8</v>
      </c>
      <c r="H76" s="2" t="n">
        <v>17</v>
      </c>
      <c r="I76" s="2" t="n">
        <v>18</v>
      </c>
      <c r="J76" s="5">
        <f>SUM(F76:I76)</f>
        <v/>
      </c>
      <c r="K76" s="4" t="inlineStr">
        <is>
          <t>数量表の検算に必須</t>
        </is>
      </c>
      <c r="L76" s="3" t="inlineStr">
        <is>
          <t>VitalGG</t>
        </is>
      </c>
      <c r="M76" s="3" t="inlineStr">
        <is>
          <t>@lisp 应用云</t>
        </is>
      </c>
      <c r="N76" s="6" t="inlineStr">
        <is>
          <t>開く</t>
        </is>
      </c>
    </row>
    <row r="77">
      <c r="A77" s="2">
        <f>RANK(J77,$J$2:$J$656)</f>
        <v/>
      </c>
      <c r="B77" s="3" t="inlineStr">
        <is>
          <t>文字・テキスト</t>
        </is>
      </c>
      <c r="C77" s="3" t="inlineStr">
        <is>
          <t>绘线查找</t>
        </is>
      </c>
      <c r="D77" s="4" t="inlineStr">
        <is>
          <t>绘线查找 (@lisp文本)</t>
        </is>
      </c>
      <c r="E77" s="4" t="inlineStr">
        <is>
          <t>同じ内容の文字を探して線で結ぶ</t>
        </is>
      </c>
      <c r="F77" s="2" t="n">
        <v>18</v>
      </c>
      <c r="G77" s="2" t="n">
        <v>17</v>
      </c>
      <c r="H77" s="2" t="n">
        <v>10</v>
      </c>
      <c r="I77" s="2" t="n">
        <v>16</v>
      </c>
      <c r="J77" s="5">
        <f>SUM(F77:I77)</f>
        <v/>
      </c>
      <c r="K77" s="4" t="inlineStr">
        <is>
          <t>同一文字の位置を可視化</t>
        </is>
      </c>
      <c r="L77" s="3" t="inlineStr">
        <is>
          <t>VitalGG</t>
        </is>
      </c>
      <c r="M77" s="3" t="inlineStr">
        <is>
          <t>@lisp 应用云</t>
        </is>
      </c>
      <c r="N77" s="6" t="inlineStr">
        <is>
          <t>開く</t>
        </is>
      </c>
    </row>
    <row r="78">
      <c r="A78" s="2">
        <f>RANK(J78,$J$2:$J$656)</f>
        <v/>
      </c>
      <c r="B78" s="3" t="inlineStr">
        <is>
          <t>文字・テキスト</t>
        </is>
      </c>
      <c r="C78" s="3" t="inlineStr">
        <is>
          <t>翻译文本/英译中</t>
        </is>
      </c>
      <c r="D78" s="4" t="inlineStr">
        <is>
          <t>翻译文本 (@lisp文本)</t>
        </is>
      </c>
      <c r="E78" s="4" t="inlineStr">
        <is>
          <t>選択文字をネット翻訳して置換</t>
        </is>
      </c>
      <c r="F78" s="2" t="n">
        <v>20</v>
      </c>
      <c r="G78" s="2" t="n">
        <v>17</v>
      </c>
      <c r="H78" s="2" t="n">
        <v>10</v>
      </c>
      <c r="I78" s="2" t="n">
        <v>14</v>
      </c>
      <c r="J78" s="5">
        <f>SUM(F78:I78)</f>
        <v/>
      </c>
      <c r="K78" s="4" t="inlineStr">
        <is>
          <t>CAD内で翻訳</t>
        </is>
      </c>
      <c r="L78" s="3" t="inlineStr">
        <is>
          <t>VitalGG</t>
        </is>
      </c>
      <c r="M78" s="3" t="inlineStr">
        <is>
          <t>@lisp 应用云</t>
        </is>
      </c>
      <c r="N78" s="6" t="inlineStr">
        <is>
          <t>開く</t>
        </is>
      </c>
    </row>
    <row r="79">
      <c r="A79" s="2">
        <f>RANK(J79,$J$2:$J$656)</f>
        <v/>
      </c>
      <c r="B79" s="3" t="inlineStr">
        <is>
          <t>表・Excel連携</t>
        </is>
      </c>
      <c r="C79" s="3" t="inlineStr">
        <is>
          <t>-</t>
        </is>
      </c>
      <c r="D79" s="4" t="inlineStr">
        <is>
          <t>表格内文字居中</t>
        </is>
      </c>
      <c r="E79" s="4" t="inlineStr">
        <is>
          <t>線で描かれた表の中で文字を中央配置</t>
        </is>
      </c>
      <c r="F79" s="2" t="n">
        <v>18</v>
      </c>
      <c r="G79" s="2" t="n">
        <v>10</v>
      </c>
      <c r="H79" s="2" t="n">
        <v>16</v>
      </c>
      <c r="I79" s="2" t="n">
        <v>17</v>
      </c>
      <c r="J79" s="5">
        <f>SUM(F79:I79)</f>
        <v/>
      </c>
      <c r="K79" s="4" t="inlineStr">
        <is>
          <t>表内文字中央寄せ</t>
        </is>
      </c>
      <c r="L79" s="3" t="inlineStr">
        <is>
          <t>gaomingabc456</t>
        </is>
      </c>
      <c r="M79" s="3" t="inlineStr">
        <is>
          <t>明经CAD社区</t>
        </is>
      </c>
      <c r="N79" s="6" t="inlineStr">
        <is>
          <t>開く</t>
        </is>
      </c>
    </row>
    <row r="80">
      <c r="A80" s="2">
        <f>RANK(J80,$J$2:$J$656)</f>
        <v/>
      </c>
      <c r="B80" s="3" t="inlineStr">
        <is>
          <t>文字・テキスト</t>
        </is>
      </c>
      <c r="C80" s="3" t="inlineStr">
        <is>
          <t>-</t>
        </is>
      </c>
      <c r="D80" s="4" t="inlineStr">
        <is>
          <t>超级递增复制</t>
        </is>
      </c>
      <c r="E80" s="4" t="inlineStr">
        <is>
          <t>文字数値を増分しながら複写</t>
        </is>
      </c>
      <c r="F80" s="2" t="n">
        <v>14</v>
      </c>
      <c r="G80" s="2" t="n">
        <v>10</v>
      </c>
      <c r="H80" s="2" t="n">
        <v>17</v>
      </c>
      <c r="I80" s="2" t="n">
        <v>20</v>
      </c>
      <c r="J80" s="5">
        <f>SUM(F80:I80)</f>
        <v/>
      </c>
      <c r="K80" s="4" t="inlineStr">
        <is>
          <t>連番複写の定番</t>
        </is>
      </c>
      <c r="L80" s="3" t="inlineStr">
        <is>
          <t>sharetow</t>
        </is>
      </c>
      <c r="M80" s="3" t="inlineStr">
        <is>
          <t>明经CAD社区</t>
        </is>
      </c>
      <c r="N80" s="6" t="inlineStr">
        <is>
          <t>開く</t>
        </is>
      </c>
    </row>
    <row r="81">
      <c r="A81" s="2">
        <f>RANK(J81,$J$2:$J$656)</f>
        <v/>
      </c>
      <c r="B81" s="3" t="inlineStr">
        <is>
          <t>座標・測量・土木</t>
        </is>
      </c>
      <c r="C81" s="3" t="inlineStr">
        <is>
          <t>道路边线生成</t>
        </is>
      </c>
      <c r="D81" s="4" t="inlineStr">
        <is>
          <t>道路边线生成</t>
        </is>
      </c>
      <c r="E81" s="4" t="inlineStr">
        <is>
          <t>中心線から道路端線・交差点を自動生成</t>
        </is>
      </c>
      <c r="F81" s="2" t="n">
        <v>20</v>
      </c>
      <c r="G81" s="2" t="n">
        <v>15</v>
      </c>
      <c r="H81" s="2" t="n">
        <v>18</v>
      </c>
      <c r="I81" s="2" t="n">
        <v>8</v>
      </c>
      <c r="J81" s="5">
        <f>SUM(F81:I81)</f>
        <v/>
      </c>
      <c r="K81" s="4" t="inlineStr">
        <is>
          <t>道路網の自動作図</t>
        </is>
      </c>
      <c r="L81" s="3" t="inlineStr">
        <is>
          <t>VitalGG</t>
        </is>
      </c>
      <c r="M81" s="3" t="inlineStr">
        <is>
          <t>@lisp 应用云</t>
        </is>
      </c>
      <c r="N81" s="6" t="inlineStr">
        <is>
          <t>開く</t>
        </is>
      </c>
    </row>
    <row r="82">
      <c r="A82" s="2">
        <f>RANK(J82,$J$2:$J$656)</f>
        <v/>
      </c>
      <c r="B82" s="3" t="inlineStr">
        <is>
          <t>文字・テキスト</t>
        </is>
      </c>
      <c r="C82" s="3" t="inlineStr">
        <is>
          <t>JK_FindDup</t>
        </is>
      </c>
      <c r="D82" s="4" t="inlineStr">
        <is>
          <t>JK_FindDup 批量查重</t>
        </is>
      </c>
      <c r="E82" s="4" t="inlineStr">
        <is>
          <t>重複内容の文字を色分けで可視化</t>
        </is>
      </c>
      <c r="F82" s="2" t="n">
        <v>18</v>
      </c>
      <c r="G82" s="2" t="n">
        <v>14</v>
      </c>
      <c r="H82" s="2" t="n">
        <v>12</v>
      </c>
      <c r="I82" s="2" t="n">
        <v>16</v>
      </c>
      <c r="J82" s="5">
        <f>SUM(F82:I82)</f>
        <v/>
      </c>
      <c r="K82" s="4" t="inlineStr">
        <is>
          <t>重複文字の色分け</t>
        </is>
      </c>
      <c r="L82" s="3" t="inlineStr">
        <is>
          <t>ixsouler</t>
        </is>
      </c>
      <c r="M82" s="3" t="inlineStr">
        <is>
          <t>GitHub: ixsouler/JK_Toolbox</t>
        </is>
      </c>
      <c r="N82" s="6" t="inlineStr">
        <is>
          <t>開く</t>
        </is>
      </c>
    </row>
    <row r="83">
      <c r="A83" s="2">
        <f>RANK(J83,$J$2:$J$656)</f>
        <v/>
      </c>
      <c r="B83" s="3" t="inlineStr">
        <is>
          <t>文字・テキスト</t>
        </is>
      </c>
      <c r="C83" s="3" t="inlineStr">
        <is>
          <t>textinbox</t>
        </is>
      </c>
      <c r="D83" s="4" t="inlineStr">
        <is>
          <t>textinbox 文字定点在方格内</t>
        </is>
      </c>
      <c r="E83" s="4" t="inlineStr">
        <is>
          <t>文字を線で囲まれたマス目の中央へ配置</t>
        </is>
      </c>
      <c r="F83" s="2" t="n">
        <v>17</v>
      </c>
      <c r="G83" s="2" t="n">
        <v>12</v>
      </c>
      <c r="H83" s="2" t="n">
        <v>15</v>
      </c>
      <c r="I83" s="2" t="n">
        <v>16</v>
      </c>
      <c r="J83" s="5">
        <f>SUM(F83:I83)</f>
        <v/>
      </c>
      <c r="K83" s="4" t="inlineStr">
        <is>
          <t>表内文字の中央寄せ</t>
        </is>
      </c>
      <c r="L83" s="3" t="inlineStr">
        <is>
          <t>841594</t>
        </is>
      </c>
      <c r="M83" s="3" t="inlineStr">
        <is>
          <t>GitHub: zhugecaomao/AutoLISP</t>
        </is>
      </c>
      <c r="N83" s="6" t="inlineStr">
        <is>
          <t>開く</t>
        </is>
      </c>
    </row>
    <row r="84">
      <c r="A84" s="2">
        <f>RANK(J84,$J$2:$J$656)</f>
        <v/>
      </c>
      <c r="B84" s="3" t="inlineStr">
        <is>
          <t>表・Excel連携</t>
        </is>
      </c>
      <c r="C84" s="3" t="inlineStr">
        <is>
          <t>YSDL</t>
        </is>
      </c>
      <c r="D84" s="4" t="inlineStr">
        <is>
          <t>ZW工具 YSDL 文字追记CSV</t>
        </is>
      </c>
      <c r="E84" s="4" t="inlineStr">
        <is>
          <t>選択文字をデスクトップCSVに追記し色変更</t>
        </is>
      </c>
      <c r="F84" s="2" t="n">
        <v>18</v>
      </c>
      <c r="G84" s="2" t="n">
        <v>14</v>
      </c>
      <c r="H84" s="2" t="n">
        <v>14</v>
      </c>
      <c r="I84" s="2" t="n">
        <v>14</v>
      </c>
      <c r="J84" s="5">
        <f>SUM(F84:I84)</f>
        <v/>
      </c>
      <c r="K84" s="4" t="inlineStr">
        <is>
          <t>処理済み色分け＋CSV</t>
        </is>
      </c>
      <c r="L84" s="3" t="inlineStr">
        <is>
          <t>y1991427360s</t>
        </is>
      </c>
      <c r="M84" s="3" t="inlineStr">
        <is>
          <t>GitHub: y1991427360s/zwcad-autolisp-tools</t>
        </is>
      </c>
      <c r="N84" s="6" t="inlineStr">
        <is>
          <t>開く</t>
        </is>
      </c>
    </row>
    <row r="85">
      <c r="A85" s="2">
        <f>RANK(J85,$J$2:$J$656)</f>
        <v/>
      </c>
      <c r="B85" s="3" t="inlineStr">
        <is>
          <t>線・ポリライン編集</t>
        </is>
      </c>
      <c r="C85" s="3" t="inlineStr">
        <is>
          <t>-</t>
        </is>
      </c>
      <c r="D85" s="4" t="inlineStr">
        <is>
          <t>中心线神器</t>
        </is>
      </c>
      <c r="E85" s="4" t="inlineStr">
        <is>
          <t>2線の中心線を自動作図</t>
        </is>
      </c>
      <c r="F85" s="2" t="n">
        <v>16</v>
      </c>
      <c r="G85" s="2" t="n">
        <v>12</v>
      </c>
      <c r="H85" s="2" t="n">
        <v>16</v>
      </c>
      <c r="I85" s="2" t="n">
        <v>16</v>
      </c>
      <c r="J85" s="5">
        <f>SUM(F85:I85)</f>
        <v/>
      </c>
      <c r="K85" s="4" t="inlineStr">
        <is>
          <t>中心線自動作図</t>
        </is>
      </c>
      <c r="L85" s="3" t="inlineStr">
        <is>
          <t>biya</t>
        </is>
      </c>
      <c r="M85" s="3" t="inlineStr">
        <is>
          <t>明经CAD社区</t>
        </is>
      </c>
      <c r="N85" s="6" t="inlineStr">
        <is>
          <t>開く</t>
        </is>
      </c>
    </row>
    <row r="86">
      <c r="A86" s="2">
        <f>RANK(J86,$J$2:$J$656)</f>
        <v/>
      </c>
      <c r="B86" s="3" t="inlineStr">
        <is>
          <t>外部参照・図面管理・一括処理</t>
        </is>
      </c>
      <c r="C86" s="3" t="inlineStr">
        <is>
          <t>DICTS</t>
        </is>
      </c>
      <c r="D86" s="4" t="inlineStr">
        <is>
          <t>删字典瘦身文件</t>
        </is>
      </c>
      <c r="E86" s="4" t="inlineStr">
        <is>
          <t>不要な辞書を削除し図面を軽量化</t>
        </is>
      </c>
      <c r="F86" s="2" t="n">
        <v>18</v>
      </c>
      <c r="G86" s="2" t="n">
        <v>14</v>
      </c>
      <c r="H86" s="2" t="n">
        <v>12</v>
      </c>
      <c r="I86" s="2" t="n">
        <v>16</v>
      </c>
      <c r="J86" s="5">
        <f>SUM(F86:I86)</f>
        <v/>
      </c>
      <c r="K86" s="4" t="inlineStr">
        <is>
          <t>辞書削除で軽量化</t>
        </is>
      </c>
      <c r="L86" s="3" t="inlineStr">
        <is>
          <t>kucha007</t>
        </is>
      </c>
      <c r="M86" s="3" t="inlineStr">
        <is>
          <t>明经CAD社区</t>
        </is>
      </c>
      <c r="N86" s="6" t="inlineStr">
        <is>
          <t>開く</t>
        </is>
      </c>
    </row>
    <row r="87">
      <c r="A87" s="2">
        <f>RANK(J87,$J$2:$J$656)</f>
        <v/>
      </c>
      <c r="B87" s="3" t="inlineStr">
        <is>
          <t>作図</t>
        </is>
      </c>
      <c r="C87" s="3" t="inlineStr">
        <is>
          <t>-</t>
        </is>
      </c>
      <c r="D87" s="4" t="inlineStr">
        <is>
          <t>动态排版（第二版）</t>
        </is>
      </c>
      <c r="E87" s="4" t="inlineStr">
        <is>
          <t>図形を動的プレビューで並べ替え配置</t>
        </is>
      </c>
      <c r="F87" s="2" t="n">
        <v>16</v>
      </c>
      <c r="G87" s="2" t="n">
        <v>16</v>
      </c>
      <c r="H87" s="2" t="n">
        <v>13</v>
      </c>
      <c r="I87" s="2" t="n">
        <v>15</v>
      </c>
      <c r="J87" s="5">
        <f>SUM(F87:I87)</f>
        <v/>
      </c>
      <c r="K87" s="4" t="inlineStr">
        <is>
          <t>動的配置</t>
        </is>
      </c>
      <c r="L87" s="3" t="inlineStr"/>
      <c r="M87" s="3" t="inlineStr">
        <is>
          <t>晓东CAD家园</t>
        </is>
      </c>
      <c r="N87" s="6" t="inlineStr">
        <is>
          <t>開く</t>
        </is>
      </c>
    </row>
    <row r="88">
      <c r="A88" s="2">
        <f>RANK(J88,$J$2:$J$656)</f>
        <v/>
      </c>
      <c r="B88" s="3" t="inlineStr">
        <is>
          <t>文字・テキスト</t>
        </is>
      </c>
      <c r="C88" s="3" t="inlineStr">
        <is>
          <t>DN/FN/FA</t>
        </is>
      </c>
      <c r="D88" s="4" t="inlineStr">
        <is>
          <t>序号增减+修复序号+文字替换</t>
        </is>
      </c>
      <c r="E88" s="4" t="inlineStr">
        <is>
          <t>番号の増減・欠番修正・置換</t>
        </is>
      </c>
      <c r="F88" s="2" t="n">
        <v>18</v>
      </c>
      <c r="G88" s="2" t="n">
        <v>12</v>
      </c>
      <c r="H88" s="2" t="n">
        <v>14</v>
      </c>
      <c r="I88" s="2" t="n">
        <v>16</v>
      </c>
      <c r="J88" s="5">
        <f>SUM(F88:I88)</f>
        <v/>
      </c>
      <c r="K88" s="4" t="inlineStr">
        <is>
          <t>番号修正</t>
        </is>
      </c>
      <c r="L88" s="3" t="inlineStr">
        <is>
          <t>kucha007</t>
        </is>
      </c>
      <c r="M88" s="3" t="inlineStr">
        <is>
          <t>明经CAD社区</t>
        </is>
      </c>
      <c r="N88" s="6" t="inlineStr">
        <is>
          <t>開く</t>
        </is>
      </c>
    </row>
    <row r="89">
      <c r="A89" s="2">
        <f>RANK(J89,$J$2:$J$656)</f>
        <v/>
      </c>
      <c r="B89" s="3" t="inlineStr">
        <is>
          <t>文字・テキスト</t>
        </is>
      </c>
      <c r="C89" s="3" t="inlineStr">
        <is>
          <t>批量运算</t>
        </is>
      </c>
      <c r="D89" s="4" t="inlineStr">
        <is>
          <t>批量四则运算 (@lisp数学)</t>
        </is>
      </c>
      <c r="E89" s="4" t="inlineStr">
        <is>
          <t>選択文字の数値を一括で加減乗除</t>
        </is>
      </c>
      <c r="F89" s="2" t="n">
        <v>19</v>
      </c>
      <c r="G89" s="2" t="n">
        <v>10</v>
      </c>
      <c r="H89" s="2" t="n">
        <v>15</v>
      </c>
      <c r="I89" s="2" t="n">
        <v>16</v>
      </c>
      <c r="J89" s="5">
        <f>SUM(F89:I89)</f>
        <v/>
      </c>
      <c r="K89" s="4" t="inlineStr">
        <is>
          <t>数値文字の一括演算</t>
        </is>
      </c>
      <c r="L89" s="3" t="inlineStr">
        <is>
          <t>VitalGG</t>
        </is>
      </c>
      <c r="M89" s="3" t="inlineStr">
        <is>
          <t>@lisp 应用云</t>
        </is>
      </c>
      <c r="N89" s="6" t="inlineStr">
        <is>
          <t>開く</t>
        </is>
      </c>
    </row>
    <row r="90">
      <c r="A90" s="2">
        <f>RANK(J90,$J$2:$J$656)</f>
        <v/>
      </c>
      <c r="B90" s="3" t="inlineStr">
        <is>
          <t>ブロック・属性</t>
        </is>
      </c>
      <c r="C90" s="3" t="inlineStr">
        <is>
          <t>-</t>
        </is>
      </c>
      <c r="D90" s="4" t="inlineStr">
        <is>
          <t>批量改块属性v1.1</t>
        </is>
      </c>
      <c r="E90" s="4" t="inlineStr">
        <is>
          <t>属性に応じてパネル自動生成し一括編集</t>
        </is>
      </c>
      <c r="F90" s="2" t="n">
        <v>14</v>
      </c>
      <c r="G90" s="2" t="n">
        <v>14</v>
      </c>
      <c r="H90" s="2" t="n">
        <v>16</v>
      </c>
      <c r="I90" s="2" t="n">
        <v>16</v>
      </c>
      <c r="J90" s="5">
        <f>SUM(F90:I90)</f>
        <v/>
      </c>
      <c r="K90" s="4" t="inlineStr">
        <is>
          <t>属性パネル自動生成</t>
        </is>
      </c>
      <c r="L90" s="3" t="inlineStr">
        <is>
          <t>LPACMQ</t>
        </is>
      </c>
      <c r="M90" s="3" t="inlineStr">
        <is>
          <t>明经CAD社区</t>
        </is>
      </c>
      <c r="N90" s="6" t="inlineStr">
        <is>
          <t>開く</t>
        </is>
      </c>
    </row>
    <row r="91">
      <c r="A91" s="2">
        <f>RANK(J91,$J$2:$J$656)</f>
        <v/>
      </c>
      <c r="B91" s="3" t="inlineStr">
        <is>
          <t>文字・テキスト</t>
        </is>
      </c>
      <c r="C91" s="3" t="inlineStr">
        <is>
          <t>-</t>
        </is>
      </c>
      <c r="D91" s="4" t="inlineStr">
        <is>
          <t>文字统一加减乘除某数值</t>
        </is>
      </c>
      <c r="E91" s="4" t="inlineStr">
        <is>
          <t>選択文字の数値を一律に四則演算</t>
        </is>
      </c>
      <c r="F91" s="2" t="n">
        <v>19</v>
      </c>
      <c r="G91" s="2" t="n">
        <v>10</v>
      </c>
      <c r="H91" s="2" t="n">
        <v>15</v>
      </c>
      <c r="I91" s="2" t="n">
        <v>16</v>
      </c>
      <c r="J91" s="5">
        <f>SUM(F91:I91)</f>
        <v/>
      </c>
      <c r="K91" s="4" t="inlineStr">
        <is>
          <t>数値文字一括演算</t>
        </is>
      </c>
      <c r="L91" s="3" t="inlineStr">
        <is>
          <t>xq4u</t>
        </is>
      </c>
      <c r="M91" s="3" t="inlineStr">
        <is>
          <t>明经CAD社区</t>
        </is>
      </c>
      <c r="N91" s="6" t="inlineStr">
        <is>
          <t>開く</t>
        </is>
      </c>
    </row>
    <row r="92">
      <c r="A92" s="2">
        <f>RANK(J92,$J$2:$J$656)</f>
        <v/>
      </c>
      <c r="B92" s="3" t="inlineStr">
        <is>
          <t>ハッチ・面積・長さ集計</t>
        </is>
      </c>
      <c r="C92" s="3" t="inlineStr">
        <is>
          <t>单行文本/文数汇总</t>
        </is>
      </c>
      <c r="D92" s="4" t="inlineStr">
        <is>
          <t>文本统计 (@lisp数学)</t>
        </is>
      </c>
      <c r="E92" s="4" t="inlineStr">
        <is>
          <t>文字内容別に出現数・数量を集計</t>
        </is>
      </c>
      <c r="F92" s="2" t="n">
        <v>17</v>
      </c>
      <c r="G92" s="2" t="n">
        <v>10</v>
      </c>
      <c r="H92" s="2" t="n">
        <v>16</v>
      </c>
      <c r="I92" s="2" t="n">
        <v>17</v>
      </c>
      <c r="J92" s="5">
        <f>SUM(F92:I92)</f>
        <v/>
      </c>
      <c r="K92" s="4" t="inlineStr">
        <is>
          <t>文字別集計は標準外</t>
        </is>
      </c>
      <c r="L92" s="3" t="inlineStr">
        <is>
          <t>VitalGG</t>
        </is>
      </c>
      <c r="M92" s="3" t="inlineStr">
        <is>
          <t>@lisp 应用云</t>
        </is>
      </c>
      <c r="N92" s="6" t="inlineStr">
        <is>
          <t>開く</t>
        </is>
      </c>
    </row>
    <row r="93">
      <c r="A93" s="2">
        <f>RANK(J93,$J$2:$J$656)</f>
        <v/>
      </c>
      <c r="B93" s="3" t="inlineStr">
        <is>
          <t>線・ポリライン編集</t>
        </is>
      </c>
      <c r="C93" s="3" t="inlineStr">
        <is>
          <t>-</t>
        </is>
      </c>
      <c r="D93" s="4" t="inlineStr">
        <is>
          <t>智能中心线源码</t>
        </is>
      </c>
      <c r="E93" s="4" t="inlineStr">
        <is>
          <t>平行線・円弧の中心線を智能作図</t>
        </is>
      </c>
      <c r="F93" s="2" t="n">
        <v>16</v>
      </c>
      <c r="G93" s="2" t="n">
        <v>13</v>
      </c>
      <c r="H93" s="2" t="n">
        <v>15</v>
      </c>
      <c r="I93" s="2" t="n">
        <v>16</v>
      </c>
      <c r="J93" s="5">
        <f>SUM(F93:I93)</f>
        <v/>
      </c>
      <c r="K93" s="4" t="inlineStr">
        <is>
          <t>中心線作図</t>
        </is>
      </c>
      <c r="L93" s="3" t="inlineStr">
        <is>
          <t>laiz3000</t>
        </is>
      </c>
      <c r="M93" s="3" t="inlineStr">
        <is>
          <t>明经CAD社区</t>
        </is>
      </c>
      <c r="N93" s="6" t="inlineStr">
        <is>
          <t>開く</t>
        </is>
      </c>
    </row>
    <row r="94">
      <c r="A94" s="2">
        <f>RANK(J94,$J$2:$J$656)</f>
        <v/>
      </c>
      <c r="B94" s="3" t="inlineStr">
        <is>
          <t>ハッチ・面積・長さ集計</t>
        </is>
      </c>
      <c r="C94" s="3" t="inlineStr">
        <is>
          <t>矩形统计表/矩形分色</t>
        </is>
      </c>
      <c r="D94" s="4" t="inlineStr">
        <is>
          <t>统计矩形宽高</t>
        </is>
      </c>
      <c r="E94" s="4" t="inlineStr">
        <is>
          <t>矩形（面取り含）の幅高さを集計・色分け</t>
        </is>
      </c>
      <c r="F94" s="2" t="n">
        <v>19</v>
      </c>
      <c r="G94" s="2" t="n">
        <v>12</v>
      </c>
      <c r="H94" s="2" t="n">
        <v>16</v>
      </c>
      <c r="I94" s="2" t="n">
        <v>13</v>
      </c>
      <c r="J94" s="5">
        <f>SUM(F94:I94)</f>
        <v/>
      </c>
      <c r="K94" s="4" t="inlineStr">
        <is>
          <t>板材寸法リスト化</t>
        </is>
      </c>
      <c r="L94" s="3" t="inlineStr">
        <is>
          <t>VitalGG</t>
        </is>
      </c>
      <c r="M94" s="3" t="inlineStr">
        <is>
          <t>@lisp 应用云</t>
        </is>
      </c>
      <c r="N94" s="6" t="inlineStr">
        <is>
          <t>開く</t>
        </is>
      </c>
    </row>
    <row r="95">
      <c r="A95" s="2">
        <f>RANK(J95,$J$2:$J$656)</f>
        <v/>
      </c>
      <c r="B95" s="3" t="inlineStr">
        <is>
          <t>選択・絞り込み</t>
        </is>
      </c>
      <c r="C95" s="3" t="inlineStr">
        <is>
          <t>范围选数</t>
        </is>
      </c>
      <c r="D95" s="4" t="inlineStr">
        <is>
          <t>范围选数 (@lisp数学)</t>
        </is>
      </c>
      <c r="E95" s="4" t="inlineStr">
        <is>
          <t>数値範囲を指定して数値文字を選択</t>
        </is>
      </c>
      <c r="F95" s="2" t="n">
        <v>20</v>
      </c>
      <c r="G95" s="2" t="n">
        <v>15</v>
      </c>
      <c r="H95" s="2" t="n">
        <v>11</v>
      </c>
      <c r="I95" s="2" t="n">
        <v>14</v>
      </c>
      <c r="J95" s="5">
        <f>SUM(F95:I95)</f>
        <v/>
      </c>
      <c r="K95" s="4" t="inlineStr">
        <is>
          <t>値範囲で文字選択</t>
        </is>
      </c>
      <c r="L95" s="3" t="inlineStr">
        <is>
          <t>VitalGG</t>
        </is>
      </c>
      <c r="M95" s="3" t="inlineStr">
        <is>
          <t>@lisp 应用云</t>
        </is>
      </c>
      <c r="N95" s="6" t="inlineStr">
        <is>
          <t>開く</t>
        </is>
      </c>
    </row>
    <row r="96">
      <c r="A96" s="2">
        <f>RANK(J96,$J$2:$J$656)</f>
        <v/>
      </c>
      <c r="B96" s="3" t="inlineStr">
        <is>
          <t>線・ポリライン編集</t>
        </is>
      </c>
      <c r="C96" s="3" t="inlineStr">
        <is>
          <t>-</t>
        </is>
      </c>
      <c r="D96" s="4" t="inlineStr">
        <is>
          <t>获取外轮廓 ToTalBoundary</t>
        </is>
      </c>
      <c r="E96" s="4" t="inlineStr">
        <is>
          <t>図形群の総外形境界を取得</t>
        </is>
      </c>
      <c r="F96" s="2" t="n">
        <v>18</v>
      </c>
      <c r="G96" s="2" t="n">
        <v>12</v>
      </c>
      <c r="H96" s="2" t="n">
        <v>14</v>
      </c>
      <c r="I96" s="2" t="n">
        <v>16</v>
      </c>
      <c r="J96" s="5">
        <f>SUM(F96:I96)</f>
        <v/>
      </c>
      <c r="K96" s="4" t="inlineStr">
        <is>
          <t>外形抽出</t>
        </is>
      </c>
      <c r="L96" s="3" t="inlineStr">
        <is>
          <t>橡皮</t>
        </is>
      </c>
      <c r="M96" s="3" t="inlineStr">
        <is>
          <t>明经CAD社区</t>
        </is>
      </c>
      <c r="N96" s="6" t="inlineStr">
        <is>
          <t>開く</t>
        </is>
      </c>
    </row>
    <row r="97">
      <c r="A97" s="2">
        <f>RANK(J97,$J$2:$J$656)</f>
        <v/>
      </c>
      <c r="B97" s="3" t="inlineStr">
        <is>
          <t>印刷・レイアウト・図枠</t>
        </is>
      </c>
      <c r="C97" s="3" t="inlineStr">
        <is>
          <t>-</t>
        </is>
      </c>
      <c r="D97" s="4" t="inlineStr">
        <is>
          <t>贱人工具箱 批量打印</t>
        </is>
      </c>
      <c r="E97" s="4" t="inlineStr">
        <is>
          <t>一括印刷</t>
        </is>
      </c>
      <c r="F97" s="2" t="n">
        <v>16</v>
      </c>
      <c r="G97" s="2" t="n">
        <v>8</v>
      </c>
      <c r="H97" s="2" t="n">
        <v>18</v>
      </c>
      <c r="I97" s="2" t="n">
        <v>18</v>
      </c>
      <c r="J97" s="5">
        <f>SUM(F97:I97)</f>
        <v/>
      </c>
      <c r="K97" s="4" t="inlineStr">
        <is>
          <t>一括印刷</t>
        </is>
      </c>
      <c r="L97" s="3" t="inlineStr">
        <is>
          <t>贱人</t>
        </is>
      </c>
      <c r="M97" s="3" t="inlineStr">
        <is>
          <t>贱人工具箱</t>
        </is>
      </c>
      <c r="N97" s="6" t="inlineStr">
        <is>
          <t>開く</t>
        </is>
      </c>
    </row>
    <row r="98">
      <c r="A98" s="2">
        <f>RANK(J98,$J$2:$J$656)</f>
        <v/>
      </c>
      <c r="B98" s="3" t="inlineStr">
        <is>
          <t>選択・絞り込み</t>
        </is>
      </c>
      <c r="C98" s="3" t="inlineStr">
        <is>
          <t>选择相似线</t>
        </is>
      </c>
      <c r="D98" s="4" t="inlineStr">
        <is>
          <t>选择相似曲线 (@lisp选择)</t>
        </is>
      </c>
      <c r="E98" s="4" t="inlineStr">
        <is>
          <t>形状が似た曲線を選択</t>
        </is>
      </c>
      <c r="F98" s="2" t="n">
        <v>18</v>
      </c>
      <c r="G98" s="2" t="n">
        <v>15</v>
      </c>
      <c r="H98" s="2" t="n">
        <v>12</v>
      </c>
      <c r="I98" s="2" t="n">
        <v>15</v>
      </c>
      <c r="J98" s="5">
        <f>SUM(F98:I98)</f>
        <v/>
      </c>
      <c r="K98" s="4" t="inlineStr">
        <is>
          <t>形状類似で選択</t>
        </is>
      </c>
      <c r="L98" s="3" t="inlineStr">
        <is>
          <t>VitalGG</t>
        </is>
      </c>
      <c r="M98" s="3" t="inlineStr">
        <is>
          <t>@lisp 应用云</t>
        </is>
      </c>
      <c r="N98" s="6" t="inlineStr">
        <is>
          <t>開く</t>
        </is>
      </c>
    </row>
    <row r="99">
      <c r="A99" s="2">
        <f>RANK(J99,$J$2:$J$656)</f>
        <v/>
      </c>
      <c r="B99" s="3" t="inlineStr">
        <is>
          <t>設備</t>
        </is>
      </c>
      <c r="C99" s="3" t="inlineStr">
        <is>
          <t>HDDL</t>
        </is>
      </c>
      <c r="D99" s="4" t="inlineStr">
        <is>
          <t>ZW工具 HDDL 电缆编号校核</t>
        </is>
      </c>
      <c r="E99" s="4" t="inlineStr">
        <is>
          <t>ケーブル番号と原理番号を照合し不整合を赤表示</t>
        </is>
      </c>
      <c r="F99" s="2" t="n">
        <v>22</v>
      </c>
      <c r="G99" s="2" t="n">
        <v>17</v>
      </c>
      <c r="H99" s="2" t="n">
        <v>15</v>
      </c>
      <c r="I99" s="2" t="n">
        <v>5</v>
      </c>
      <c r="J99" s="5">
        <f>SUM(F99:I99)</f>
        <v/>
      </c>
      <c r="K99" s="4" t="inlineStr">
        <is>
          <t>電気図照合</t>
        </is>
      </c>
      <c r="L99" s="3" t="inlineStr">
        <is>
          <t>y1991427360s</t>
        </is>
      </c>
      <c r="M99" s="3" t="inlineStr">
        <is>
          <t>GitHub: y1991427360s/zwcad-autolisp-tools</t>
        </is>
      </c>
      <c r="N99" s="6" t="inlineStr">
        <is>
          <t>開く</t>
        </is>
      </c>
    </row>
    <row r="100">
      <c r="A100" s="2">
        <f>RANK(J100,$J$2:$J$656)</f>
        <v/>
      </c>
      <c r="B100" s="3" t="inlineStr">
        <is>
          <t>線・ポリライン編集</t>
        </is>
      </c>
      <c r="C100" s="3" t="inlineStr">
        <is>
          <t>交点编号</t>
        </is>
      </c>
      <c r="D100" s="4" t="inlineStr">
        <is>
          <t>交点编号 (@lisp curve)</t>
        </is>
      </c>
      <c r="E100" s="4" t="inlineStr">
        <is>
          <t>曲線と他線の交点に順番号を付ける</t>
        </is>
      </c>
      <c r="F100" s="2" t="n">
        <v>20</v>
      </c>
      <c r="G100" s="2" t="n">
        <v>16</v>
      </c>
      <c r="H100" s="2" t="n">
        <v>11</v>
      </c>
      <c r="I100" s="2" t="n">
        <v>12</v>
      </c>
      <c r="J100" s="5">
        <f>SUM(F100:I100)</f>
        <v/>
      </c>
      <c r="K100" s="4" t="inlineStr">
        <is>
          <t>交点の順番号付け</t>
        </is>
      </c>
      <c r="L100" s="3" t="inlineStr">
        <is>
          <t>VitalGG</t>
        </is>
      </c>
      <c r="M100" s="3" t="inlineStr">
        <is>
          <t>@lisp 应用云</t>
        </is>
      </c>
      <c r="N100" s="6" t="inlineStr">
        <is>
          <t>開く</t>
        </is>
      </c>
    </row>
    <row r="101">
      <c r="A101" s="2">
        <f>RANK(J101,$J$2:$J$656)</f>
        <v/>
      </c>
      <c r="B101" s="3" t="inlineStr">
        <is>
          <t>印刷・レイアウト・図枠</t>
        </is>
      </c>
      <c r="C101" s="3" t="inlineStr">
        <is>
          <t>-</t>
        </is>
      </c>
      <c r="D101" s="4" t="inlineStr">
        <is>
          <t>分图（文件前缀+时间）</t>
        </is>
      </c>
      <c r="E101" s="4" t="inlineStr">
        <is>
          <t>図枠ごとに別DWGに分割保存</t>
        </is>
      </c>
      <c r="F101" s="2" t="n">
        <v>18</v>
      </c>
      <c r="G101" s="2" t="n">
        <v>10</v>
      </c>
      <c r="H101" s="2" t="n">
        <v>16</v>
      </c>
      <c r="I101" s="2" t="n">
        <v>15</v>
      </c>
      <c r="J101" s="5">
        <f>SUM(F101:I101)</f>
        <v/>
      </c>
      <c r="K101" s="4" t="inlineStr">
        <is>
          <t>図面分割保存</t>
        </is>
      </c>
      <c r="L101" s="3" t="inlineStr">
        <is>
          <t>htlaser</t>
        </is>
      </c>
      <c r="M101" s="3" t="inlineStr">
        <is>
          <t>明经CAD社区</t>
        </is>
      </c>
      <c r="N101" s="6" t="inlineStr">
        <is>
          <t>開く</t>
        </is>
      </c>
    </row>
    <row r="102">
      <c r="A102" s="2">
        <f>RANK(J102,$J$2:$J$656)</f>
        <v/>
      </c>
      <c r="B102" s="3" t="inlineStr">
        <is>
          <t>文字・テキスト</t>
        </is>
      </c>
      <c r="C102" s="3" t="inlineStr">
        <is>
          <t>加前后缀</t>
        </is>
      </c>
      <c r="D102" s="4" t="inlineStr">
        <is>
          <t>加前后缀 (@lisp文本)</t>
        </is>
      </c>
      <c r="E102" s="4" t="inlineStr">
        <is>
          <t>選択文字に接頭辞・接尾辞を一括付加</t>
        </is>
      </c>
      <c r="F102" s="2" t="n">
        <v>16</v>
      </c>
      <c r="G102" s="2" t="n">
        <v>8</v>
      </c>
      <c r="H102" s="2" t="n">
        <v>15</v>
      </c>
      <c r="I102" s="2" t="n">
        <v>20</v>
      </c>
      <c r="J102" s="5">
        <f>SUM(F102:I102)</f>
        <v/>
      </c>
      <c r="K102" s="4" t="inlineStr">
        <is>
          <t>標準では一括付加不可</t>
        </is>
      </c>
      <c r="L102" s="3" t="inlineStr">
        <is>
          <t>VitalGG</t>
        </is>
      </c>
      <c r="M102" s="3" t="inlineStr">
        <is>
          <t>@lisp 应用云</t>
        </is>
      </c>
      <c r="N102" s="6" t="inlineStr">
        <is>
          <t>開く</t>
        </is>
      </c>
    </row>
    <row r="103">
      <c r="A103" s="2">
        <f>RANK(J103,$J$2:$J$656)</f>
        <v/>
      </c>
      <c r="B103" s="3" t="inlineStr">
        <is>
          <t>構造・鉄骨・機械</t>
        </is>
      </c>
      <c r="C103" s="3" t="inlineStr">
        <is>
          <t>动态查面积</t>
        </is>
      </c>
      <c r="D103" s="4" t="inlineStr">
        <is>
          <t>动态查钢筋面积 (@lisp结构)</t>
        </is>
      </c>
      <c r="E103" s="4" t="inlineStr">
        <is>
          <t>カーソル下の配筋文字の鉄筋断面積を表示</t>
        </is>
      </c>
      <c r="F103" s="2" t="n">
        <v>22</v>
      </c>
      <c r="G103" s="2" t="n">
        <v>19</v>
      </c>
      <c r="H103" s="2" t="n">
        <v>12</v>
      </c>
      <c r="I103" s="2" t="n">
        <v>6</v>
      </c>
      <c r="J103" s="5">
        <f>SUM(F103:I103)</f>
        <v/>
      </c>
      <c r="K103" s="4" t="inlineStr">
        <is>
          <t>ホバーで鉄筋量表示</t>
        </is>
      </c>
      <c r="L103" s="3" t="inlineStr">
        <is>
          <t>VitalGG</t>
        </is>
      </c>
      <c r="M103" s="3" t="inlineStr">
        <is>
          <t>@lisp 应用云</t>
        </is>
      </c>
      <c r="N103" s="6" t="inlineStr">
        <is>
          <t>開く</t>
        </is>
      </c>
    </row>
    <row r="104">
      <c r="A104" s="2">
        <f>RANK(J104,$J$2:$J$656)</f>
        <v/>
      </c>
      <c r="B104" s="3" t="inlineStr">
        <is>
          <t>ブロック・属性</t>
        </is>
      </c>
      <c r="C104" s="3" t="inlineStr">
        <is>
          <t>-</t>
        </is>
      </c>
      <c r="D104" s="4" t="inlineStr">
        <is>
          <t>图块遮罩插件</t>
        </is>
      </c>
      <c r="E104" s="4" t="inlineStr">
        <is>
          <t>ブロック背後の図形をワイプアウトで隠す</t>
        </is>
      </c>
      <c r="F104" s="2" t="n">
        <v>18</v>
      </c>
      <c r="G104" s="2" t="n">
        <v>14</v>
      </c>
      <c r="H104" s="2" t="n">
        <v>12</v>
      </c>
      <c r="I104" s="2" t="n">
        <v>15</v>
      </c>
      <c r="J104" s="5">
        <f>SUM(F104:I104)</f>
        <v/>
      </c>
      <c r="K104" s="4" t="inlineStr">
        <is>
          <t>ブロック背景マスク</t>
        </is>
      </c>
      <c r="L104" s="3" t="inlineStr"/>
      <c r="M104" s="3" t="inlineStr">
        <is>
          <t>晓东CAD家园</t>
        </is>
      </c>
      <c r="N104" s="6" t="inlineStr">
        <is>
          <t>開く</t>
        </is>
      </c>
    </row>
    <row r="105">
      <c r="A105" s="2">
        <f>RANK(J105,$J$2:$J$656)</f>
        <v/>
      </c>
      <c r="B105" s="3" t="inlineStr">
        <is>
          <t>文字・テキスト</t>
        </is>
      </c>
      <c r="C105" s="3" t="inlineStr">
        <is>
          <t>-</t>
        </is>
      </c>
      <c r="D105" s="4" t="inlineStr">
        <is>
          <t>多美排版（文字重排）</t>
        </is>
      </c>
      <c r="E105" s="4" t="inlineStr">
        <is>
          <t>文字の段落整形・再配置</t>
        </is>
      </c>
      <c r="F105" s="2" t="n">
        <v>16</v>
      </c>
      <c r="G105" s="2" t="n">
        <v>12</v>
      </c>
      <c r="H105" s="2" t="n">
        <v>14</v>
      </c>
      <c r="I105" s="2" t="n">
        <v>17</v>
      </c>
      <c r="J105" s="5">
        <f>SUM(F105:I105)</f>
        <v/>
      </c>
      <c r="K105" s="4" t="inlineStr">
        <is>
          <t>文字組版</t>
        </is>
      </c>
      <c r="L105" s="3" t="inlineStr">
        <is>
          <t>曰微言薄论</t>
        </is>
      </c>
      <c r="M105" s="3" t="inlineStr">
        <is>
          <t>明经CAD社区</t>
        </is>
      </c>
      <c r="N105" s="6" t="inlineStr">
        <is>
          <t>開く</t>
        </is>
      </c>
    </row>
    <row r="106">
      <c r="A106" s="2">
        <f>RANK(J106,$J$2:$J$656)</f>
        <v/>
      </c>
      <c r="B106" s="3" t="inlineStr">
        <is>
          <t>ブロック・属性</t>
        </is>
      </c>
      <c r="C106" s="3" t="inlineStr">
        <is>
          <t>-</t>
        </is>
      </c>
      <c r="D106" s="4" t="inlineStr">
        <is>
          <t>快速建块 固定前缀+时间</t>
        </is>
      </c>
      <c r="E106" s="4" t="inlineStr">
        <is>
          <t>接頭辞＋日時の名前で即ブロック化</t>
        </is>
      </c>
      <c r="F106" s="2" t="n">
        <v>16</v>
      </c>
      <c r="G106" s="2" t="n">
        <v>10</v>
      </c>
      <c r="H106" s="2" t="n">
        <v>15</v>
      </c>
      <c r="I106" s="2" t="n">
        <v>18</v>
      </c>
      <c r="J106" s="5">
        <f>SUM(F106:I106)</f>
        <v/>
      </c>
      <c r="K106" s="4" t="inlineStr">
        <is>
          <t>名前入力不要のブロック化</t>
        </is>
      </c>
      <c r="L106" s="3" t="inlineStr">
        <is>
          <t>htlaser</t>
        </is>
      </c>
      <c r="M106" s="3" t="inlineStr">
        <is>
          <t>明经CAD社区</t>
        </is>
      </c>
      <c r="N106" s="6" t="inlineStr">
        <is>
          <t>開く</t>
        </is>
      </c>
    </row>
    <row r="107">
      <c r="A107" s="2">
        <f>RANK(J107,$J$2:$J$656)</f>
        <v/>
      </c>
      <c r="B107" s="3" t="inlineStr">
        <is>
          <t>文字・テキスト</t>
        </is>
      </c>
      <c r="C107" s="3" t="inlineStr">
        <is>
          <t>-</t>
        </is>
      </c>
      <c r="D107" s="4" t="inlineStr">
        <is>
          <t>批量修改多文件文字（VBA）</t>
        </is>
      </c>
      <c r="E107" s="4" t="inlineStr">
        <is>
          <t>複数DWGの文字を一括置換</t>
        </is>
      </c>
      <c r="F107" s="2" t="n">
        <v>16</v>
      </c>
      <c r="G107" s="2" t="n">
        <v>8</v>
      </c>
      <c r="H107" s="2" t="n">
        <v>17</v>
      </c>
      <c r="I107" s="2" t="n">
        <v>18</v>
      </c>
      <c r="J107" s="5">
        <f>SUM(F107:I107)</f>
        <v/>
      </c>
      <c r="K107" s="4" t="inlineStr">
        <is>
          <t>複数図面一括置換</t>
        </is>
      </c>
      <c r="L107" s="3" t="inlineStr">
        <is>
          <t>sun_llmm</t>
        </is>
      </c>
      <c r="M107" s="3" t="inlineStr">
        <is>
          <t>明经CAD社区</t>
        </is>
      </c>
      <c r="N107" s="6" t="inlineStr">
        <is>
          <t>開く</t>
        </is>
      </c>
    </row>
    <row r="108">
      <c r="A108" s="2">
        <f>RANK(J108,$J$2:$J$656)</f>
        <v/>
      </c>
      <c r="B108" s="3" t="inlineStr">
        <is>
          <t>文字・テキスト</t>
        </is>
      </c>
      <c r="C108" s="3" t="inlineStr">
        <is>
          <t>批量加序号</t>
        </is>
      </c>
      <c r="D108" s="4" t="inlineStr">
        <is>
          <t>批量加序号 (@lisp文本)</t>
        </is>
      </c>
      <c r="E108" s="4" t="inlineStr">
        <is>
          <t>選択文字に書式指定で連番を付加</t>
        </is>
      </c>
      <c r="F108" s="2" t="n">
        <v>16</v>
      </c>
      <c r="G108" s="2" t="n">
        <v>9</v>
      </c>
      <c r="H108" s="2" t="n">
        <v>15</v>
      </c>
      <c r="I108" s="2" t="n">
        <v>19</v>
      </c>
      <c r="J108" s="5">
        <f>SUM(F108:I108)</f>
        <v/>
      </c>
      <c r="K108" s="4" t="inlineStr">
        <is>
          <t>連番付加の定番</t>
        </is>
      </c>
      <c r="L108" s="3" t="inlineStr">
        <is>
          <t>VitalGG</t>
        </is>
      </c>
      <c r="M108" s="3" t="inlineStr">
        <is>
          <t>@lisp 应用云</t>
        </is>
      </c>
      <c r="N108" s="6" t="inlineStr">
        <is>
          <t>開く</t>
        </is>
      </c>
    </row>
    <row r="109">
      <c r="A109" s="2">
        <f>RANK(J109,$J$2:$J$656)</f>
        <v/>
      </c>
      <c r="B109" s="3" t="inlineStr">
        <is>
          <t>線・ポリライン編集</t>
        </is>
      </c>
      <c r="C109" s="3" t="inlineStr">
        <is>
          <t>排线相连</t>
        </is>
      </c>
      <c r="D109" s="4" t="inlineStr">
        <is>
          <t>排线相连 (@lisp curve)</t>
        </is>
      </c>
      <c r="E109" s="4" t="inlineStr">
        <is>
          <t>水平垂直経路で対象物同士を結線</t>
        </is>
      </c>
      <c r="F109" s="2" t="n">
        <v>19</v>
      </c>
      <c r="G109" s="2" t="n">
        <v>16</v>
      </c>
      <c r="H109" s="2" t="n">
        <v>12</v>
      </c>
      <c r="I109" s="2" t="n">
        <v>12</v>
      </c>
      <c r="J109" s="5">
        <f>SUM(F109:I109)</f>
        <v/>
      </c>
      <c r="K109" s="4" t="inlineStr">
        <is>
          <t>配線ルート自動作図</t>
        </is>
      </c>
      <c r="L109" s="3" t="inlineStr">
        <is>
          <t>VitalGG</t>
        </is>
      </c>
      <c r="M109" s="3" t="inlineStr">
        <is>
          <t>@lisp 应用云</t>
        </is>
      </c>
      <c r="N109" s="6" t="inlineStr">
        <is>
          <t>開く</t>
        </is>
      </c>
    </row>
    <row r="110">
      <c r="A110" s="2">
        <f>RANK(J110,$J$2:$J$656)</f>
        <v/>
      </c>
      <c r="B110" s="3" t="inlineStr">
        <is>
          <t>文字・テキスト</t>
        </is>
      </c>
      <c r="C110" s="3" t="inlineStr">
        <is>
          <t>-</t>
        </is>
      </c>
      <c r="D110" s="4" t="inlineStr">
        <is>
          <t>文本内容万能刷</t>
        </is>
      </c>
      <c r="E110" s="4" t="inlineStr">
        <is>
          <t>文字・属性・寸法の内容を刷り込み</t>
        </is>
      </c>
      <c r="F110" s="2" t="n">
        <v>14</v>
      </c>
      <c r="G110" s="2" t="n">
        <v>10</v>
      </c>
      <c r="H110" s="2" t="n">
        <v>16</v>
      </c>
      <c r="I110" s="2" t="n">
        <v>19</v>
      </c>
      <c r="J110" s="5">
        <f>SUM(F110:I110)</f>
        <v/>
      </c>
      <c r="K110" s="4" t="inlineStr">
        <is>
          <t>内容コピー刷り</t>
        </is>
      </c>
      <c r="L110" s="3" t="inlineStr">
        <is>
          <t>biya</t>
        </is>
      </c>
      <c r="M110" s="3" t="inlineStr">
        <is>
          <t>明经CAD社区</t>
        </is>
      </c>
      <c r="N110" s="6" t="inlineStr">
        <is>
          <t>開く</t>
        </is>
      </c>
    </row>
    <row r="111">
      <c r="A111" s="2">
        <f>RANK(J111,$J$2:$J$656)</f>
        <v/>
      </c>
      <c r="B111" s="3" t="inlineStr">
        <is>
          <t>線・ポリライン編集</t>
        </is>
      </c>
      <c r="C111" s="3" t="inlineStr">
        <is>
          <t>-</t>
        </is>
      </c>
      <c r="D111" s="4" t="inlineStr">
        <is>
          <t>智能中心线</t>
        </is>
      </c>
      <c r="E111" s="4" t="inlineStr">
        <is>
          <t>2線間の中心線を自動作図</t>
        </is>
      </c>
      <c r="F111" s="2" t="n">
        <v>16</v>
      </c>
      <c r="G111" s="2" t="n">
        <v>12</v>
      </c>
      <c r="H111" s="2" t="n">
        <v>15</v>
      </c>
      <c r="I111" s="2" t="n">
        <v>16</v>
      </c>
      <c r="J111" s="5">
        <f>SUM(F111:I111)</f>
        <v/>
      </c>
      <c r="K111" s="4" t="inlineStr">
        <is>
          <t>中心線作図</t>
        </is>
      </c>
      <c r="L111" s="3" t="inlineStr"/>
      <c r="M111" s="3" t="inlineStr">
        <is>
          <t>晓东CAD家园</t>
        </is>
      </c>
      <c r="N111" s="6" t="inlineStr">
        <is>
          <t>開く</t>
        </is>
      </c>
    </row>
    <row r="112">
      <c r="A112" s="2">
        <f>RANK(J112,$J$2:$J$656)</f>
        <v/>
      </c>
      <c r="B112" s="3" t="inlineStr">
        <is>
          <t>ハッチ・面積・長さ集計</t>
        </is>
      </c>
      <c r="C112" s="3" t="inlineStr">
        <is>
          <t>-</t>
        </is>
      </c>
      <c r="D112" s="4" t="inlineStr">
        <is>
          <t>曲线统计表（数量长度面积）</t>
        </is>
      </c>
      <c r="E112" s="4" t="inlineStr">
        <is>
          <t>曲線を層・色・線種別に数量長さ面積集計</t>
        </is>
      </c>
      <c r="F112" s="2" t="n">
        <v>17</v>
      </c>
      <c r="G112" s="2" t="n">
        <v>8</v>
      </c>
      <c r="H112" s="2" t="n">
        <v>17</v>
      </c>
      <c r="I112" s="2" t="n">
        <v>17</v>
      </c>
      <c r="J112" s="5">
        <f>SUM(F112:I112)</f>
        <v/>
      </c>
      <c r="K112" s="4" t="inlineStr">
        <is>
          <t>分類別数量表</t>
        </is>
      </c>
      <c r="L112" s="3" t="inlineStr"/>
      <c r="M112" s="3" t="inlineStr">
        <is>
          <t>晓东CAD家园</t>
        </is>
      </c>
      <c r="N112" s="6" t="inlineStr">
        <is>
          <t>開く</t>
        </is>
      </c>
    </row>
    <row r="113">
      <c r="A113" s="2">
        <f>RANK(J113,$J$2:$J$656)</f>
        <v/>
      </c>
      <c r="B113" s="3" t="inlineStr">
        <is>
          <t>線・ポリライン編集</t>
        </is>
      </c>
      <c r="C113" s="3" t="inlineStr">
        <is>
          <t>BD</t>
        </is>
      </c>
      <c r="D113" s="4" t="inlineStr">
        <is>
          <t>生成外轮廓并偏移_V1.2</t>
        </is>
      </c>
      <c r="E113" s="4" t="inlineStr">
        <is>
          <t>外周輪郭を抽出しオフセット</t>
        </is>
      </c>
      <c r="F113" s="2" t="n">
        <v>18</v>
      </c>
      <c r="G113" s="2" t="n">
        <v>12</v>
      </c>
      <c r="H113" s="2" t="n">
        <v>14</v>
      </c>
      <c r="I113" s="2" t="n">
        <v>15</v>
      </c>
      <c r="J113" s="5">
        <f>SUM(F113:I113)</f>
        <v/>
      </c>
      <c r="K113" s="4" t="inlineStr">
        <is>
          <t>外形＋オフセット</t>
        </is>
      </c>
      <c r="L113" s="3" t="inlineStr">
        <is>
          <t>kucha007</t>
        </is>
      </c>
      <c r="M113" s="3" t="inlineStr">
        <is>
          <t>明经CAD社区</t>
        </is>
      </c>
      <c r="N113" s="6" t="inlineStr">
        <is>
          <t>開く</t>
        </is>
      </c>
    </row>
    <row r="114">
      <c r="A114" s="2">
        <f>RANK(J114,$J$2:$J$656)</f>
        <v/>
      </c>
      <c r="B114" s="3" t="inlineStr">
        <is>
          <t>選択・絞り込み</t>
        </is>
      </c>
      <c r="C114" s="3" t="inlineStr">
        <is>
          <t>绘线指引</t>
        </is>
      </c>
      <c r="D114" s="4" t="inlineStr">
        <is>
          <t>绘线指引 (@lisp选择)</t>
        </is>
      </c>
      <c r="E114" s="4" t="inlineStr">
        <is>
          <t>選択セットへの引出線を描いて所在表示</t>
        </is>
      </c>
      <c r="F114" s="2" t="n">
        <v>19</v>
      </c>
      <c r="G114" s="2" t="n">
        <v>18</v>
      </c>
      <c r="H114" s="2" t="n">
        <v>8</v>
      </c>
      <c r="I114" s="2" t="n">
        <v>14</v>
      </c>
      <c r="J114" s="5">
        <f>SUM(F114:I114)</f>
        <v/>
      </c>
      <c r="K114" s="4" t="inlineStr">
        <is>
          <t>探索結果の可視化</t>
        </is>
      </c>
      <c r="L114" s="3" t="inlineStr">
        <is>
          <t>VitalGG</t>
        </is>
      </c>
      <c r="M114" s="3" t="inlineStr">
        <is>
          <t>@lisp 应用云</t>
        </is>
      </c>
      <c r="N114" s="6" t="inlineStr">
        <is>
          <t>開く</t>
        </is>
      </c>
    </row>
    <row r="115">
      <c r="A115" s="2">
        <f>RANK(J115,$J$2:$J$656)</f>
        <v/>
      </c>
      <c r="B115" s="3" t="inlineStr">
        <is>
          <t>ハッチ・面積・長さ集計</t>
        </is>
      </c>
      <c r="C115" s="3" t="inlineStr">
        <is>
          <t>-</t>
        </is>
      </c>
      <c r="D115" s="4" t="inlineStr">
        <is>
          <t>统计矩形长宽面积并编号制表</t>
        </is>
      </c>
      <c r="E115" s="4" t="inlineStr">
        <is>
          <t>矩形の長さ幅面積を採番して表作成</t>
        </is>
      </c>
      <c r="F115" s="2" t="n">
        <v>18</v>
      </c>
      <c r="G115" s="2" t="n">
        <v>12</v>
      </c>
      <c r="H115" s="2" t="n">
        <v>16</v>
      </c>
      <c r="I115" s="2" t="n">
        <v>13</v>
      </c>
      <c r="J115" s="5">
        <f>SUM(F115:I115)</f>
        <v/>
      </c>
      <c r="K115" s="4" t="inlineStr">
        <is>
          <t>板材表作成</t>
        </is>
      </c>
      <c r="L115" s="3" t="inlineStr"/>
      <c r="M115" s="3" t="inlineStr">
        <is>
          <t>晓东CAD家园</t>
        </is>
      </c>
      <c r="N115" s="6" t="inlineStr">
        <is>
          <t>開く</t>
        </is>
      </c>
    </row>
    <row r="116">
      <c r="A116" s="2">
        <f>RANK(J116,$J$2:$J$656)</f>
        <v/>
      </c>
      <c r="B116" s="3" t="inlineStr">
        <is>
          <t>ハッチ・面積・長さ集計</t>
        </is>
      </c>
      <c r="C116" s="3" t="inlineStr">
        <is>
          <t>MJA</t>
        </is>
      </c>
      <c r="D116" s="4" t="inlineStr">
        <is>
          <t>MJArea 面积周长标注</t>
        </is>
      </c>
      <c r="E116" s="4" t="inlineStr">
        <is>
          <t>内部点クリックで面積周長記入＋赤枠強調</t>
        </is>
      </c>
      <c r="F116" s="2" t="n">
        <v>15</v>
      </c>
      <c r="G116" s="2" t="n">
        <v>10</v>
      </c>
      <c r="H116" s="2" t="n">
        <v>16</v>
      </c>
      <c r="I116" s="2" t="n">
        <v>17</v>
      </c>
      <c r="J116" s="5">
        <f>SUM(F116:I116)</f>
        <v/>
      </c>
      <c r="K116" s="4" t="inlineStr">
        <is>
          <t>境界自動の面積注記</t>
        </is>
      </c>
      <c r="L116" s="3" t="inlineStr">
        <is>
          <t>biubiup0</t>
        </is>
      </c>
      <c r="M116" s="3" t="inlineStr">
        <is>
          <t>GitHub: biubiup0/MJArea</t>
        </is>
      </c>
      <c r="N116" s="6" t="inlineStr">
        <is>
          <t>開く</t>
        </is>
      </c>
    </row>
    <row r="117">
      <c r="A117" s="2">
        <f>RANK(J117,$J$2:$J$656)</f>
        <v/>
      </c>
      <c r="B117" s="3" t="inlineStr">
        <is>
          <t>印刷・レイアウト・図枠</t>
        </is>
      </c>
      <c r="C117" s="3" t="inlineStr">
        <is>
          <t>pldy/tzml</t>
        </is>
      </c>
      <c r="D117" s="4" t="inlineStr">
        <is>
          <t>pldy/tzml 批量打印/图纸目录</t>
        </is>
      </c>
      <c r="E117" s="4" t="inlineStr">
        <is>
          <t>一括印刷と図面目録作成</t>
        </is>
      </c>
      <c r="F117" s="2" t="n">
        <v>16</v>
      </c>
      <c r="G117" s="2" t="n">
        <v>8</v>
      </c>
      <c r="H117" s="2" t="n">
        <v>18</v>
      </c>
      <c r="I117" s="2" t="n">
        <v>16</v>
      </c>
      <c r="J117" s="5">
        <f>SUM(F117:I117)</f>
        <v/>
      </c>
      <c r="K117" s="4" t="inlineStr">
        <is>
          <t>印刷＋目録</t>
        </is>
      </c>
      <c r="L117" s="3" t="inlineStr">
        <is>
          <t>shuixzy</t>
        </is>
      </c>
      <c r="M117" s="3" t="inlineStr">
        <is>
          <t>GitHub: shuixzy/DB_CAD_Tools</t>
        </is>
      </c>
      <c r="N117" s="6" t="inlineStr">
        <is>
          <t>開く</t>
        </is>
      </c>
    </row>
    <row r="118">
      <c r="A118" s="2">
        <f>RANK(J118,$J$2:$J$656)</f>
        <v/>
      </c>
      <c r="B118" s="3" t="inlineStr">
        <is>
          <t>表・Excel連携</t>
        </is>
      </c>
      <c r="C118" s="3" t="inlineStr">
        <is>
          <t>DX2</t>
        </is>
      </c>
      <c r="D118" s="4" t="inlineStr">
        <is>
          <t>ZW工具 DX2 按方格导出文字</t>
        </is>
      </c>
      <c r="E118" s="4" t="inlineStr">
        <is>
          <t>方眼内文字を読み順で剪贴板へ出力</t>
        </is>
      </c>
      <c r="F118" s="2" t="n">
        <v>18</v>
      </c>
      <c r="G118" s="2" t="n">
        <v>14</v>
      </c>
      <c r="H118" s="2" t="n">
        <v>14</v>
      </c>
      <c r="I118" s="2" t="n">
        <v>12</v>
      </c>
      <c r="J118" s="5">
        <f>SUM(F118:I118)</f>
        <v/>
      </c>
      <c r="K118" s="4" t="inlineStr">
        <is>
          <t>表文字の抽出</t>
        </is>
      </c>
      <c r="L118" s="3" t="inlineStr">
        <is>
          <t>y1991427360s</t>
        </is>
      </c>
      <c r="M118" s="3" t="inlineStr">
        <is>
          <t>GitHub: y1991427360s/zwcad-autolisp-tools</t>
        </is>
      </c>
      <c r="N118" s="6" t="inlineStr">
        <is>
          <t>開く</t>
        </is>
      </c>
    </row>
    <row r="119">
      <c r="A119" s="2">
        <f>RANK(J119,$J$2:$J$656)</f>
        <v/>
      </c>
      <c r="B119" s="3" t="inlineStr">
        <is>
          <t>選択・絞り込み</t>
        </is>
      </c>
      <c r="C119" s="3" t="inlineStr">
        <is>
          <t>QH</t>
        </is>
      </c>
      <c r="D119" s="4" t="inlineStr">
        <is>
          <t>ZW工具 QH 同行文字选择</t>
        </is>
      </c>
      <c r="E119" s="4" t="inlineStr">
        <is>
          <t>選択文字と同じ行の文字だけを選択</t>
        </is>
      </c>
      <c r="F119" s="2" t="n">
        <v>18</v>
      </c>
      <c r="G119" s="2" t="n">
        <v>14</v>
      </c>
      <c r="H119" s="2" t="n">
        <v>12</v>
      </c>
      <c r="I119" s="2" t="n">
        <v>14</v>
      </c>
      <c r="J119" s="5">
        <f>SUM(F119:I119)</f>
        <v/>
      </c>
      <c r="K119" s="4" t="inlineStr">
        <is>
          <t>行単位選択</t>
        </is>
      </c>
      <c r="L119" s="3" t="inlineStr">
        <is>
          <t>y1991427360s</t>
        </is>
      </c>
      <c r="M119" s="3" t="inlineStr">
        <is>
          <t>GitHub: y1991427360s/zwcad-autolisp-tools</t>
        </is>
      </c>
      <c r="N119" s="6" t="inlineStr">
        <is>
          <t>開く</t>
        </is>
      </c>
    </row>
    <row r="120">
      <c r="A120" s="2">
        <f>RANK(J120,$J$2:$J$656)</f>
        <v/>
      </c>
      <c r="B120" s="3" t="inlineStr">
        <is>
          <t>線・ポリライン編集</t>
        </is>
      </c>
      <c r="C120" s="3" t="inlineStr">
        <is>
          <t>优化多段线</t>
        </is>
      </c>
      <c r="D120" s="4" t="inlineStr">
        <is>
          <t>优化多段线 (@lisp curve)</t>
        </is>
      </c>
      <c r="E120" s="4" t="inlineStr">
        <is>
          <t>共線・共円の余分な頂点を削減</t>
        </is>
      </c>
      <c r="F120" s="2" t="n">
        <v>17</v>
      </c>
      <c r="G120" s="2" t="n">
        <v>12</v>
      </c>
      <c r="H120" s="2" t="n">
        <v>12</v>
      </c>
      <c r="I120" s="2" t="n">
        <v>17</v>
      </c>
      <c r="J120" s="5">
        <f>SUM(F120:I120)</f>
        <v/>
      </c>
      <c r="K120" s="4" t="inlineStr">
        <is>
          <t>頂点整理は標準外</t>
        </is>
      </c>
      <c r="L120" s="3" t="inlineStr">
        <is>
          <t>VitalGG</t>
        </is>
      </c>
      <c r="M120" s="3" t="inlineStr">
        <is>
          <t>@lisp 应用云</t>
        </is>
      </c>
      <c r="N120" s="6" t="inlineStr">
        <is>
          <t>開く</t>
        </is>
      </c>
    </row>
    <row r="121">
      <c r="A121" s="2">
        <f>RANK(J121,$J$2:$J$656)</f>
        <v/>
      </c>
      <c r="B121" s="3" t="inlineStr">
        <is>
          <t>設備</t>
        </is>
      </c>
      <c r="C121" s="3" t="inlineStr">
        <is>
          <t>分集水器平衡分析</t>
        </is>
      </c>
      <c r="D121" s="4" t="inlineStr">
        <is>
          <t>分集水器平衡分析 (@lisp暖通)</t>
        </is>
      </c>
      <c r="E121" s="4" t="inlineStr">
        <is>
          <t>床暖各回路長のバランスを分析</t>
        </is>
      </c>
      <c r="F121" s="2" t="n">
        <v>22</v>
      </c>
      <c r="G121" s="2" t="n">
        <v>17</v>
      </c>
      <c r="H121" s="2" t="n">
        <v>14</v>
      </c>
      <c r="I121" s="2" t="n">
        <v>5</v>
      </c>
      <c r="J121" s="5">
        <f>SUM(F121:I121)</f>
        <v/>
      </c>
      <c r="K121" s="4" t="inlineStr">
        <is>
          <t>回路長差の自動検査</t>
        </is>
      </c>
      <c r="L121" s="3" t="inlineStr">
        <is>
          <t>VitalGG</t>
        </is>
      </c>
      <c r="M121" s="3" t="inlineStr">
        <is>
          <t>@lisp 应用云</t>
        </is>
      </c>
      <c r="N121" s="6" t="inlineStr">
        <is>
          <t>開く</t>
        </is>
      </c>
    </row>
    <row r="122">
      <c r="A122" s="2">
        <f>RANK(J122,$J$2:$J$656)</f>
        <v/>
      </c>
      <c r="B122" s="3" t="inlineStr">
        <is>
          <t>引出線・注記</t>
        </is>
      </c>
      <c r="C122" s="3" t="inlineStr">
        <is>
          <t>-</t>
        </is>
      </c>
      <c r="D122" s="4" t="inlineStr">
        <is>
          <t>动态对齐箭头 引线+文字</t>
        </is>
      </c>
      <c r="E122" s="4" t="inlineStr">
        <is>
          <t>矢印位置を揃えた引出線注記を動的作図</t>
        </is>
      </c>
      <c r="F122" s="2" t="n">
        <v>14</v>
      </c>
      <c r="G122" s="2" t="n">
        <v>14</v>
      </c>
      <c r="H122" s="2" t="n">
        <v>14</v>
      </c>
      <c r="I122" s="2" t="n">
        <v>16</v>
      </c>
      <c r="J122" s="5">
        <f>SUM(F122:I122)</f>
        <v/>
      </c>
      <c r="K122" s="4" t="inlineStr">
        <is>
          <t>引出線整列作図</t>
        </is>
      </c>
      <c r="L122" s="3" t="inlineStr">
        <is>
          <t>1028695446</t>
        </is>
      </c>
      <c r="M122" s="3" t="inlineStr">
        <is>
          <t>明经CAD社区</t>
        </is>
      </c>
      <c r="N122" s="6" t="inlineStr">
        <is>
          <t>開く</t>
        </is>
      </c>
    </row>
    <row r="123">
      <c r="A123" s="2">
        <f>RANK(J123,$J$2:$J$656)</f>
        <v/>
      </c>
      <c r="B123" s="3" t="inlineStr">
        <is>
          <t>作図</t>
        </is>
      </c>
      <c r="C123" s="3" t="inlineStr">
        <is>
          <t>动态阵列</t>
        </is>
      </c>
      <c r="D123" s="4" t="inlineStr">
        <is>
          <t>动态阵列</t>
        </is>
      </c>
      <c r="E123" s="4" t="inlineStr">
        <is>
          <t>ドラッグで個数が変わる動的配列</t>
        </is>
      </c>
      <c r="F123" s="2" t="n">
        <v>12</v>
      </c>
      <c r="G123" s="2" t="n">
        <v>17</v>
      </c>
      <c r="H123" s="2" t="n">
        <v>13</v>
      </c>
      <c r="I123" s="2" t="n">
        <v>16</v>
      </c>
      <c r="J123" s="5">
        <f>SUM(F123:I123)</f>
        <v/>
      </c>
      <c r="K123" s="4" t="inlineStr">
        <is>
          <t>動的プレビュー配列</t>
        </is>
      </c>
      <c r="L123" s="3" t="inlineStr">
        <is>
          <t>qjchen,print1985</t>
        </is>
      </c>
      <c r="M123" s="3" t="inlineStr">
        <is>
          <t>@lisp 应用云</t>
        </is>
      </c>
      <c r="N123" s="6" t="inlineStr">
        <is>
          <t>開く</t>
        </is>
      </c>
    </row>
    <row r="124">
      <c r="A124" s="2">
        <f>RANK(J124,$J$2:$J$656)</f>
        <v/>
      </c>
      <c r="B124" s="3" t="inlineStr">
        <is>
          <t>外部参照・図面管理・一括処理</t>
        </is>
      </c>
      <c r="C124" s="3" t="inlineStr">
        <is>
          <t>-</t>
        </is>
      </c>
      <c r="D124" s="4" t="inlineStr">
        <is>
          <t>合并指定目录内所有文件</t>
        </is>
      </c>
      <c r="E124" s="4" t="inlineStr">
        <is>
          <t>フォルダ内の全DWGを1図面に結合</t>
        </is>
      </c>
      <c r="F124" s="2" t="n">
        <v>18</v>
      </c>
      <c r="G124" s="2" t="n">
        <v>10</v>
      </c>
      <c r="H124" s="2" t="n">
        <v>16</v>
      </c>
      <c r="I124" s="2" t="n">
        <v>14</v>
      </c>
      <c r="J124" s="5">
        <f>SUM(F124:I124)</f>
        <v/>
      </c>
      <c r="K124" s="4" t="inlineStr">
        <is>
          <t>図面一括結合</t>
        </is>
      </c>
      <c r="L124" s="3" t="inlineStr">
        <is>
          <t>zhuquanmao</t>
        </is>
      </c>
      <c r="M124" s="3" t="inlineStr">
        <is>
          <t>明经CAD社区</t>
        </is>
      </c>
      <c r="N124" s="6" t="inlineStr">
        <is>
          <t>開く</t>
        </is>
      </c>
    </row>
    <row r="125">
      <c r="A125" s="2">
        <f>RANK(J125,$J$2:$J$656)</f>
        <v/>
      </c>
      <c r="B125" s="3" t="inlineStr">
        <is>
          <t>寸法</t>
        </is>
      </c>
      <c r="C125" s="3" t="inlineStr">
        <is>
          <t>-</t>
        </is>
      </c>
      <c r="D125" s="4" t="inlineStr">
        <is>
          <t>多段线一键标注</t>
        </is>
      </c>
      <c r="E125" s="4" t="inlineStr">
        <is>
          <t>ポリライン全辺を一発寸法記入</t>
        </is>
      </c>
      <c r="F125" s="2" t="n">
        <v>18</v>
      </c>
      <c r="G125" s="2" t="n">
        <v>8</v>
      </c>
      <c r="H125" s="2" t="n">
        <v>16</v>
      </c>
      <c r="I125" s="2" t="n">
        <v>16</v>
      </c>
      <c r="J125" s="5">
        <f>SUM(F125:I125)</f>
        <v/>
      </c>
      <c r="K125" s="4" t="inlineStr">
        <is>
          <t>PL全辺寸法</t>
        </is>
      </c>
      <c r="L125" s="3" t="inlineStr">
        <is>
          <t>duanshui83</t>
        </is>
      </c>
      <c r="M125" s="3" t="inlineStr">
        <is>
          <t>明经CAD社区</t>
        </is>
      </c>
      <c r="N125" s="6" t="inlineStr">
        <is>
          <t>開く</t>
        </is>
      </c>
    </row>
    <row r="126">
      <c r="A126" s="2">
        <f>RANK(J126,$J$2:$J$656)</f>
        <v/>
      </c>
      <c r="B126" s="3" t="inlineStr">
        <is>
          <t>文字・テキスト</t>
        </is>
      </c>
      <c r="C126" s="3" t="inlineStr">
        <is>
          <t>定位重叠字/删除重字</t>
        </is>
      </c>
      <c r="D126" s="4" t="inlineStr">
        <is>
          <t>定位重叠字 (@lisp文本)</t>
        </is>
      </c>
      <c r="E126" s="4" t="inlineStr">
        <is>
          <t>重なった文字の強調表示・同文重複削除</t>
        </is>
      </c>
      <c r="F126" s="2" t="n">
        <v>14</v>
      </c>
      <c r="G126" s="2" t="n">
        <v>12</v>
      </c>
      <c r="H126" s="2" t="n">
        <v>13</v>
      </c>
      <c r="I126" s="2" t="n">
        <v>19</v>
      </c>
      <c r="J126" s="5">
        <f>SUM(F126:I126)</f>
        <v/>
      </c>
      <c r="K126" s="4" t="inlineStr">
        <is>
          <t>OVERKILLは文字の重なり不可</t>
        </is>
      </c>
      <c r="L126" s="3" t="inlineStr">
        <is>
          <t>VitalGG</t>
        </is>
      </c>
      <c r="M126" s="3" t="inlineStr">
        <is>
          <t>@lisp 应用云</t>
        </is>
      </c>
      <c r="N126" s="6" t="inlineStr">
        <is>
          <t>開く</t>
        </is>
      </c>
    </row>
    <row r="127">
      <c r="A127" s="2">
        <f>RANK(J127,$J$2:$J$656)</f>
        <v/>
      </c>
      <c r="B127" s="3" t="inlineStr">
        <is>
          <t>印刷・レイアウト・図枠</t>
        </is>
      </c>
      <c r="C127" s="3" t="inlineStr">
        <is>
          <t>-</t>
        </is>
      </c>
      <c r="D127" s="4" t="inlineStr">
        <is>
          <t>属性块图框—图框编码/提取属性</t>
        </is>
      </c>
      <c r="E127" s="4" t="inlineStr">
        <is>
          <t>属性図枠の図番採番・属性編集・抽出</t>
        </is>
      </c>
      <c r="F127" s="2" t="n">
        <v>16</v>
      </c>
      <c r="G127" s="2" t="n">
        <v>10</v>
      </c>
      <c r="H127" s="2" t="n">
        <v>17</v>
      </c>
      <c r="I127" s="2" t="n">
        <v>15</v>
      </c>
      <c r="J127" s="5">
        <f>SUM(F127:I127)</f>
        <v/>
      </c>
      <c r="K127" s="4" t="inlineStr">
        <is>
          <t>図枠属性の一括管理</t>
        </is>
      </c>
      <c r="L127" s="3" t="inlineStr">
        <is>
          <t>飒路紫</t>
        </is>
      </c>
      <c r="M127" s="3" t="inlineStr">
        <is>
          <t>明经CAD社区</t>
        </is>
      </c>
      <c r="N127" s="6" t="inlineStr">
        <is>
          <t>開く</t>
        </is>
      </c>
    </row>
    <row r="128">
      <c r="A128" s="2">
        <f>RANK(J128,$J$2:$J$656)</f>
        <v/>
      </c>
      <c r="B128" s="3" t="inlineStr">
        <is>
          <t>寸法</t>
        </is>
      </c>
      <c r="C128" s="3" t="inlineStr">
        <is>
          <t>-</t>
        </is>
      </c>
      <c r="D128" s="4" t="inlineStr">
        <is>
          <t>批量标注Line及Pline各段长度</t>
        </is>
      </c>
      <c r="E128" s="4" t="inlineStr">
        <is>
          <t>線・PLの各セグメント長を一括記入</t>
        </is>
      </c>
      <c r="F128" s="2" t="n">
        <v>17</v>
      </c>
      <c r="G128" s="2" t="n">
        <v>8</v>
      </c>
      <c r="H128" s="2" t="n">
        <v>16</v>
      </c>
      <c r="I128" s="2" t="n">
        <v>17</v>
      </c>
      <c r="J128" s="5">
        <f>SUM(F128:I128)</f>
        <v/>
      </c>
      <c r="K128" s="4" t="inlineStr">
        <is>
          <t>セグメント長一括</t>
        </is>
      </c>
      <c r="L128" s="3" t="inlineStr"/>
      <c r="M128" s="3" t="inlineStr">
        <is>
          <t>晓东CAD家园</t>
        </is>
      </c>
      <c r="N128" s="6" t="inlineStr">
        <is>
          <t>開く</t>
        </is>
      </c>
    </row>
    <row r="129">
      <c r="A129" s="2">
        <f>RANK(J129,$J$2:$J$656)</f>
        <v/>
      </c>
      <c r="B129" s="3" t="inlineStr">
        <is>
          <t>作図</t>
        </is>
      </c>
      <c r="C129" s="3" t="inlineStr">
        <is>
          <t>按序号连点</t>
        </is>
      </c>
      <c r="D129" s="4" t="inlineStr">
        <is>
          <t>按序号连点 (@lisp curve)</t>
        </is>
      </c>
      <c r="E129" s="4" t="inlineStr">
        <is>
          <t>番号文字の順に点を線で結ぶ</t>
        </is>
      </c>
      <c r="F129" s="2" t="n">
        <v>20</v>
      </c>
      <c r="G129" s="2" t="n">
        <v>15</v>
      </c>
      <c r="H129" s="2" t="n">
        <v>12</v>
      </c>
      <c r="I129" s="2" t="n">
        <v>11</v>
      </c>
      <c r="J129" s="5">
        <f>SUM(F129:I129)</f>
        <v/>
      </c>
      <c r="K129" s="4" t="inlineStr">
        <is>
          <t>番号順結線</t>
        </is>
      </c>
      <c r="L129" s="3" t="inlineStr">
        <is>
          <t>VitalGG</t>
        </is>
      </c>
      <c r="M129" s="3" t="inlineStr">
        <is>
          <t>@lisp 应用云</t>
        </is>
      </c>
      <c r="N129" s="6" t="inlineStr">
        <is>
          <t>開く</t>
        </is>
      </c>
    </row>
    <row r="130">
      <c r="A130" s="2">
        <f>RANK(J130,$J$2:$J$656)</f>
        <v/>
      </c>
      <c r="B130" s="3" t="inlineStr">
        <is>
          <t>ハッチ・面積・長さ集計</t>
        </is>
      </c>
      <c r="C130" s="3" t="inlineStr">
        <is>
          <t>提物理量</t>
        </is>
      </c>
      <c r="D130" s="4" t="inlineStr">
        <is>
          <t>提物理量 (@lisp数学)</t>
        </is>
      </c>
      <c r="E130" s="4" t="inlineStr">
        <is>
          <t>単位付き数量文字から数値を抽出</t>
        </is>
      </c>
      <c r="F130" s="2" t="n">
        <v>20</v>
      </c>
      <c r="G130" s="2" t="n">
        <v>15</v>
      </c>
      <c r="H130" s="2" t="n">
        <v>11</v>
      </c>
      <c r="I130" s="2" t="n">
        <v>12</v>
      </c>
      <c r="J130" s="5">
        <f>SUM(F130:I130)</f>
        <v/>
      </c>
      <c r="K130" s="4" t="inlineStr">
        <is>
          <t>単位付き文字解析</t>
        </is>
      </c>
      <c r="L130" s="3" t="inlineStr">
        <is>
          <t>VitalGG</t>
        </is>
      </c>
      <c r="M130" s="3" t="inlineStr">
        <is>
          <t>@lisp 应用云</t>
        </is>
      </c>
      <c r="N130" s="6" t="inlineStr">
        <is>
          <t>開く</t>
        </is>
      </c>
    </row>
    <row r="131">
      <c r="A131" s="2">
        <f>RANK(J131,$J$2:$J$656)</f>
        <v/>
      </c>
      <c r="B131" s="3" t="inlineStr">
        <is>
          <t>その他</t>
        </is>
      </c>
      <c r="C131" s="3" t="inlineStr">
        <is>
          <t>-</t>
        </is>
      </c>
      <c r="D131" s="4" t="inlineStr">
        <is>
          <t>源泉设计（YQ 工具箱）</t>
        </is>
      </c>
      <c r="E131" s="4" t="inlineStr">
        <is>
          <t>建築・内装の総合ツール（通り芯・壁・階段・装飾部材等）</t>
        </is>
      </c>
      <c r="F131" s="2" t="n">
        <v>14</v>
      </c>
      <c r="G131" s="2" t="n">
        <v>12</v>
      </c>
      <c r="H131" s="2" t="n">
        <v>18</v>
      </c>
      <c r="I131" s="2" t="n">
        <v>14</v>
      </c>
      <c r="J131" s="5">
        <f>SUM(F131:I131)</f>
        <v/>
      </c>
      <c r="K131" s="4" t="inlineStr">
        <is>
          <t>中国で最も普及した建築ツール</t>
        </is>
      </c>
      <c r="L131" s="3" t="inlineStr">
        <is>
          <t>源泉</t>
        </is>
      </c>
      <c r="M131" s="3" t="inlineStr">
        <is>
          <t>源泉设计</t>
        </is>
      </c>
      <c r="N131" s="6" t="inlineStr">
        <is>
          <t>開く</t>
        </is>
      </c>
    </row>
    <row r="132">
      <c r="A132" s="2">
        <f>RANK(J132,$J$2:$J$656)</f>
        <v/>
      </c>
      <c r="B132" s="3" t="inlineStr">
        <is>
          <t>構造・鉄骨・機械</t>
        </is>
      </c>
      <c r="C132" s="3" t="inlineStr">
        <is>
          <t>生成G代码</t>
        </is>
      </c>
      <c r="D132" s="4" t="inlineStr">
        <is>
          <t>@CNC</t>
        </is>
      </c>
      <c r="E132" s="4" t="inlineStr">
        <is>
          <t>曲線からCNC用Gコードを生成</t>
        </is>
      </c>
      <c r="F132" s="2" t="n">
        <v>22</v>
      </c>
      <c r="G132" s="2" t="n">
        <v>17</v>
      </c>
      <c r="H132" s="2" t="n">
        <v>13</v>
      </c>
      <c r="I132" s="2" t="n">
        <v>5</v>
      </c>
      <c r="J132" s="5">
        <f>SUM(F132:I132)</f>
        <v/>
      </c>
      <c r="K132" s="4" t="inlineStr">
        <is>
          <t>CAD→Gコード</t>
        </is>
      </c>
      <c r="L132" s="3" t="inlineStr">
        <is>
          <t>VitalGG</t>
        </is>
      </c>
      <c r="M132" s="3" t="inlineStr">
        <is>
          <t>@lisp 应用云</t>
        </is>
      </c>
      <c r="N132" s="6" t="inlineStr">
        <is>
          <t>開く</t>
        </is>
      </c>
    </row>
    <row r="133">
      <c r="A133" s="2">
        <f>RANK(J133,$J$2:$J$656)</f>
        <v/>
      </c>
      <c r="B133" s="3" t="inlineStr">
        <is>
          <t>文字・テキスト</t>
        </is>
      </c>
      <c r="C133" s="3" t="inlineStr">
        <is>
          <t>ch3/ch4</t>
        </is>
      </c>
      <c r="D133" s="4" t="inlineStr">
        <is>
          <t>ch3/ch4 加减前后缀</t>
        </is>
      </c>
      <c r="E133" s="4" t="inlineStr">
        <is>
          <t>文字の接頭接尾辞を一括付加/削除</t>
        </is>
      </c>
      <c r="F133" s="2" t="n">
        <v>16</v>
      </c>
      <c r="G133" s="2" t="n">
        <v>8</v>
      </c>
      <c r="H133" s="2" t="n">
        <v>14</v>
      </c>
      <c r="I133" s="2" t="n">
        <v>19</v>
      </c>
      <c r="J133" s="5">
        <f>SUM(F133:I133)</f>
        <v/>
      </c>
      <c r="K133" s="4" t="inlineStr">
        <is>
          <t>接頭接尾辞</t>
        </is>
      </c>
      <c r="L133" s="3" t="inlineStr"/>
      <c r="M133" s="3" t="inlineStr">
        <is>
          <t>GitHub: zhugecaomao/AutoLISP</t>
        </is>
      </c>
      <c r="N133" s="6" t="inlineStr">
        <is>
          <t>開く</t>
        </is>
      </c>
    </row>
    <row r="134">
      <c r="A134" s="2">
        <f>RANK(J134,$J$2:$J$656)</f>
        <v/>
      </c>
      <c r="B134" s="3" t="inlineStr">
        <is>
          <t>座標・測量・土木</t>
        </is>
      </c>
      <c r="C134" s="3" t="inlineStr">
        <is>
          <t>-</t>
        </is>
      </c>
      <c r="D134" s="4" t="inlineStr">
        <is>
          <t>DrawRoadProfile 道路纵断面自动绘制</t>
        </is>
      </c>
      <c r="E134" s="4" t="inlineStr">
        <is>
          <t>Excelの測点データから道路縦断面図を自動作図</t>
        </is>
      </c>
      <c r="F134" s="2" t="n">
        <v>20</v>
      </c>
      <c r="G134" s="2" t="n">
        <v>12</v>
      </c>
      <c r="H134" s="2" t="n">
        <v>18</v>
      </c>
      <c r="I134" s="2" t="n">
        <v>7</v>
      </c>
      <c r="J134" s="5">
        <f>SUM(F134:I134)</f>
        <v/>
      </c>
      <c r="K134" s="4" t="inlineStr">
        <is>
          <t>Excel→縦断図</t>
        </is>
      </c>
      <c r="L134" s="3" t="inlineStr">
        <is>
          <t>OnRoadZy</t>
        </is>
      </c>
      <c r="M134" s="3" t="inlineStr">
        <is>
          <t>GitHub: OnRoadZy/DrawRoadProfile</t>
        </is>
      </c>
      <c r="N134" s="6" t="inlineStr">
        <is>
          <t>開く</t>
        </is>
      </c>
    </row>
    <row r="135">
      <c r="A135" s="2">
        <f>RANK(J135,$J$2:$J$656)</f>
        <v/>
      </c>
      <c r="B135" s="3" t="inlineStr">
        <is>
          <t>文字・テキスト</t>
        </is>
      </c>
      <c r="C135" s="3" t="inlineStr">
        <is>
          <t>ft</t>
        </is>
      </c>
      <c r="D135" s="4" t="inlineStr">
        <is>
          <t>ft 自动修改字体</t>
        </is>
      </c>
      <c r="E135" s="4" t="inlineStr">
        <is>
          <t>欠落フォントのスタイルを一括で既存に置換</t>
        </is>
      </c>
      <c r="F135" s="2" t="n">
        <v>14</v>
      </c>
      <c r="G135" s="2" t="n">
        <v>8</v>
      </c>
      <c r="H135" s="2" t="n">
        <v>15</v>
      </c>
      <c r="I135" s="2" t="n">
        <v>20</v>
      </c>
      <c r="J135" s="5">
        <f>SUM(F135:I135)</f>
        <v/>
      </c>
      <c r="K135" s="4" t="inlineStr">
        <is>
          <t>他社図面の文字化け対策</t>
        </is>
      </c>
      <c r="L135" s="3" t="inlineStr"/>
      <c r="M135" s="3" t="inlineStr">
        <is>
          <t>GitHub: zhugecaomao/AutoLISP</t>
        </is>
      </c>
      <c r="N135" s="6" t="inlineStr">
        <is>
          <t>開く</t>
        </is>
      </c>
    </row>
    <row r="136">
      <c r="A136" s="2">
        <f>RANK(J136,$J$2:$J$656)</f>
        <v/>
      </c>
      <c r="B136" s="3" t="inlineStr">
        <is>
          <t>文字・テキスト</t>
        </is>
      </c>
      <c r="C136" s="3" t="inlineStr">
        <is>
          <t>chen1/chu1/jia1/jian1</t>
        </is>
      </c>
      <c r="D136" s="4" t="inlineStr">
        <is>
          <t>jia1/jian1/chen1/chu1 数字四则</t>
        </is>
      </c>
      <c r="E136" s="4" t="inlineStr">
        <is>
          <t>図中の数値文字の和差積商を計算し記入</t>
        </is>
      </c>
      <c r="F136" s="2" t="n">
        <v>18</v>
      </c>
      <c r="G136" s="2" t="n">
        <v>8</v>
      </c>
      <c r="H136" s="2" t="n">
        <v>15</v>
      </c>
      <c r="I136" s="2" t="n">
        <v>16</v>
      </c>
      <c r="J136" s="5">
        <f>SUM(F136:I136)</f>
        <v/>
      </c>
      <c r="K136" s="4" t="inlineStr">
        <is>
          <t>材料表の検算</t>
        </is>
      </c>
      <c r="L136" s="3" t="inlineStr"/>
      <c r="M136" s="3" t="inlineStr">
        <is>
          <t>GitHub: zhugecaomao/AutoLISP</t>
        </is>
      </c>
      <c r="N136" s="6" t="inlineStr">
        <is>
          <t>開く</t>
        </is>
      </c>
    </row>
    <row r="137">
      <c r="A137" s="2">
        <f>RANK(J137,$J$2:$J$656)</f>
        <v/>
      </c>
      <c r="B137" s="3" t="inlineStr">
        <is>
          <t>引出線・注記</t>
        </is>
      </c>
      <c r="C137" s="3" t="inlineStr">
        <is>
          <t>YQ/YQL/YQFIX</t>
        </is>
      </c>
      <c r="D137" s="4" t="inlineStr">
        <is>
          <t>QuickCircleNumber 快速带圈编号</t>
        </is>
      </c>
      <c r="E137" s="4" t="inlineStr">
        <is>
          <t>丸数字を自動増分配置・一括尺度変更・修復</t>
        </is>
      </c>
      <c r="F137" s="2" t="n">
        <v>15</v>
      </c>
      <c r="G137" s="2" t="n">
        <v>10</v>
      </c>
      <c r="H137" s="2" t="n">
        <v>15</v>
      </c>
      <c r="I137" s="2" t="n">
        <v>17</v>
      </c>
      <c r="J137" s="5">
        <f>SUM(F137:I137)</f>
        <v/>
      </c>
      <c r="K137" s="4" t="inlineStr">
        <is>
          <t>丸番号連番</t>
        </is>
      </c>
      <c r="L137" s="3" t="inlineStr">
        <is>
          <t>za5132-web</t>
        </is>
      </c>
      <c r="M137" s="3" t="inlineStr">
        <is>
          <t>GitHub: za5132-web/QuickCircleNumber</t>
        </is>
      </c>
      <c r="N137" s="6" t="inlineStr">
        <is>
          <t>開く</t>
        </is>
      </c>
    </row>
    <row r="138">
      <c r="A138" s="2">
        <f>RANK(J138,$J$2:$J$656)</f>
        <v/>
      </c>
      <c r="B138" s="3" t="inlineStr">
        <is>
          <t>寸法</t>
        </is>
      </c>
      <c r="C138" s="3" t="inlineStr">
        <is>
          <t>-</t>
        </is>
      </c>
      <c r="D138" s="4" t="inlineStr">
        <is>
          <t>ScmTools自动标注</t>
        </is>
      </c>
      <c r="E138" s="4" t="inlineStr">
        <is>
          <t>形状を自動寸法記入</t>
        </is>
      </c>
      <c r="F138" s="2" t="n">
        <v>18</v>
      </c>
      <c r="G138" s="2" t="n">
        <v>12</v>
      </c>
      <c r="H138" s="2" t="n">
        <v>15</v>
      </c>
      <c r="I138" s="2" t="n">
        <v>12</v>
      </c>
      <c r="J138" s="5">
        <f>SUM(F138:I138)</f>
        <v/>
      </c>
      <c r="K138" s="4" t="inlineStr">
        <is>
          <t>自動寸法</t>
        </is>
      </c>
      <c r="L138" s="3" t="inlineStr">
        <is>
          <t>chpmould</t>
        </is>
      </c>
      <c r="M138" s="3" t="inlineStr">
        <is>
          <t>明经CAD社区</t>
        </is>
      </c>
      <c r="N138" s="6" t="inlineStr">
        <is>
          <t>開く</t>
        </is>
      </c>
    </row>
    <row r="139">
      <c r="A139" s="2">
        <f>RANK(J139,$J$2:$J$656)</f>
        <v/>
      </c>
      <c r="B139" s="3" t="inlineStr">
        <is>
          <t>表・Excel連携</t>
        </is>
      </c>
      <c r="C139" s="3" t="inlineStr">
        <is>
          <t>GE</t>
        </is>
      </c>
      <c r="D139" s="4" t="inlineStr">
        <is>
          <t>ZW工具 GE 文字绘单行表格</t>
        </is>
      </c>
      <c r="E139" s="4" t="inlineStr">
        <is>
          <t>同一行の文字間隔に合わせ表罫線を作図</t>
        </is>
      </c>
      <c r="F139" s="2" t="n">
        <v>18</v>
      </c>
      <c r="G139" s="2" t="n">
        <v>14</v>
      </c>
      <c r="H139" s="2" t="n">
        <v>12</v>
      </c>
      <c r="I139" s="2" t="n">
        <v>13</v>
      </c>
      <c r="J139" s="5">
        <f>SUM(F139:I139)</f>
        <v/>
      </c>
      <c r="K139" s="4" t="inlineStr">
        <is>
          <t>文字→罫線</t>
        </is>
      </c>
      <c r="L139" s="3" t="inlineStr">
        <is>
          <t>y1991427360s</t>
        </is>
      </c>
      <c r="M139" s="3" t="inlineStr">
        <is>
          <t>GitHub: y1991427360s/zwcad-autolisp-tools</t>
        </is>
      </c>
      <c r="N139" s="6" t="inlineStr">
        <is>
          <t>開く</t>
        </is>
      </c>
    </row>
    <row r="140">
      <c r="A140" s="2">
        <f>RANK(J140,$J$2:$J$656)</f>
        <v/>
      </c>
      <c r="B140" s="3" t="inlineStr">
        <is>
          <t>印刷・レイアウト・図枠</t>
        </is>
      </c>
      <c r="C140" s="3" t="inlineStr">
        <is>
          <t>-</t>
        </is>
      </c>
      <c r="D140" s="4" t="inlineStr">
        <is>
          <t>制作目录增强版</t>
        </is>
      </c>
      <c r="E140" s="4" t="inlineStr">
        <is>
          <t>図枠属性から図面目録を作成</t>
        </is>
      </c>
      <c r="F140" s="2" t="n">
        <v>17</v>
      </c>
      <c r="G140" s="2" t="n">
        <v>9</v>
      </c>
      <c r="H140" s="2" t="n">
        <v>17</v>
      </c>
      <c r="I140" s="2" t="n">
        <v>14</v>
      </c>
      <c r="J140" s="5">
        <f>SUM(F140:I140)</f>
        <v/>
      </c>
      <c r="K140" s="4" t="inlineStr">
        <is>
          <t>図面目録作成</t>
        </is>
      </c>
      <c r="L140" s="3" t="inlineStr">
        <is>
          <t>那个猎人</t>
        </is>
      </c>
      <c r="M140" s="3" t="inlineStr">
        <is>
          <t>明经CAD社区</t>
        </is>
      </c>
      <c r="N140" s="6" t="inlineStr">
        <is>
          <t>開く</t>
        </is>
      </c>
    </row>
    <row r="141">
      <c r="A141" s="2">
        <f>RANK(J141,$J$2:$J$656)</f>
        <v/>
      </c>
      <c r="B141" s="3" t="inlineStr">
        <is>
          <t>座標・測量・土木</t>
        </is>
      </c>
      <c r="C141" s="3" t="inlineStr">
        <is>
          <t>-</t>
        </is>
      </c>
      <c r="D141" s="4" t="inlineStr">
        <is>
          <t>动态拖动绘制示坡线</t>
        </is>
      </c>
      <c r="E141" s="4" t="inlineStr">
        <is>
          <t>法面の勾配表示線をドラッグで作図</t>
        </is>
      </c>
      <c r="F141" s="2" t="n">
        <v>18</v>
      </c>
      <c r="G141" s="2" t="n">
        <v>16</v>
      </c>
      <c r="H141" s="2" t="n">
        <v>15</v>
      </c>
      <c r="I141" s="2" t="n">
        <v>8</v>
      </c>
      <c r="J141" s="5">
        <f>SUM(F141:I141)</f>
        <v/>
      </c>
      <c r="K141" s="4" t="inlineStr">
        <is>
          <t>法面記号作図</t>
        </is>
      </c>
      <c r="L141" s="3" t="inlineStr"/>
      <c r="M141" s="3" t="inlineStr">
        <is>
          <t>晓东CAD家园</t>
        </is>
      </c>
      <c r="N141" s="6" t="inlineStr">
        <is>
          <t>開く</t>
        </is>
      </c>
    </row>
    <row r="142">
      <c r="A142" s="2">
        <f>RANK(J142,$J$2:$J$656)</f>
        <v/>
      </c>
      <c r="B142" s="3" t="inlineStr">
        <is>
          <t>文字・テキスト</t>
        </is>
      </c>
      <c r="C142" s="3" t="inlineStr">
        <is>
          <t>-</t>
        </is>
      </c>
      <c r="D142" s="4" t="inlineStr">
        <is>
          <t>多重文本替换程序</t>
        </is>
      </c>
      <c r="E142" s="4" t="inlineStr">
        <is>
          <t>複数の文字置換ルールを一括適用</t>
        </is>
      </c>
      <c r="F142" s="2" t="n">
        <v>14</v>
      </c>
      <c r="G142" s="2" t="n">
        <v>8</v>
      </c>
      <c r="H142" s="2" t="n">
        <v>15</v>
      </c>
      <c r="I142" s="2" t="n">
        <v>20</v>
      </c>
      <c r="J142" s="5">
        <f>SUM(F142:I142)</f>
        <v/>
      </c>
      <c r="K142" s="4" t="inlineStr">
        <is>
          <t>複数ペア一括置換</t>
        </is>
      </c>
      <c r="L142" s="3" t="inlineStr">
        <is>
          <t>mikewolf2k</t>
        </is>
      </c>
      <c r="M142" s="3" t="inlineStr">
        <is>
          <t>明经CAD社区</t>
        </is>
      </c>
      <c r="N142" s="6" t="inlineStr">
        <is>
          <t>開く</t>
        </is>
      </c>
    </row>
    <row r="143">
      <c r="A143" s="2">
        <f>RANK(J143,$J$2:$J$656)</f>
        <v/>
      </c>
      <c r="B143" s="3" t="inlineStr">
        <is>
          <t>線・ポリライン編集</t>
        </is>
      </c>
      <c r="C143" s="3" t="inlineStr">
        <is>
          <t>-</t>
        </is>
      </c>
      <c r="D143" s="4" t="inlineStr">
        <is>
          <t>局部偏移（多距离）</t>
        </is>
      </c>
      <c r="E143" s="4" t="inlineStr">
        <is>
          <t>線の一部を複数距離で一度にオフセット</t>
        </is>
      </c>
      <c r="F143" s="2" t="n">
        <v>18</v>
      </c>
      <c r="G143" s="2" t="n">
        <v>14</v>
      </c>
      <c r="H143" s="2" t="n">
        <v>12</v>
      </c>
      <c r="I143" s="2" t="n">
        <v>13</v>
      </c>
      <c r="J143" s="5">
        <f>SUM(F143:I143)</f>
        <v/>
      </c>
      <c r="K143" s="4" t="inlineStr">
        <is>
          <t>部分オフセット</t>
        </is>
      </c>
      <c r="L143" s="3" t="inlineStr"/>
      <c r="M143" s="3" t="inlineStr">
        <is>
          <t>晓东CAD家园</t>
        </is>
      </c>
      <c r="N143" s="6" t="inlineStr">
        <is>
          <t>開く</t>
        </is>
      </c>
    </row>
    <row r="144">
      <c r="A144" s="2">
        <f>RANK(J144,$J$2:$J$656)</f>
        <v/>
      </c>
      <c r="B144" s="3" t="inlineStr">
        <is>
          <t>設備</t>
        </is>
      </c>
      <c r="C144" s="3" t="inlineStr">
        <is>
          <t>批量标地暖管</t>
        </is>
      </c>
      <c r="D144" s="4" t="inlineStr">
        <is>
          <t>批量标地暖管 (@lisp暖通)</t>
        </is>
      </c>
      <c r="E144" s="4" t="inlineStr">
        <is>
          <t>床暖房配管の間隔・長さを一括注記</t>
        </is>
      </c>
      <c r="F144" s="2" t="n">
        <v>21</v>
      </c>
      <c r="G144" s="2" t="n">
        <v>14</v>
      </c>
      <c r="H144" s="2" t="n">
        <v>16</v>
      </c>
      <c r="I144" s="2" t="n">
        <v>6</v>
      </c>
      <c r="J144" s="5">
        <f>SUM(F144:I144)</f>
        <v/>
      </c>
      <c r="K144" s="4" t="inlineStr">
        <is>
          <t>床暖配管長の自動注記</t>
        </is>
      </c>
      <c r="L144" s="3" t="inlineStr">
        <is>
          <t>VitalGG</t>
        </is>
      </c>
      <c r="M144" s="3" t="inlineStr">
        <is>
          <t>@lisp 应用云</t>
        </is>
      </c>
      <c r="N144" s="6" t="inlineStr">
        <is>
          <t>開く</t>
        </is>
      </c>
    </row>
    <row r="145">
      <c r="A145" s="2">
        <f>RANK(J145,$J$2:$J$656)</f>
        <v/>
      </c>
      <c r="B145" s="3" t="inlineStr">
        <is>
          <t>表・Excel連携</t>
        </is>
      </c>
      <c r="C145" s="3" t="inlineStr">
        <is>
          <t>文本转表格</t>
        </is>
      </c>
      <c r="D145" s="4" t="inlineStr">
        <is>
          <t>文本转表格 (@lisp文本)</t>
        </is>
      </c>
      <c r="E145" s="4" t="inlineStr">
        <is>
          <t>区切り文字で単線文字を分割し表を作図</t>
        </is>
      </c>
      <c r="F145" s="2" t="n">
        <v>17</v>
      </c>
      <c r="G145" s="2" t="n">
        <v>12</v>
      </c>
      <c r="H145" s="2" t="n">
        <v>13</v>
      </c>
      <c r="I145" s="2" t="n">
        <v>15</v>
      </c>
      <c r="J145" s="5">
        <f>SUM(F145:I145)</f>
        <v/>
      </c>
      <c r="K145" s="4" t="inlineStr">
        <is>
          <t>区切り文字列→表</t>
        </is>
      </c>
      <c r="L145" s="3" t="inlineStr">
        <is>
          <t>VitalGG</t>
        </is>
      </c>
      <c r="M145" s="3" t="inlineStr">
        <is>
          <t>@lisp 应用云</t>
        </is>
      </c>
      <c r="N145" s="6" t="inlineStr">
        <is>
          <t>開く</t>
        </is>
      </c>
    </row>
    <row r="146">
      <c r="A146" s="2">
        <f>RANK(J146,$J$2:$J$656)</f>
        <v/>
      </c>
      <c r="B146" s="3" t="inlineStr">
        <is>
          <t>文字・テキスト</t>
        </is>
      </c>
      <c r="C146" s="3" t="inlineStr">
        <is>
          <t>-</t>
        </is>
      </c>
      <c r="D146" s="4" t="inlineStr">
        <is>
          <t>标注/文字加前后缀</t>
        </is>
      </c>
      <c r="E146" s="4" t="inlineStr">
        <is>
          <t>寸法・単線・多行文字に接頭接尾辞付加</t>
        </is>
      </c>
      <c r="F146" s="2" t="n">
        <v>16</v>
      </c>
      <c r="G146" s="2" t="n">
        <v>8</v>
      </c>
      <c r="H146" s="2" t="n">
        <v>14</v>
      </c>
      <c r="I146" s="2" t="n">
        <v>19</v>
      </c>
      <c r="J146" s="5">
        <f>SUM(F146:I146)</f>
        <v/>
      </c>
      <c r="K146" s="4" t="inlineStr">
        <is>
          <t>接頭接尾一括</t>
        </is>
      </c>
      <c r="L146" s="3" t="inlineStr">
        <is>
          <t>【KAIXIN】</t>
        </is>
      </c>
      <c r="M146" s="3" t="inlineStr">
        <is>
          <t>明经CAD社区</t>
        </is>
      </c>
      <c r="N146" s="6" t="inlineStr">
        <is>
          <t>開く</t>
        </is>
      </c>
    </row>
    <row r="147">
      <c r="A147" s="2">
        <f>RANK(J147,$J$2:$J$656)</f>
        <v/>
      </c>
      <c r="B147" s="3" t="inlineStr">
        <is>
          <t>ハッチ・面積・長さ集計</t>
        </is>
      </c>
      <c r="C147" s="3" t="inlineStr">
        <is>
          <t>-</t>
        </is>
      </c>
      <c r="D147" s="4" t="inlineStr">
        <is>
          <t>标注线长并汇总总长</t>
        </is>
      </c>
      <c r="E147" s="4" t="inlineStr">
        <is>
          <t>線長を記入し総延長を集計</t>
        </is>
      </c>
      <c r="F147" s="2" t="n">
        <v>16</v>
      </c>
      <c r="G147" s="2" t="n">
        <v>8</v>
      </c>
      <c r="H147" s="2" t="n">
        <v>16</v>
      </c>
      <c r="I147" s="2" t="n">
        <v>17</v>
      </c>
      <c r="J147" s="5">
        <f>SUM(F147:I147)</f>
        <v/>
      </c>
      <c r="K147" s="4" t="inlineStr">
        <is>
          <t>延長集計</t>
        </is>
      </c>
      <c r="L147" s="3" t="inlineStr"/>
      <c r="M147" s="3" t="inlineStr">
        <is>
          <t>晓东CAD家园</t>
        </is>
      </c>
      <c r="N147" s="6" t="inlineStr">
        <is>
          <t>開く</t>
        </is>
      </c>
    </row>
    <row r="148">
      <c r="A148" s="2">
        <f>RANK(J148,$J$2:$J$656)</f>
        <v/>
      </c>
      <c r="B148" s="3" t="inlineStr">
        <is>
          <t>ハッチ・面積・長さ集計</t>
        </is>
      </c>
      <c r="C148" s="3" t="inlineStr">
        <is>
          <t>每段长度</t>
        </is>
      </c>
      <c r="D148" s="4" t="inlineStr">
        <is>
          <t>每段长度 (@lisp curve)</t>
        </is>
      </c>
      <c r="E148" s="4" t="inlineStr">
        <is>
          <t>ポリラインの各セグメント長を注記</t>
        </is>
      </c>
      <c r="F148" s="2" t="n">
        <v>17</v>
      </c>
      <c r="G148" s="2" t="n">
        <v>8</v>
      </c>
      <c r="H148" s="2" t="n">
        <v>15</v>
      </c>
      <c r="I148" s="2" t="n">
        <v>17</v>
      </c>
      <c r="J148" s="5">
        <f>SUM(F148:I148)</f>
        <v/>
      </c>
      <c r="K148" s="4" t="inlineStr">
        <is>
          <t>セグメント毎寸法の自動化</t>
        </is>
      </c>
      <c r="L148" s="3" t="inlineStr">
        <is>
          <t>VitalGG</t>
        </is>
      </c>
      <c r="M148" s="3" t="inlineStr">
        <is>
          <t>@lisp 应用云</t>
        </is>
      </c>
      <c r="N148" s="6" t="inlineStr">
        <is>
          <t>開く</t>
        </is>
      </c>
    </row>
    <row r="149">
      <c r="A149" s="2">
        <f>RANK(J149,$J$2:$J$656)</f>
        <v/>
      </c>
      <c r="B149" s="3" t="inlineStr">
        <is>
          <t>選択・絞り込み</t>
        </is>
      </c>
      <c r="C149" s="3" t="inlineStr">
        <is>
          <t>选择易</t>
        </is>
      </c>
      <c r="D149" s="4" t="inlineStr">
        <is>
          <t>选择易（飞诗）</t>
        </is>
      </c>
      <c r="E149" s="4" t="inlineStr">
        <is>
          <t>条件指定の高機能選択ツール</t>
        </is>
      </c>
      <c r="F149" s="2" t="n">
        <v>11</v>
      </c>
      <c r="G149" s="2" t="n">
        <v>10</v>
      </c>
      <c r="H149" s="2" t="n">
        <v>16</v>
      </c>
      <c r="I149" s="2" t="n">
        <v>20</v>
      </c>
      <c r="J149" s="5">
        <f>SUM(F149:I149)</f>
        <v/>
      </c>
      <c r="K149" s="4" t="inlineStr">
        <is>
          <t>QSELECT拡張</t>
        </is>
      </c>
      <c r="L149" s="3" t="inlineStr">
        <is>
          <t>飞诗(fsxm)</t>
        </is>
      </c>
      <c r="M149" s="3" t="inlineStr">
        <is>
          <t>@lisp 应用云</t>
        </is>
      </c>
      <c r="N149" s="6" t="inlineStr">
        <is>
          <t>開く</t>
        </is>
      </c>
    </row>
    <row r="150">
      <c r="A150" s="2">
        <f>RANK(J150,$J$2:$J$656)</f>
        <v/>
      </c>
      <c r="B150" s="3" t="inlineStr">
        <is>
          <t>ハッチ・面積・長さ集計</t>
        </is>
      </c>
      <c r="C150" s="3" t="inlineStr">
        <is>
          <t>-</t>
        </is>
      </c>
      <c r="D150" s="4" t="inlineStr">
        <is>
          <t>面积和长度循环标注</t>
        </is>
      </c>
      <c r="E150" s="4" t="inlineStr">
        <is>
          <t>複数図元からなる閉領域の面積周長を注記</t>
        </is>
      </c>
      <c r="F150" s="2" t="n">
        <v>16</v>
      </c>
      <c r="G150" s="2" t="n">
        <v>10</v>
      </c>
      <c r="H150" s="2" t="n">
        <v>15</v>
      </c>
      <c r="I150" s="2" t="n">
        <v>16</v>
      </c>
      <c r="J150" s="5">
        <f>SUM(F150:I150)</f>
        <v/>
      </c>
      <c r="K150" s="4" t="inlineStr">
        <is>
          <t>境界自動で面積注記</t>
        </is>
      </c>
      <c r="L150" s="3" t="inlineStr">
        <is>
          <t>tianying307</t>
        </is>
      </c>
      <c r="M150" s="3" t="inlineStr">
        <is>
          <t>明经CAD社区</t>
        </is>
      </c>
      <c r="N150" s="6" t="inlineStr">
        <is>
          <t>開く</t>
        </is>
      </c>
    </row>
    <row r="151">
      <c r="A151" s="2">
        <f>RANK(J151,$J$2:$J$656)</f>
        <v/>
      </c>
      <c r="B151" s="3" t="inlineStr">
        <is>
          <t>LISP開発用の部品</t>
        </is>
      </c>
      <c r="C151" s="3" t="inlineStr">
        <is>
          <t>-</t>
        </is>
      </c>
      <c r="D151" s="4" t="inlineStr">
        <is>
          <t>Block自动转为Lisp源代码</t>
        </is>
      </c>
      <c r="E151" s="4" t="inlineStr">
        <is>
          <t>ブロック図形をentmakeのLISPコードに変換</t>
        </is>
      </c>
      <c r="F151" s="2" t="n">
        <v>20</v>
      </c>
      <c r="G151" s="2" t="n">
        <v>18</v>
      </c>
      <c r="H151" s="2" t="n">
        <v>8</v>
      </c>
      <c r="I151" s="2" t="n">
        <v>10</v>
      </c>
      <c r="J151" s="5">
        <f>SUM(F151:I151)</f>
        <v/>
      </c>
      <c r="K151" s="4" t="inlineStr">
        <is>
          <t>図形→コード生成</t>
        </is>
      </c>
      <c r="L151" s="3" t="inlineStr">
        <is>
          <t>Gu_xl</t>
        </is>
      </c>
      <c r="M151" s="3" t="inlineStr">
        <is>
          <t>明经CAD社区</t>
        </is>
      </c>
      <c r="N151" s="6" t="inlineStr">
        <is>
          <t>開く</t>
        </is>
      </c>
    </row>
    <row r="152">
      <c r="A152" s="2">
        <f>RANK(J152,$J$2:$J$656)</f>
        <v/>
      </c>
      <c r="B152" s="3" t="inlineStr">
        <is>
          <t>印刷・レイアウト・図枠</t>
        </is>
      </c>
      <c r="C152" s="3" t="inlineStr">
        <is>
          <t>ffsj目录生成</t>
        </is>
      </c>
      <c r="D152" s="4" t="inlineStr">
        <is>
          <t>ffsj 目录生成</t>
        </is>
      </c>
      <c r="E152" s="4" t="inlineStr">
        <is>
          <t>特定図枠ブロックから目録生成・図番自動変更</t>
        </is>
      </c>
      <c r="F152" s="2" t="n">
        <v>17</v>
      </c>
      <c r="G152" s="2" t="n">
        <v>10</v>
      </c>
      <c r="H152" s="2" t="n">
        <v>17</v>
      </c>
      <c r="I152" s="2" t="n">
        <v>12</v>
      </c>
      <c r="J152" s="5">
        <f>SUM(F152:I152)</f>
        <v/>
      </c>
      <c r="K152" s="4" t="inlineStr">
        <is>
          <t>図面目録の自動化</t>
        </is>
      </c>
      <c r="L152" s="3" t="inlineStr">
        <is>
          <t>VitalGG</t>
        </is>
      </c>
      <c r="M152" s="3" t="inlineStr">
        <is>
          <t>@lisp 应用云</t>
        </is>
      </c>
      <c r="N152" s="6" t="inlineStr">
        <is>
          <t>開く</t>
        </is>
      </c>
    </row>
    <row r="153">
      <c r="A153" s="2">
        <f>RANK(J153,$J$2:$J$656)</f>
        <v/>
      </c>
      <c r="B153" s="3" t="inlineStr">
        <is>
          <t>座標・測量・土木</t>
        </is>
      </c>
      <c r="C153" s="3" t="inlineStr">
        <is>
          <t>kml2dxf</t>
        </is>
      </c>
      <c r="D153" s="4" t="inlineStr">
        <is>
          <t>kml2dxf</t>
        </is>
      </c>
      <c r="E153" s="4" t="inlineStr">
        <is>
          <t>Googleマップ(KML)の点線面をCAD図元化</t>
        </is>
      </c>
      <c r="F153" s="2" t="n">
        <v>20</v>
      </c>
      <c r="G153" s="2" t="n">
        <v>14</v>
      </c>
      <c r="H153" s="2" t="n">
        <v>12</v>
      </c>
      <c r="I153" s="2" t="n">
        <v>10</v>
      </c>
      <c r="J153" s="5">
        <f>SUM(F153:I153)</f>
        <v/>
      </c>
      <c r="K153" s="4" t="inlineStr">
        <is>
          <t>KML取込</t>
        </is>
      </c>
      <c r="L153" s="3" t="inlineStr">
        <is>
          <t>VitalGG</t>
        </is>
      </c>
      <c r="M153" s="3" t="inlineStr">
        <is>
          <t>@lisp 应用云</t>
        </is>
      </c>
      <c r="N153" s="6" t="inlineStr">
        <is>
          <t>開く</t>
        </is>
      </c>
    </row>
    <row r="154">
      <c r="A154" s="2">
        <f>RANK(J154,$J$2:$J$656)</f>
        <v/>
      </c>
      <c r="B154" s="3" t="inlineStr">
        <is>
          <t>作図</t>
        </is>
      </c>
      <c r="C154" s="3" t="inlineStr">
        <is>
          <t>YQMKPAT</t>
        </is>
      </c>
      <c r="D154" s="4" t="inlineStr">
        <is>
          <t>YQMKPAT 填充图案制作</t>
        </is>
      </c>
      <c r="E154" s="4" t="inlineStr">
        <is>
          <t>図形からハッチパターン(.pat)を作成</t>
        </is>
      </c>
      <c r="F154" s="2" t="n">
        <v>20</v>
      </c>
      <c r="G154" s="2" t="n">
        <v>14</v>
      </c>
      <c r="H154" s="2" t="n">
        <v>8</v>
      </c>
      <c r="I154" s="2" t="n">
        <v>14</v>
      </c>
      <c r="J154" s="5">
        <f>SUM(F154:I154)</f>
        <v/>
      </c>
      <c r="K154" s="4" t="inlineStr">
        <is>
          <t>PAT自作</t>
        </is>
      </c>
      <c r="L154" s="3" t="inlineStr">
        <is>
          <t>bigd</t>
        </is>
      </c>
      <c r="M154" s="3" t="inlineStr">
        <is>
          <t>明经CAD社区</t>
        </is>
      </c>
      <c r="N154" s="6" t="inlineStr">
        <is>
          <t>開く</t>
        </is>
      </c>
    </row>
    <row r="155">
      <c r="A155" s="2">
        <f>RANK(J155,$J$2:$J$656)</f>
        <v/>
      </c>
      <c r="B155" s="3" t="inlineStr">
        <is>
          <t>文字・テキスト</t>
        </is>
      </c>
      <c r="C155" s="3" t="inlineStr">
        <is>
          <t>HP/H</t>
        </is>
      </c>
      <c r="D155" s="4" t="inlineStr">
        <is>
          <t>ZW工具 HP 文字等间距排列</t>
        </is>
      </c>
      <c r="E155" s="4" t="inlineStr">
        <is>
          <t>文字を左→右に首尾等間隔で並べる</t>
        </is>
      </c>
      <c r="F155" s="2" t="n">
        <v>16</v>
      </c>
      <c r="G155" s="2" t="n">
        <v>10</v>
      </c>
      <c r="H155" s="2" t="n">
        <v>13</v>
      </c>
      <c r="I155" s="2" t="n">
        <v>17</v>
      </c>
      <c r="J155" s="5">
        <f>SUM(F155:I155)</f>
        <v/>
      </c>
      <c r="K155" s="4" t="inlineStr">
        <is>
          <t>文字等間隔配置</t>
        </is>
      </c>
      <c r="L155" s="3" t="inlineStr">
        <is>
          <t>y1991427360s</t>
        </is>
      </c>
      <c r="M155" s="3" t="inlineStr">
        <is>
          <t>GitHub: y1991427360s/zwcad-autolisp-tools</t>
        </is>
      </c>
      <c r="N155" s="6" t="inlineStr">
        <is>
          <t>開く</t>
        </is>
      </c>
    </row>
    <row r="156">
      <c r="A156" s="2">
        <f>RANK(J156,$J$2:$J$656)</f>
        <v/>
      </c>
      <c r="B156" s="3" t="inlineStr">
        <is>
          <t>文字・テキスト</t>
        </is>
      </c>
      <c r="C156" s="3" t="inlineStr">
        <is>
          <t>QW/QW2</t>
        </is>
      </c>
      <c r="D156" s="4" t="inlineStr">
        <is>
          <t>ZW工具 QW 文字提取到剪贴板</t>
        </is>
      </c>
      <c r="E156" s="4" t="inlineStr">
        <is>
          <t>選択文字（＋座標）を剪贴板へ出力</t>
        </is>
      </c>
      <c r="F156" s="2" t="n">
        <v>16</v>
      </c>
      <c r="G156" s="2" t="n">
        <v>10</v>
      </c>
      <c r="H156" s="2" t="n">
        <v>14</v>
      </c>
      <c r="I156" s="2" t="n">
        <v>16</v>
      </c>
      <c r="J156" s="5">
        <f>SUM(F156:I156)</f>
        <v/>
      </c>
      <c r="K156" s="4" t="inlineStr">
        <is>
          <t>文字抽出</t>
        </is>
      </c>
      <c r="L156" s="3" t="inlineStr">
        <is>
          <t>y1991427360s</t>
        </is>
      </c>
      <c r="M156" s="3" t="inlineStr">
        <is>
          <t>GitHub: y1991427360s/zwcad-autolisp-tools</t>
        </is>
      </c>
      <c r="N156" s="6" t="inlineStr">
        <is>
          <t>開く</t>
        </is>
      </c>
    </row>
    <row r="157">
      <c r="A157" s="2">
        <f>RANK(J157,$J$2:$J$656)</f>
        <v/>
      </c>
      <c r="B157" s="3" t="inlineStr">
        <is>
          <t>設備</t>
        </is>
      </c>
      <c r="C157" s="3" t="inlineStr">
        <is>
          <t>DXGS</t>
        </is>
      </c>
      <c r="D157" s="4" t="inlineStr">
        <is>
          <t>ZYFTools 自动标导线根数</t>
        </is>
      </c>
      <c r="E157" s="4" t="inlineStr">
        <is>
          <t>配線の電線本数を自動記入</t>
        </is>
      </c>
      <c r="F157" s="2" t="n">
        <v>20</v>
      </c>
      <c r="G157" s="2" t="n">
        <v>14</v>
      </c>
      <c r="H157" s="2" t="n">
        <v>16</v>
      </c>
      <c r="I157" s="2" t="n">
        <v>6</v>
      </c>
      <c r="J157" s="5">
        <f>SUM(F157:I157)</f>
        <v/>
      </c>
      <c r="K157" s="4" t="inlineStr">
        <is>
          <t>電線本数注記</t>
        </is>
      </c>
      <c r="L157" s="3" t="inlineStr">
        <is>
          <t>WuwuZhang0019</t>
        </is>
      </c>
      <c r="M157" s="3" t="inlineStr">
        <is>
          <t>GitHub: WuwuZhang0019/CADTools</t>
        </is>
      </c>
      <c r="N157" s="6" t="inlineStr">
        <is>
          <t>開く</t>
        </is>
      </c>
    </row>
    <row r="158">
      <c r="A158" s="2">
        <f>RANK(J158,$J$2:$J$656)</f>
        <v/>
      </c>
      <c r="B158" s="3" t="inlineStr">
        <is>
          <t>作図</t>
        </is>
      </c>
      <c r="C158" s="3" t="inlineStr">
        <is>
          <t>动态拉线阵列</t>
        </is>
      </c>
      <c r="D158" s="4" t="inlineStr">
        <is>
          <t>动态拉线阵列</t>
        </is>
      </c>
      <c r="E158" s="4" t="inlineStr">
        <is>
          <t>引いた線上に可変数で等分配列</t>
        </is>
      </c>
      <c r="F158" s="2" t="n">
        <v>12</v>
      </c>
      <c r="G158" s="2" t="n">
        <v>16</v>
      </c>
      <c r="H158" s="2" t="n">
        <v>13</v>
      </c>
      <c r="I158" s="2" t="n">
        <v>15</v>
      </c>
      <c r="J158" s="5">
        <f>SUM(F158:I158)</f>
        <v/>
      </c>
      <c r="K158" s="4" t="inlineStr">
        <is>
          <t>ARRAYPATHと近い</t>
        </is>
      </c>
      <c r="L158" s="3" t="inlineStr">
        <is>
          <t>VitalGG</t>
        </is>
      </c>
      <c r="M158" s="3" t="inlineStr">
        <is>
          <t>@lisp 应用云</t>
        </is>
      </c>
      <c r="N158" s="6" t="inlineStr">
        <is>
          <t>開く</t>
        </is>
      </c>
    </row>
    <row r="159">
      <c r="A159" s="2">
        <f>RANK(J159,$J$2:$J$656)</f>
        <v/>
      </c>
      <c r="B159" s="3" t="inlineStr">
        <is>
          <t>作図</t>
        </is>
      </c>
      <c r="C159" s="3" t="inlineStr">
        <is>
          <t>-</t>
        </is>
      </c>
      <c r="D159" s="4" t="inlineStr">
        <is>
          <t>反应器示例：随标注变化的螺丝</t>
        </is>
      </c>
      <c r="E159" s="4" t="inlineStr">
        <is>
          <t>寸法変更に連動して図形が変わるリアクタ例</t>
        </is>
      </c>
      <c r="F159" s="2" t="n">
        <v>18</v>
      </c>
      <c r="G159" s="2" t="n">
        <v>22</v>
      </c>
      <c r="H159" s="2" t="n">
        <v>8</v>
      </c>
      <c r="I159" s="2" t="n">
        <v>8</v>
      </c>
      <c r="J159" s="5">
        <f>SUM(F159:I159)</f>
        <v/>
      </c>
      <c r="K159" s="4" t="inlineStr">
        <is>
          <t>リアクタ連動の好例</t>
        </is>
      </c>
      <c r="L159" s="3" t="inlineStr">
        <is>
          <t>rongyifei</t>
        </is>
      </c>
      <c r="M159" s="3" t="inlineStr">
        <is>
          <t>明经CAD社区</t>
        </is>
      </c>
      <c r="N159" s="6" t="inlineStr">
        <is>
          <t>開く</t>
        </is>
      </c>
    </row>
    <row r="160">
      <c r="A160" s="2">
        <f>RANK(J160,$J$2:$J$656)</f>
        <v/>
      </c>
      <c r="B160" s="3" t="inlineStr">
        <is>
          <t>座標・測量・土木</t>
        </is>
      </c>
      <c r="C160" s="3" t="inlineStr">
        <is>
          <t>-</t>
        </is>
      </c>
      <c r="D160" s="4" t="inlineStr">
        <is>
          <t>坐标自动编号并写入表格</t>
        </is>
      </c>
      <c r="E160" s="4" t="inlineStr">
        <is>
          <t>座標点を自動採番し座標表を作成</t>
        </is>
      </c>
      <c r="F160" s="2" t="n">
        <v>18</v>
      </c>
      <c r="G160" s="2" t="n">
        <v>10</v>
      </c>
      <c r="H160" s="2" t="n">
        <v>16</v>
      </c>
      <c r="I160" s="2" t="n">
        <v>12</v>
      </c>
      <c r="J160" s="5">
        <f>SUM(F160:I160)</f>
        <v/>
      </c>
      <c r="K160" s="4" t="inlineStr">
        <is>
          <t>座標表の自動作成</t>
        </is>
      </c>
      <c r="L160" s="3" t="inlineStr">
        <is>
          <t>Cad2077</t>
        </is>
      </c>
      <c r="M160" s="3" t="inlineStr">
        <is>
          <t>明经CAD社区</t>
        </is>
      </c>
      <c r="N160" s="6" t="inlineStr">
        <is>
          <t>開く</t>
        </is>
      </c>
    </row>
    <row r="161">
      <c r="A161" s="2">
        <f>RANK(J161,$J$2:$J$656)</f>
        <v/>
      </c>
      <c r="B161" s="3" t="inlineStr">
        <is>
          <t>作図</t>
        </is>
      </c>
      <c r="C161" s="3" t="inlineStr">
        <is>
          <t>-</t>
        </is>
      </c>
      <c r="D161" s="4" t="inlineStr">
        <is>
          <t>对象均布与对齐工具</t>
        </is>
      </c>
      <c r="E161" s="4" t="inlineStr">
        <is>
          <t>図形を均等配置・整列</t>
        </is>
      </c>
      <c r="F161" s="2" t="n">
        <v>14</v>
      </c>
      <c r="G161" s="2" t="n">
        <v>10</v>
      </c>
      <c r="H161" s="2" t="n">
        <v>14</v>
      </c>
      <c r="I161" s="2" t="n">
        <v>18</v>
      </c>
      <c r="J161" s="5">
        <f>SUM(F161:I161)</f>
        <v/>
      </c>
      <c r="K161" s="4" t="inlineStr">
        <is>
          <t>均等配置の古典</t>
        </is>
      </c>
      <c r="L161" s="3" t="inlineStr">
        <is>
          <t>mccad</t>
        </is>
      </c>
      <c r="M161" s="3" t="inlineStr">
        <is>
          <t>明经CAD社区</t>
        </is>
      </c>
      <c r="N161" s="6" t="inlineStr">
        <is>
          <t>開く</t>
        </is>
      </c>
    </row>
    <row r="162">
      <c r="A162" s="2">
        <f>RANK(J162,$J$2:$J$656)</f>
        <v/>
      </c>
      <c r="B162" s="3" t="inlineStr">
        <is>
          <t>ブロック・属性</t>
        </is>
      </c>
      <c r="C162" s="3" t="inlineStr">
        <is>
          <t>-</t>
        </is>
      </c>
      <c r="D162" s="4" t="inlineStr">
        <is>
          <t>属性块自动编号</t>
        </is>
      </c>
      <c r="E162" s="4" t="inlineStr">
        <is>
          <t>属性ブロックの番号を自動付与</t>
        </is>
      </c>
      <c r="F162" s="2" t="n">
        <v>16</v>
      </c>
      <c r="G162" s="2" t="n">
        <v>8</v>
      </c>
      <c r="H162" s="2" t="n">
        <v>16</v>
      </c>
      <c r="I162" s="2" t="n">
        <v>16</v>
      </c>
      <c r="J162" s="5">
        <f>SUM(F162:I162)</f>
        <v/>
      </c>
      <c r="K162" s="4" t="inlineStr">
        <is>
          <t>属性採番</t>
        </is>
      </c>
      <c r="L162" s="3" t="inlineStr">
        <is>
          <t>duanshui83</t>
        </is>
      </c>
      <c r="M162" s="3" t="inlineStr">
        <is>
          <t>明经CAD社区</t>
        </is>
      </c>
      <c r="N162" s="6" t="inlineStr">
        <is>
          <t>開く</t>
        </is>
      </c>
    </row>
    <row r="163">
      <c r="A163" s="2">
        <f>RANK(J163,$J$2:$J$656)</f>
        <v/>
      </c>
      <c r="B163" s="3" t="inlineStr">
        <is>
          <t>建築</t>
        </is>
      </c>
      <c r="C163" s="3" t="inlineStr">
        <is>
          <t>QC</t>
        </is>
      </c>
      <c r="D163" s="4" t="inlineStr">
        <is>
          <t>建築空間粉刷門窗檢核系統</t>
        </is>
      </c>
      <c r="E163" s="4" t="inlineStr">
        <is>
          <t>室名から仕上げ・建具番号をMD表で照合付与</t>
        </is>
      </c>
      <c r="F163" s="2" t="n">
        <v>20</v>
      </c>
      <c r="G163" s="2" t="n">
        <v>16</v>
      </c>
      <c r="H163" s="2" t="n">
        <v>13</v>
      </c>
      <c r="I163" s="2" t="n">
        <v>7</v>
      </c>
      <c r="J163" s="5">
        <f>SUM(F163:I163)</f>
        <v/>
      </c>
      <c r="K163" s="4" t="inlineStr">
        <is>
          <t>仕上表照合（台湾）</t>
        </is>
      </c>
      <c r="L163" s="3" t="inlineStr">
        <is>
          <t>open920920-spec</t>
        </is>
      </c>
      <c r="M163" s="3" t="inlineStr">
        <is>
          <t>GitHub: open920920-spec/-SpatialInformation</t>
        </is>
      </c>
      <c r="N163" s="6" t="inlineStr">
        <is>
          <t>開く</t>
        </is>
      </c>
    </row>
    <row r="164">
      <c r="A164" s="2">
        <f>RANK(J164,$J$2:$J$656)</f>
        <v/>
      </c>
      <c r="B164" s="3" t="inlineStr">
        <is>
          <t>座標・測量・土木</t>
        </is>
      </c>
      <c r="C164" s="3" t="inlineStr">
        <is>
          <t>-</t>
        </is>
      </c>
      <c r="D164" s="4" t="inlineStr">
        <is>
          <t>批量多段线坐标标注 节点编号</t>
        </is>
      </c>
      <c r="E164" s="4" t="inlineStr">
        <is>
          <t>PL頂点を採番し座標表出力</t>
        </is>
      </c>
      <c r="F164" s="2" t="n">
        <v>18</v>
      </c>
      <c r="G164" s="2" t="n">
        <v>10</v>
      </c>
      <c r="H164" s="2" t="n">
        <v>16</v>
      </c>
      <c r="I164" s="2" t="n">
        <v>12</v>
      </c>
      <c r="J164" s="5">
        <f>SUM(F164:I164)</f>
        <v/>
      </c>
      <c r="K164" s="4" t="inlineStr">
        <is>
          <t>頂点座標表</t>
        </is>
      </c>
      <c r="L164" s="3" t="inlineStr">
        <is>
          <t>gaomingabc456</t>
        </is>
      </c>
      <c r="M164" s="3" t="inlineStr">
        <is>
          <t>明经CAD社区</t>
        </is>
      </c>
      <c r="N164" s="6" t="inlineStr">
        <is>
          <t>開く</t>
        </is>
      </c>
    </row>
    <row r="165">
      <c r="A165" s="2">
        <f>RANK(J165,$J$2:$J$656)</f>
        <v/>
      </c>
      <c r="B165" s="3" t="inlineStr">
        <is>
          <t>ブロック・属性</t>
        </is>
      </c>
      <c r="C165" s="3" t="inlineStr">
        <is>
          <t>@block:menu-change-base</t>
        </is>
      </c>
      <c r="D165" s="4" t="inlineStr">
        <is>
          <t>改块基点 (@lisp Block)</t>
        </is>
      </c>
      <c r="E165" s="4" t="inlineStr">
        <is>
          <t>ブロック定義の基点を位置不変で変更</t>
        </is>
      </c>
      <c r="F165" s="2" t="n">
        <v>16</v>
      </c>
      <c r="G165" s="2" t="n">
        <v>10</v>
      </c>
      <c r="H165" s="2" t="n">
        <v>13</v>
      </c>
      <c r="I165" s="2" t="n">
        <v>17</v>
      </c>
      <c r="J165" s="5">
        <f>SUM(F165:I165)</f>
        <v/>
      </c>
      <c r="K165" s="4" t="inlineStr">
        <is>
          <t>参照位置を保ったまま変更</t>
        </is>
      </c>
      <c r="L165" s="3" t="inlineStr">
        <is>
          <t>VitalGG</t>
        </is>
      </c>
      <c r="M165" s="3" t="inlineStr">
        <is>
          <t>@lisp 应用云</t>
        </is>
      </c>
      <c r="N165" s="6" t="inlineStr">
        <is>
          <t>開く</t>
        </is>
      </c>
    </row>
    <row r="166">
      <c r="A166" s="2">
        <f>RANK(J166,$J$2:$J$656)</f>
        <v/>
      </c>
      <c r="B166" s="3" t="inlineStr">
        <is>
          <t>文字・テキスト</t>
        </is>
      </c>
      <c r="C166" s="3" t="inlineStr">
        <is>
          <t>朗读文本</t>
        </is>
      </c>
      <c r="D166" s="4" t="inlineStr">
        <is>
          <t>朗读文本 (@lisp文本)</t>
        </is>
      </c>
      <c r="E166" s="4" t="inlineStr">
        <is>
          <t>選択文字を音声で読み上げ（照合用）</t>
        </is>
      </c>
      <c r="F166" s="2" t="n">
        <v>22</v>
      </c>
      <c r="G166" s="2" t="n">
        <v>18</v>
      </c>
      <c r="H166" s="2" t="n">
        <v>6</v>
      </c>
      <c r="I166" s="2" t="n">
        <v>10</v>
      </c>
      <c r="J166" s="5">
        <f>SUM(F166:I166)</f>
        <v/>
      </c>
      <c r="K166" s="4" t="inlineStr">
        <is>
          <t>読み合わせ用途</t>
        </is>
      </c>
      <c r="L166" s="3" t="inlineStr">
        <is>
          <t>VitalGG</t>
        </is>
      </c>
      <c r="M166" s="3" t="inlineStr">
        <is>
          <t>@lisp 应用云</t>
        </is>
      </c>
      <c r="N166" s="6" t="inlineStr">
        <is>
          <t>開く</t>
        </is>
      </c>
    </row>
    <row r="167">
      <c r="A167" s="2">
        <f>RANK(J167,$J$2:$J$656)</f>
        <v/>
      </c>
      <c r="B167" s="3" t="inlineStr">
        <is>
          <t>文字・テキスト</t>
        </is>
      </c>
      <c r="C167" s="3" t="inlineStr">
        <is>
          <t>all</t>
        </is>
      </c>
      <c r="D167" s="4" t="inlineStr">
        <is>
          <t>模糊距离合并文字</t>
        </is>
      </c>
      <c r="E167" s="4" t="inlineStr">
        <is>
          <t>近接する文字を距離許容で結合</t>
        </is>
      </c>
      <c r="F167" s="2" t="n">
        <v>16</v>
      </c>
      <c r="G167" s="2" t="n">
        <v>12</v>
      </c>
      <c r="H167" s="2" t="n">
        <v>13</v>
      </c>
      <c r="I167" s="2" t="n">
        <v>15</v>
      </c>
      <c r="J167" s="5">
        <f>SUM(F167:I167)</f>
        <v/>
      </c>
      <c r="K167" s="4" t="inlineStr">
        <is>
          <t>PDF由来文字の結合</t>
        </is>
      </c>
      <c r="L167" s="3" t="inlineStr"/>
      <c r="M167" s="3" t="inlineStr">
        <is>
          <t>GitHub: zhugecaomao/AutoLISP</t>
        </is>
      </c>
      <c r="N167" s="6" t="inlineStr">
        <is>
          <t>開く</t>
        </is>
      </c>
    </row>
    <row r="168">
      <c r="A168" s="2">
        <f>RANK(J168,$J$2:$J$656)</f>
        <v/>
      </c>
      <c r="B168" s="3" t="inlineStr">
        <is>
          <t>建築</t>
        </is>
      </c>
      <c r="C168" s="3" t="inlineStr">
        <is>
          <t>-</t>
        </is>
      </c>
      <c r="D168" s="4" t="inlineStr">
        <is>
          <t>源泉设计 自动墙体/门窗自动修剪</t>
        </is>
      </c>
      <c r="E168" s="4" t="inlineStr">
        <is>
          <t>壁作図と建具挿入時の壁線自動トリム</t>
        </is>
      </c>
      <c r="F168" s="2" t="n">
        <v>18</v>
      </c>
      <c r="G168" s="2" t="n">
        <v>12</v>
      </c>
      <c r="H168" s="2" t="n">
        <v>17</v>
      </c>
      <c r="I168" s="2" t="n">
        <v>9</v>
      </c>
      <c r="J168" s="5">
        <f>SUM(F168:I168)</f>
        <v/>
      </c>
      <c r="K168" s="4" t="inlineStr">
        <is>
          <t>壁自動トリム</t>
        </is>
      </c>
      <c r="L168" s="3" t="inlineStr">
        <is>
          <t>源泉</t>
        </is>
      </c>
      <c r="M168" s="3" t="inlineStr">
        <is>
          <t>源泉设计</t>
        </is>
      </c>
      <c r="N168" s="6" t="inlineStr">
        <is>
          <t>開く</t>
        </is>
      </c>
    </row>
    <row r="169">
      <c r="A169" s="2">
        <f>RANK(J169,$J$2:$J$656)</f>
        <v/>
      </c>
      <c r="B169" s="3" t="inlineStr">
        <is>
          <t>作図</t>
        </is>
      </c>
      <c r="C169" s="3" t="inlineStr">
        <is>
          <t>图形编号</t>
        </is>
      </c>
      <c r="D169" s="4" t="inlineStr">
        <is>
          <t>编号工具</t>
        </is>
      </c>
      <c r="E169" s="4" t="inlineStr">
        <is>
          <t>矩形・円・ブロック等に自動番号付け</t>
        </is>
      </c>
      <c r="F169" s="2" t="n">
        <v>16</v>
      </c>
      <c r="G169" s="2" t="n">
        <v>8</v>
      </c>
      <c r="H169" s="2" t="n">
        <v>15</v>
      </c>
      <c r="I169" s="2" t="n">
        <v>17</v>
      </c>
      <c r="J169" s="5">
        <f>SUM(F169:I169)</f>
        <v/>
      </c>
      <c r="K169" s="4" t="inlineStr">
        <is>
          <t>図形採番</t>
        </is>
      </c>
      <c r="L169" s="3" t="inlineStr">
        <is>
          <t>VitalGG</t>
        </is>
      </c>
      <c r="M169" s="3" t="inlineStr">
        <is>
          <t>@lisp 应用云</t>
        </is>
      </c>
      <c r="N169" s="6" t="inlineStr">
        <is>
          <t>開く</t>
        </is>
      </c>
    </row>
    <row r="170">
      <c r="A170" s="2">
        <f>RANK(J170,$J$2:$J$656)</f>
        <v/>
      </c>
      <c r="B170" s="3" t="inlineStr">
        <is>
          <t>設定・環境</t>
        </is>
      </c>
      <c r="C170" s="3" t="inlineStr">
        <is>
          <t>自然语言交互</t>
        </is>
      </c>
      <c r="D170" s="4" t="inlineStr">
        <is>
          <t>自然语言交互</t>
        </is>
      </c>
      <c r="E170" s="4" t="inlineStr">
        <is>
          <t>中国語の自然言語でCAD操作</t>
        </is>
      </c>
      <c r="F170" s="2" t="n">
        <v>20</v>
      </c>
      <c r="G170" s="2" t="n">
        <v>20</v>
      </c>
      <c r="H170" s="2" t="n">
        <v>6</v>
      </c>
      <c r="I170" s="2" t="n">
        <v>10</v>
      </c>
      <c r="J170" s="5">
        <f>SUM(F170:I170)</f>
        <v/>
      </c>
      <c r="K170" s="4" t="inlineStr">
        <is>
          <t>自然言語操作（試験版）</t>
        </is>
      </c>
      <c r="L170" s="3" t="inlineStr">
        <is>
          <t>VitalGG</t>
        </is>
      </c>
      <c r="M170" s="3" t="inlineStr">
        <is>
          <t>@lisp 应用云</t>
        </is>
      </c>
      <c r="N170" s="6" t="inlineStr">
        <is>
          <t>開く</t>
        </is>
      </c>
    </row>
    <row r="171">
      <c r="A171" s="2">
        <f>RANK(J171,$J$2:$J$656)</f>
        <v/>
      </c>
      <c r="B171" s="3" t="inlineStr">
        <is>
          <t>座標・測量・土木</t>
        </is>
      </c>
      <c r="C171" s="3" t="inlineStr">
        <is>
          <t>生成绿地/算绿地率/经济指标</t>
        </is>
      </c>
      <c r="D171" s="4" t="inlineStr">
        <is>
          <t>规划指标 (@lisp规划)</t>
        </is>
      </c>
      <c r="E171" s="4" t="inlineStr">
        <is>
          <t>用地・緑地面積と緑化率・経済指標表作成</t>
        </is>
      </c>
      <c r="F171" s="2" t="n">
        <v>20</v>
      </c>
      <c r="G171" s="2" t="n">
        <v>12</v>
      </c>
      <c r="H171" s="2" t="n">
        <v>17</v>
      </c>
      <c r="I171" s="2" t="n">
        <v>7</v>
      </c>
      <c r="J171" s="5">
        <f>SUM(F171:I171)</f>
        <v/>
      </c>
      <c r="K171" s="4" t="inlineStr">
        <is>
          <t>規划指標の自動計算</t>
        </is>
      </c>
      <c r="L171" s="3" t="inlineStr">
        <is>
          <t>VitalGG</t>
        </is>
      </c>
      <c r="M171" s="3" t="inlineStr">
        <is>
          <t>@lisp 应用云</t>
        </is>
      </c>
      <c r="N171" s="6" t="inlineStr">
        <is>
          <t>開く</t>
        </is>
      </c>
    </row>
    <row r="172">
      <c r="A172" s="2">
        <f>RANK(J172,$J$2:$J$656)</f>
        <v/>
      </c>
      <c r="B172" s="3" t="inlineStr">
        <is>
          <t>作図</t>
        </is>
      </c>
      <c r="C172" s="3" t="inlineStr">
        <is>
          <t>-</t>
        </is>
      </c>
      <c r="D172" s="4" t="inlineStr">
        <is>
          <t>超强大自动编号插件</t>
        </is>
      </c>
      <c r="E172" s="4" t="inlineStr">
        <is>
          <t>クリックで高速自動連番</t>
        </is>
      </c>
      <c r="F172" s="2" t="n">
        <v>14</v>
      </c>
      <c r="G172" s="2" t="n">
        <v>8</v>
      </c>
      <c r="H172" s="2" t="n">
        <v>16</v>
      </c>
      <c r="I172" s="2" t="n">
        <v>18</v>
      </c>
      <c r="J172" s="5">
        <f>SUM(F172:I172)</f>
        <v/>
      </c>
      <c r="K172" s="4" t="inlineStr">
        <is>
          <t>連番配置</t>
        </is>
      </c>
      <c r="L172" s="3" t="inlineStr">
        <is>
          <t>qwerasdf123456</t>
        </is>
      </c>
      <c r="M172" s="3" t="inlineStr">
        <is>
          <t>明经CAD社区</t>
        </is>
      </c>
      <c r="N172" s="6" t="inlineStr">
        <is>
          <t>開く</t>
        </is>
      </c>
    </row>
    <row r="173">
      <c r="A173" s="2">
        <f>RANK(J173,$J$2:$J$656)</f>
        <v/>
      </c>
      <c r="B173" s="3" t="inlineStr">
        <is>
          <t>設備</t>
        </is>
      </c>
      <c r="C173" s="3" t="inlineStr">
        <is>
          <t>-</t>
        </is>
      </c>
      <c r="D173" s="4" t="inlineStr">
        <is>
          <t>轴侧转换程序</t>
        </is>
      </c>
      <c r="E173" s="4" t="inlineStr">
        <is>
          <t>平面配管を軸測図に変換（暖通・給排水）</t>
        </is>
      </c>
      <c r="F173" s="2" t="n">
        <v>20</v>
      </c>
      <c r="G173" s="2" t="n">
        <v>14</v>
      </c>
      <c r="H173" s="2" t="n">
        <v>15</v>
      </c>
      <c r="I173" s="2" t="n">
        <v>7</v>
      </c>
      <c r="J173" s="5">
        <f>SUM(F173:I173)</f>
        <v/>
      </c>
      <c r="K173" s="4" t="inlineStr">
        <is>
          <t>平面→アイソメ変換</t>
        </is>
      </c>
      <c r="L173" s="3" t="inlineStr">
        <is>
          <t>BDYCAD</t>
        </is>
      </c>
      <c r="M173" s="3" t="inlineStr">
        <is>
          <t>明经CAD社区</t>
        </is>
      </c>
      <c r="N173" s="6" t="inlineStr">
        <is>
          <t>開く</t>
        </is>
      </c>
    </row>
    <row r="174">
      <c r="A174" s="2">
        <f>RANK(J174,$J$2:$J$656)</f>
        <v/>
      </c>
      <c r="B174" s="3" t="inlineStr">
        <is>
          <t>選択・絞り込み</t>
        </is>
      </c>
      <c r="C174" s="3" t="inlineStr">
        <is>
          <t>链式选择</t>
        </is>
      </c>
      <c r="D174" s="4" t="inlineStr">
        <is>
          <t>链式选择 (@lisp选择)</t>
        </is>
      </c>
      <c r="E174" s="4" t="inlineStr">
        <is>
          <t>端点で繋がった図形を連鎖選択</t>
        </is>
      </c>
      <c r="F174" s="2" t="n">
        <v>15</v>
      </c>
      <c r="G174" s="2" t="n">
        <v>10</v>
      </c>
      <c r="H174" s="2" t="n">
        <v>13</v>
      </c>
      <c r="I174" s="2" t="n">
        <v>18</v>
      </c>
      <c r="J174" s="5">
        <f>SUM(F174:I174)</f>
        <v/>
      </c>
      <c r="K174" s="4" t="inlineStr">
        <is>
          <t>連続図形の一括選択</t>
        </is>
      </c>
      <c r="L174" s="3" t="inlineStr">
        <is>
          <t>VitalGG</t>
        </is>
      </c>
      <c r="M174" s="3" t="inlineStr">
        <is>
          <t>@lisp 应用云</t>
        </is>
      </c>
      <c r="N174" s="6" t="inlineStr">
        <is>
          <t>開く</t>
        </is>
      </c>
    </row>
    <row r="175">
      <c r="A175" s="2">
        <f>RANK(J175,$J$2:$J$656)</f>
        <v/>
      </c>
      <c r="B175" s="3" t="inlineStr">
        <is>
          <t>線・ポリライン編集</t>
        </is>
      </c>
      <c r="C175" s="3" t="inlineStr">
        <is>
          <t>-</t>
        </is>
      </c>
      <c r="D175" s="4" t="inlineStr">
        <is>
          <t>闭合"伪封闭"的多段线</t>
        </is>
      </c>
      <c r="E175" s="4" t="inlineStr">
        <is>
          <t>始終点一致なのに開いたPLを閉合に修正</t>
        </is>
      </c>
      <c r="F175" s="2" t="n">
        <v>16</v>
      </c>
      <c r="G175" s="2" t="n">
        <v>12</v>
      </c>
      <c r="H175" s="2" t="n">
        <v>12</v>
      </c>
      <c r="I175" s="2" t="n">
        <v>16</v>
      </c>
      <c r="J175" s="5">
        <f>SUM(F175:I175)</f>
        <v/>
      </c>
      <c r="K175" s="4" t="inlineStr">
        <is>
          <t>ハッチ不可PLの修正</t>
        </is>
      </c>
      <c r="L175" s="3" t="inlineStr"/>
      <c r="M175" s="3" t="inlineStr">
        <is>
          <t>晓东CAD家园</t>
        </is>
      </c>
      <c r="N175" s="6" t="inlineStr">
        <is>
          <t>開く</t>
        </is>
      </c>
    </row>
    <row r="176">
      <c r="A176" s="2">
        <f>RANK(J176,$J$2:$J$656)</f>
        <v/>
      </c>
      <c r="B176" s="3" t="inlineStr">
        <is>
          <t>選択・絞り込み</t>
        </is>
      </c>
      <c r="C176" s="3" t="inlineStr">
        <is>
          <t>-</t>
        </is>
      </c>
      <c r="D176" s="4" t="inlineStr">
        <is>
          <t>飞诗 选择易</t>
        </is>
      </c>
      <c r="E176" s="4" t="inlineStr">
        <is>
          <t>条件（層・色・種類等）組合せで高速選択</t>
        </is>
      </c>
      <c r="F176" s="2" t="n">
        <v>10</v>
      </c>
      <c r="G176" s="2" t="n">
        <v>10</v>
      </c>
      <c r="H176" s="2" t="n">
        <v>16</v>
      </c>
      <c r="I176" s="2" t="n">
        <v>20</v>
      </c>
      <c r="J176" s="5">
        <f>SUM(F176:I176)</f>
        <v/>
      </c>
      <c r="K176" s="4" t="inlineStr">
        <is>
          <t>QSELECT強化</t>
        </is>
      </c>
      <c r="L176" s="3" t="inlineStr">
        <is>
          <t>飞诗(fsxm)</t>
        </is>
      </c>
      <c r="M176" s="3" t="inlineStr">
        <is>
          <t>明经CAD社区</t>
        </is>
      </c>
      <c r="N176" s="6" t="inlineStr">
        <is>
          <t>開く</t>
        </is>
      </c>
    </row>
    <row r="177">
      <c r="A177" s="2">
        <f>RANK(J177,$J$2:$J$656)</f>
        <v/>
      </c>
      <c r="B177" s="3" t="inlineStr">
        <is>
          <t>印刷・レイアウト・図枠</t>
        </is>
      </c>
      <c r="C177" s="3" t="inlineStr">
        <is>
          <t>bb</t>
        </is>
      </c>
      <c r="D177" s="4" t="inlineStr">
        <is>
          <t>bb 图纸分幅</t>
        </is>
      </c>
      <c r="E177" s="4" t="inlineStr">
        <is>
          <t>大図面を図枠単位に分割しファイル化</t>
        </is>
      </c>
      <c r="F177" s="2" t="n">
        <v>18</v>
      </c>
      <c r="G177" s="2" t="n">
        <v>10</v>
      </c>
      <c r="H177" s="2" t="n">
        <v>15</v>
      </c>
      <c r="I177" s="2" t="n">
        <v>12</v>
      </c>
      <c r="J177" s="5">
        <f>SUM(F177:I177)</f>
        <v/>
      </c>
      <c r="K177" s="4" t="inlineStr">
        <is>
          <t>図面分割</t>
        </is>
      </c>
      <c r="L177" s="3" t="inlineStr"/>
      <c r="M177" s="3" t="inlineStr">
        <is>
          <t>GitHub: zhugecaomao/AutoLISP</t>
        </is>
      </c>
      <c r="N177" s="6" t="inlineStr">
        <is>
          <t>開く</t>
        </is>
      </c>
    </row>
    <row r="178">
      <c r="A178" s="2">
        <f>RANK(J178,$J$2:$J$656)</f>
        <v/>
      </c>
      <c r="B178" s="3" t="inlineStr">
        <is>
          <t>外部参照・図面管理・一括処理</t>
        </is>
      </c>
      <c r="C178" s="3" t="inlineStr">
        <is>
          <t>batchpurge</t>
        </is>
      </c>
      <c r="D178" s="4" t="inlineStr">
        <is>
          <t>CAD批量清理程序batchpurge</t>
        </is>
      </c>
      <c r="E178" s="4" t="inlineStr">
        <is>
          <t>複数図面を一括PURGE</t>
        </is>
      </c>
      <c r="F178" s="2" t="n">
        <v>14</v>
      </c>
      <c r="G178" s="2" t="n">
        <v>6</v>
      </c>
      <c r="H178" s="2" t="n">
        <v>17</v>
      </c>
      <c r="I178" s="2" t="n">
        <v>18</v>
      </c>
      <c r="J178" s="5">
        <f>SUM(F178:I178)</f>
        <v/>
      </c>
      <c r="K178" s="4" t="inlineStr">
        <is>
          <t>一括PURGE</t>
        </is>
      </c>
      <c r="L178" s="3" t="inlineStr">
        <is>
          <t>米兰达薇薇2899</t>
        </is>
      </c>
      <c r="M178" s="3" t="inlineStr">
        <is>
          <t>明经CAD社区</t>
        </is>
      </c>
      <c r="N178" s="6" t="inlineStr">
        <is>
          <t>開く</t>
        </is>
      </c>
    </row>
    <row r="179">
      <c r="A179" s="2">
        <f>RANK(J179,$J$2:$J$656)</f>
        <v/>
      </c>
      <c r="B179" s="3" t="inlineStr">
        <is>
          <t>文字・テキスト</t>
        </is>
      </c>
      <c r="C179" s="3" t="inlineStr">
        <is>
          <t>C1/C2/C3</t>
        </is>
      </c>
      <c r="D179" s="4" t="inlineStr">
        <is>
          <t>ZW工具 C1 复制递增编号</t>
        </is>
      </c>
      <c r="E179" s="4" t="inlineStr">
        <is>
          <t>ハイフン右側の番号を増減しつつ複写</t>
        </is>
      </c>
      <c r="F179" s="2" t="n">
        <v>14</v>
      </c>
      <c r="G179" s="2" t="n">
        <v>10</v>
      </c>
      <c r="H179" s="2" t="n">
        <v>15</v>
      </c>
      <c r="I179" s="2" t="n">
        <v>16</v>
      </c>
      <c r="J179" s="5">
        <f>SUM(F179:I179)</f>
        <v/>
      </c>
      <c r="K179" s="4" t="inlineStr">
        <is>
          <t>番号増分複写</t>
        </is>
      </c>
      <c r="L179" s="3" t="inlineStr">
        <is>
          <t>y1991427360s</t>
        </is>
      </c>
      <c r="M179" s="3" t="inlineStr">
        <is>
          <t>GitHub: y1991427360s/zwcad-autolisp-tools</t>
        </is>
      </c>
      <c r="N179" s="6" t="inlineStr">
        <is>
          <t>開く</t>
        </is>
      </c>
    </row>
    <row r="180">
      <c r="A180" s="2">
        <f>RANK(J180,$J$2:$J$656)</f>
        <v/>
      </c>
      <c r="B180" s="3" t="inlineStr">
        <is>
          <t>座標・測量・土木</t>
        </is>
      </c>
      <c r="C180" s="3" t="inlineStr">
        <is>
          <t>-</t>
        </is>
      </c>
      <c r="D180" s="4" t="inlineStr">
        <is>
          <t>动态绘制示坡线（遮盖）第二版</t>
        </is>
      </c>
      <c r="E180" s="4" t="inlineStr">
        <is>
          <t>不要部分を隠して法面記号を作図</t>
        </is>
      </c>
      <c r="F180" s="2" t="n">
        <v>18</v>
      </c>
      <c r="G180" s="2" t="n">
        <v>16</v>
      </c>
      <c r="H180" s="2" t="n">
        <v>13</v>
      </c>
      <c r="I180" s="2" t="n">
        <v>8</v>
      </c>
      <c r="J180" s="5">
        <f>SUM(F180:I180)</f>
        <v/>
      </c>
      <c r="K180" s="4" t="inlineStr">
        <is>
          <t>法面記号</t>
        </is>
      </c>
      <c r="L180" s="3" t="inlineStr"/>
      <c r="M180" s="3" t="inlineStr">
        <is>
          <t>晓东CAD家园</t>
        </is>
      </c>
      <c r="N180" s="6" t="inlineStr">
        <is>
          <t>開く</t>
        </is>
      </c>
    </row>
    <row r="181">
      <c r="A181" s="2">
        <f>RANK(J181,$J$2:$J$656)</f>
        <v/>
      </c>
      <c r="B181" s="3" t="inlineStr">
        <is>
          <t>表示・UCS・ビュー</t>
        </is>
      </c>
      <c r="C181" s="3" t="inlineStr">
        <is>
          <t>-</t>
        </is>
      </c>
      <c r="D181" s="4" t="inlineStr">
        <is>
          <t>局部放大工具</t>
        </is>
      </c>
      <c r="E181" s="4" t="inlineStr">
        <is>
          <t>詳細部を円で囲み拡大図作成</t>
        </is>
      </c>
      <c r="F181" s="2" t="n">
        <v>16</v>
      </c>
      <c r="G181" s="2" t="n">
        <v>10</v>
      </c>
      <c r="H181" s="2" t="n">
        <v>14</v>
      </c>
      <c r="I181" s="2" t="n">
        <v>15</v>
      </c>
      <c r="J181" s="5">
        <f>SUM(F181:I181)</f>
        <v/>
      </c>
      <c r="K181" s="4" t="inlineStr">
        <is>
          <t>詳細拡大図</t>
        </is>
      </c>
      <c r="L181" s="3" t="inlineStr">
        <is>
          <t>biya</t>
        </is>
      </c>
      <c r="M181" s="3" t="inlineStr">
        <is>
          <t>明经CAD社区</t>
        </is>
      </c>
      <c r="N181" s="6" t="inlineStr">
        <is>
          <t>開く</t>
        </is>
      </c>
    </row>
    <row r="182">
      <c r="A182" s="2">
        <f>RANK(J182,$J$2:$J$656)</f>
        <v/>
      </c>
      <c r="B182" s="3" t="inlineStr">
        <is>
          <t>建築</t>
        </is>
      </c>
      <c r="C182" s="3" t="inlineStr">
        <is>
          <t>面积汇总/导出面积CSV</t>
        </is>
      </c>
      <c r="D182" s="4" t="inlineStr">
        <is>
          <t>房间面积汇总 (@建筑)</t>
        </is>
      </c>
      <c r="E182" s="4" t="inlineStr">
        <is>
          <t>室名別に面積集計しCSV出力</t>
        </is>
      </c>
      <c r="F182" s="2" t="n">
        <v>19</v>
      </c>
      <c r="G182" s="2" t="n">
        <v>10</v>
      </c>
      <c r="H182" s="2" t="n">
        <v>17</v>
      </c>
      <c r="I182" s="2" t="n">
        <v>9</v>
      </c>
      <c r="J182" s="5">
        <f>SUM(F182:I182)</f>
        <v/>
      </c>
      <c r="K182" s="4" t="inlineStr">
        <is>
          <t>面積表作成</t>
        </is>
      </c>
      <c r="L182" s="3" t="inlineStr">
        <is>
          <t>VitalGG</t>
        </is>
      </c>
      <c r="M182" s="3" t="inlineStr">
        <is>
          <t>@lisp 应用云</t>
        </is>
      </c>
      <c r="N182" s="6" t="inlineStr">
        <is>
          <t>開く</t>
        </is>
      </c>
    </row>
    <row r="183">
      <c r="A183" s="2">
        <f>RANK(J183,$J$2:$J$656)</f>
        <v/>
      </c>
      <c r="B183" s="3" t="inlineStr">
        <is>
          <t>線・ポリライン編集</t>
        </is>
      </c>
      <c r="C183" s="3" t="inlineStr">
        <is>
          <t>-</t>
        </is>
      </c>
      <c r="D183" s="4" t="inlineStr">
        <is>
          <t>批量偏移源码</t>
        </is>
      </c>
      <c r="E183" s="4" t="inlineStr">
        <is>
          <t>多数の線を異なる距離で一括オフセット</t>
        </is>
      </c>
      <c r="F183" s="2" t="n">
        <v>16</v>
      </c>
      <c r="G183" s="2" t="n">
        <v>10</v>
      </c>
      <c r="H183" s="2" t="n">
        <v>14</v>
      </c>
      <c r="I183" s="2" t="n">
        <v>15</v>
      </c>
      <c r="J183" s="5">
        <f>SUM(F183:I183)</f>
        <v/>
      </c>
      <c r="K183" s="4" t="inlineStr">
        <is>
          <t>一括オフセット</t>
        </is>
      </c>
      <c r="L183" s="3" t="inlineStr">
        <is>
          <t>GDFGFGF</t>
        </is>
      </c>
      <c r="M183" s="3" t="inlineStr">
        <is>
          <t>明经CAD社区</t>
        </is>
      </c>
      <c r="N183" s="6" t="inlineStr">
        <is>
          <t>開く</t>
        </is>
      </c>
    </row>
    <row r="184">
      <c r="A184" s="2">
        <f>RANK(J184,$J$2:$J$656)</f>
        <v/>
      </c>
      <c r="B184" s="3" t="inlineStr">
        <is>
          <t>ハッチ・面積・長さ集計</t>
        </is>
      </c>
      <c r="C184" s="3" t="inlineStr">
        <is>
          <t>-</t>
        </is>
      </c>
      <c r="D184" s="4" t="inlineStr">
        <is>
          <t>文字统计求和</t>
        </is>
      </c>
      <c r="E184" s="4" t="inlineStr">
        <is>
          <t>数値文字の合計</t>
        </is>
      </c>
      <c r="F184" s="2" t="n">
        <v>17</v>
      </c>
      <c r="G184" s="2" t="n">
        <v>6</v>
      </c>
      <c r="H184" s="2" t="n">
        <v>15</v>
      </c>
      <c r="I184" s="2" t="n">
        <v>17</v>
      </c>
      <c r="J184" s="5">
        <f>SUM(F184:I184)</f>
        <v/>
      </c>
      <c r="K184" s="4" t="inlineStr">
        <is>
          <t>数値合計</t>
        </is>
      </c>
      <c r="L184" s="3" t="inlineStr"/>
      <c r="M184" s="3" t="inlineStr">
        <is>
          <t>晓东CAD家园</t>
        </is>
      </c>
      <c r="N184" s="6" t="inlineStr">
        <is>
          <t>開く</t>
        </is>
      </c>
    </row>
    <row r="185">
      <c r="A185" s="2">
        <f>RANK(J185,$J$2:$J$656)</f>
        <v/>
      </c>
      <c r="B185" s="3" t="inlineStr">
        <is>
          <t>寸法</t>
        </is>
      </c>
      <c r="C185" s="3" t="inlineStr">
        <is>
          <t>标注求和</t>
        </is>
      </c>
      <c r="D185" s="4" t="inlineStr">
        <is>
          <t>标注求和 (@lisp标注)</t>
        </is>
      </c>
      <c r="E185" s="4" t="inlineStr">
        <is>
          <t>複数寸法値の合計を表示</t>
        </is>
      </c>
      <c r="F185" s="2" t="n">
        <v>18</v>
      </c>
      <c r="G185" s="2" t="n">
        <v>9</v>
      </c>
      <c r="H185" s="2" t="n">
        <v>12</v>
      </c>
      <c r="I185" s="2" t="n">
        <v>16</v>
      </c>
      <c r="J185" s="5">
        <f>SUM(F185:I185)</f>
        <v/>
      </c>
      <c r="K185" s="4" t="inlineStr">
        <is>
          <t>寸法値の合算</t>
        </is>
      </c>
      <c r="L185" s="3" t="inlineStr">
        <is>
          <t>VitalGG</t>
        </is>
      </c>
      <c r="M185" s="3" t="inlineStr">
        <is>
          <t>@lisp 应用云</t>
        </is>
      </c>
      <c r="N185" s="6" t="inlineStr">
        <is>
          <t>開く</t>
        </is>
      </c>
    </row>
    <row r="186">
      <c r="A186" s="2">
        <f>RANK(J186,$J$2:$J$656)</f>
        <v/>
      </c>
      <c r="B186" s="3" t="inlineStr">
        <is>
          <t>文字・テキスト</t>
        </is>
      </c>
      <c r="C186" s="3" t="inlineStr">
        <is>
          <t>格式数字</t>
        </is>
      </c>
      <c r="D186" s="4" t="inlineStr">
        <is>
          <t>格式数字 (@lisp文本)</t>
        </is>
      </c>
      <c r="E186" s="4" t="inlineStr">
        <is>
          <t>文字中の数値の桁数・小数位を一括整形</t>
        </is>
      </c>
      <c r="F186" s="2" t="n">
        <v>18</v>
      </c>
      <c r="G186" s="2" t="n">
        <v>10</v>
      </c>
      <c r="H186" s="2" t="n">
        <v>12</v>
      </c>
      <c r="I186" s="2" t="n">
        <v>15</v>
      </c>
      <c r="J186" s="5">
        <f>SUM(F186:I186)</f>
        <v/>
      </c>
      <c r="K186" s="4" t="inlineStr">
        <is>
          <t>数値書式の一括統一</t>
        </is>
      </c>
      <c r="L186" s="3" t="inlineStr">
        <is>
          <t>VitalGG</t>
        </is>
      </c>
      <c r="M186" s="3" t="inlineStr">
        <is>
          <t>@lisp 应用云</t>
        </is>
      </c>
      <c r="N186" s="6" t="inlineStr">
        <is>
          <t>開く</t>
        </is>
      </c>
    </row>
    <row r="187">
      <c r="A187" s="2">
        <f>RANK(J187,$J$2:$J$656)</f>
        <v/>
      </c>
      <c r="B187" s="3" t="inlineStr">
        <is>
          <t>ブロック・属性</t>
        </is>
      </c>
      <c r="C187" s="3" t="inlineStr">
        <is>
          <t>@block:menu-explode-cliped</t>
        </is>
      </c>
      <c r="D187" s="4" t="inlineStr">
        <is>
          <t>炸剪裁块 (@lisp Block)</t>
        </is>
      </c>
      <c r="E187" s="4" t="inlineStr">
        <is>
          <t>クリップされたブロックを見た目通り分解</t>
        </is>
      </c>
      <c r="F187" s="2" t="n">
        <v>19</v>
      </c>
      <c r="G187" s="2" t="n">
        <v>13</v>
      </c>
      <c r="H187" s="2" t="n">
        <v>10</v>
      </c>
      <c r="I187" s="2" t="n">
        <v>13</v>
      </c>
      <c r="J187" s="5">
        <f>SUM(F187:I187)</f>
        <v/>
      </c>
      <c r="K187" s="4" t="inlineStr">
        <is>
          <t>クリップ境界で切って分解</t>
        </is>
      </c>
      <c r="L187" s="3" t="inlineStr">
        <is>
          <t>VitalGG</t>
        </is>
      </c>
      <c r="M187" s="3" t="inlineStr">
        <is>
          <t>@lisp 应用云</t>
        </is>
      </c>
      <c r="N187" s="6" t="inlineStr">
        <is>
          <t>開く</t>
        </is>
      </c>
    </row>
    <row r="188">
      <c r="A188" s="2">
        <f>RANK(J188,$J$2:$J$656)</f>
        <v/>
      </c>
      <c r="B188" s="3" t="inlineStr">
        <is>
          <t>建築</t>
        </is>
      </c>
      <c r="C188" s="3" t="inlineStr">
        <is>
          <t>-</t>
        </is>
      </c>
      <c r="D188" s="4" t="inlineStr">
        <is>
          <t>点选柱子自动生成梁线</t>
        </is>
      </c>
      <c r="E188" s="4" t="inlineStr">
        <is>
          <t>柱をクリックで梁線を自動作図</t>
        </is>
      </c>
      <c r="F188" s="2" t="n">
        <v>20</v>
      </c>
      <c r="G188" s="2" t="n">
        <v>14</v>
      </c>
      <c r="H188" s="2" t="n">
        <v>15</v>
      </c>
      <c r="I188" s="2" t="n">
        <v>6</v>
      </c>
      <c r="J188" s="5">
        <f>SUM(F188:I188)</f>
        <v/>
      </c>
      <c r="K188" s="4" t="inlineStr">
        <is>
          <t>梁線自動作図</t>
        </is>
      </c>
      <c r="L188" s="3" t="inlineStr">
        <is>
          <t>水沙漠</t>
        </is>
      </c>
      <c r="M188" s="3" t="inlineStr">
        <is>
          <t>明经CAD社区</t>
        </is>
      </c>
      <c r="N188" s="6" t="inlineStr">
        <is>
          <t>開く</t>
        </is>
      </c>
    </row>
    <row r="189">
      <c r="A189" s="2">
        <f>RANK(J189,$J$2:$J$656)</f>
        <v/>
      </c>
      <c r="B189" s="3" t="inlineStr">
        <is>
          <t>構造・鉄骨・機械</t>
        </is>
      </c>
      <c r="C189" s="3" t="inlineStr">
        <is>
          <t>绘柱截面</t>
        </is>
      </c>
      <c r="D189" s="4" t="inlineStr">
        <is>
          <t>绘柱截面 (@lisp结构)</t>
        </is>
      </c>
      <c r="E189" s="4" t="inlineStr">
        <is>
          <t>配筋表の情報から柱断面図を作図</t>
        </is>
      </c>
      <c r="F189" s="2" t="n">
        <v>20</v>
      </c>
      <c r="G189" s="2" t="n">
        <v>14</v>
      </c>
      <c r="H189" s="2" t="n">
        <v>15</v>
      </c>
      <c r="I189" s="2" t="n">
        <v>6</v>
      </c>
      <c r="J189" s="5">
        <f>SUM(F189:I189)</f>
        <v/>
      </c>
      <c r="K189" s="4" t="inlineStr">
        <is>
          <t>表→断面図自動作図</t>
        </is>
      </c>
      <c r="L189" s="3" t="inlineStr">
        <is>
          <t>VitalGG</t>
        </is>
      </c>
      <c r="M189" s="3" t="inlineStr">
        <is>
          <t>@lisp 应用云</t>
        </is>
      </c>
      <c r="N189" s="6" t="inlineStr">
        <is>
          <t>開く</t>
        </is>
      </c>
    </row>
    <row r="190">
      <c r="A190" s="2">
        <f>RANK(J190,$J$2:$J$656)</f>
        <v/>
      </c>
      <c r="B190" s="3" t="inlineStr">
        <is>
          <t>表・Excel連携</t>
        </is>
      </c>
      <c r="C190" s="3" t="inlineStr">
        <is>
          <t>-</t>
        </is>
      </c>
      <c r="D190" s="4" t="inlineStr">
        <is>
          <t>EasyTable For AutoCAD</t>
        </is>
      </c>
      <c r="E190" s="4" t="inlineStr">
        <is>
          <t>Excel⇔CAD表の相互変換</t>
        </is>
      </c>
      <c r="F190" s="2" t="n">
        <v>12</v>
      </c>
      <c r="G190" s="2" t="n">
        <v>8</v>
      </c>
      <c r="H190" s="2" t="n">
        <v>16</v>
      </c>
      <c r="I190" s="2" t="n">
        <v>18</v>
      </c>
      <c r="J190" s="5">
        <f>SUM(F190:I190)</f>
        <v/>
      </c>
      <c r="K190" s="4" t="inlineStr">
        <is>
          <t>データリンクで部分代替</t>
        </is>
      </c>
      <c r="L190" s="3" t="inlineStr">
        <is>
          <t>jingelou</t>
        </is>
      </c>
      <c r="M190" s="3" t="inlineStr">
        <is>
          <t>明经CAD社区</t>
        </is>
      </c>
      <c r="N190" s="6" t="inlineStr">
        <is>
          <t>開く</t>
        </is>
      </c>
    </row>
    <row r="191">
      <c r="A191" s="2">
        <f>RANK(J191,$J$2:$J$656)</f>
        <v/>
      </c>
      <c r="B191" s="3" t="inlineStr">
        <is>
          <t>その他</t>
        </is>
      </c>
      <c r="C191" s="3" t="inlineStr">
        <is>
          <t>GJX</t>
        </is>
      </c>
      <c r="D191" s="4" t="inlineStr">
        <is>
          <t>Excel可编辑自定义工具箱GJX-V4.0</t>
        </is>
      </c>
      <c r="E191" s="4" t="inlineStr">
        <is>
          <t>Excelでメニュー定義できるツール箱</t>
        </is>
      </c>
      <c r="F191" s="2" t="n">
        <v>14</v>
      </c>
      <c r="G191" s="2" t="n">
        <v>14</v>
      </c>
      <c r="H191" s="2" t="n">
        <v>12</v>
      </c>
      <c r="I191" s="2" t="n">
        <v>14</v>
      </c>
      <c r="J191" s="5">
        <f>SUM(F191:I191)</f>
        <v/>
      </c>
      <c r="K191" s="4" t="inlineStr">
        <is>
          <t>Excelでメニュー構築</t>
        </is>
      </c>
      <c r="L191" s="3" t="inlineStr">
        <is>
          <t>yjccwf</t>
        </is>
      </c>
      <c r="M191" s="3" t="inlineStr">
        <is>
          <t>明经CAD社区</t>
        </is>
      </c>
      <c r="N191" s="6" t="inlineStr">
        <is>
          <t>開く</t>
        </is>
      </c>
    </row>
    <row r="192">
      <c r="A192" s="2">
        <f>RANK(J192,$J$2:$J$656)</f>
        <v/>
      </c>
      <c r="B192" s="3" t="inlineStr">
        <is>
          <t>その他</t>
        </is>
      </c>
      <c r="C192" s="3" t="inlineStr">
        <is>
          <t>-</t>
        </is>
      </c>
      <c r="D192" s="4" t="inlineStr">
        <is>
          <t>e派工具箱(XCAD)</t>
        </is>
      </c>
      <c r="E192" s="4" t="inlineStr">
        <is>
          <t>xyp1964氏の大型LISPツール箱と関数群</t>
        </is>
      </c>
      <c r="F192" s="2" t="n">
        <v>12</v>
      </c>
      <c r="G192" s="2" t="n">
        <v>12</v>
      </c>
      <c r="H192" s="2" t="n">
        <v>14</v>
      </c>
      <c r="I192" s="2" t="n">
        <v>16</v>
      </c>
      <c r="J192" s="5">
        <f>SUM(F192:I192)</f>
        <v/>
      </c>
      <c r="K192" s="4" t="inlineStr">
        <is>
          <t>著名ツール箱</t>
        </is>
      </c>
      <c r="L192" s="3" t="inlineStr">
        <is>
          <t>xyp1964</t>
        </is>
      </c>
      <c r="M192" s="3" t="inlineStr">
        <is>
          <t>明经CAD社区</t>
        </is>
      </c>
      <c r="N192" s="6" t="inlineStr">
        <is>
          <t>開く</t>
        </is>
      </c>
    </row>
    <row r="193">
      <c r="A193" s="2">
        <f>RANK(J193,$J$2:$J$656)</f>
        <v/>
      </c>
      <c r="B193" s="3" t="inlineStr">
        <is>
          <t>寸法</t>
        </is>
      </c>
      <c r="C193" s="3" t="inlineStr">
        <is>
          <t>fsa/fat</t>
        </is>
      </c>
      <c r="D193" s="4" t="inlineStr">
        <is>
          <t>fsa 获取标注值再偏移</t>
        </is>
      </c>
      <c r="E193" s="4" t="inlineStr">
        <is>
          <t>寸法値を取得してその距離でオフセット</t>
        </is>
      </c>
      <c r="F193" s="2" t="n">
        <v>16</v>
      </c>
      <c r="G193" s="2" t="n">
        <v>14</v>
      </c>
      <c r="H193" s="2" t="n">
        <v>12</v>
      </c>
      <c r="I193" s="2" t="n">
        <v>12</v>
      </c>
      <c r="J193" s="5">
        <f>SUM(F193:I193)</f>
        <v/>
      </c>
      <c r="K193" s="4" t="inlineStr">
        <is>
          <t>寸法値でオフセット</t>
        </is>
      </c>
      <c r="L193" s="3" t="inlineStr">
        <is>
          <t>jianpf</t>
        </is>
      </c>
      <c r="M193" s="3" t="inlineStr">
        <is>
          <t>GitHub: jianpf/autolisp</t>
        </is>
      </c>
      <c r="N193" s="6" t="inlineStr">
        <is>
          <t>開く</t>
        </is>
      </c>
    </row>
    <row r="194">
      <c r="A194" s="2">
        <f>RANK(J194,$J$2:$J$656)</f>
        <v/>
      </c>
      <c r="B194" s="3" t="inlineStr">
        <is>
          <t>文字・テキスト</t>
        </is>
      </c>
      <c r="C194" s="3" t="inlineStr">
        <is>
          <t>JK_Replace</t>
        </is>
      </c>
      <c r="D194" s="4" t="inlineStr">
        <is>
          <t>JK_Replace 批量替换（记忆）</t>
        </is>
      </c>
      <c r="E194" s="4" t="inlineStr">
        <is>
          <t>最大3組の置換ペアを記憶して一括置換</t>
        </is>
      </c>
      <c r="F194" s="2" t="n">
        <v>12</v>
      </c>
      <c r="G194" s="2" t="n">
        <v>10</v>
      </c>
      <c r="H194" s="2" t="n">
        <v>14</v>
      </c>
      <c r="I194" s="2" t="n">
        <v>18</v>
      </c>
      <c r="J194" s="5">
        <f>SUM(F194:I194)</f>
        <v/>
      </c>
      <c r="K194" s="4" t="inlineStr">
        <is>
          <t>置換ペア記憶</t>
        </is>
      </c>
      <c r="L194" s="3" t="inlineStr">
        <is>
          <t>ixsouler</t>
        </is>
      </c>
      <c r="M194" s="3" t="inlineStr">
        <is>
          <t>GitHub: ixsouler/JK_Toolbox</t>
        </is>
      </c>
      <c r="N194" s="6" t="inlineStr">
        <is>
          <t>開く</t>
        </is>
      </c>
    </row>
    <row r="195">
      <c r="A195" s="2">
        <f>RANK(J195,$J$2:$J$656)</f>
        <v/>
      </c>
      <c r="B195" s="3" t="inlineStr">
        <is>
          <t>選択・絞り込み</t>
        </is>
      </c>
      <c r="C195" s="3" t="inlineStr">
        <is>
          <t>-</t>
        </is>
      </c>
      <c r="D195" s="4" t="inlineStr">
        <is>
          <t>my快速选择4.5+通用特性刷</t>
        </is>
      </c>
      <c r="E195" s="4" t="inlineStr">
        <is>
          <t>高機能クイック選択と特性刷り</t>
        </is>
      </c>
      <c r="F195" s="2" t="n">
        <v>10</v>
      </c>
      <c r="G195" s="2" t="n">
        <v>10</v>
      </c>
      <c r="H195" s="2" t="n">
        <v>15</v>
      </c>
      <c r="I195" s="2" t="n">
        <v>19</v>
      </c>
      <c r="J195" s="5">
        <f>SUM(F195:I195)</f>
        <v/>
      </c>
      <c r="K195" s="4" t="inlineStr">
        <is>
          <t>QSELECT強化</t>
        </is>
      </c>
      <c r="L195" s="3" t="inlineStr">
        <is>
          <t>wzg356</t>
        </is>
      </c>
      <c r="M195" s="3" t="inlineStr">
        <is>
          <t>明经CAD社区</t>
        </is>
      </c>
      <c r="N195" s="6" t="inlineStr">
        <is>
          <t>開く</t>
        </is>
      </c>
    </row>
    <row r="196">
      <c r="A196" s="2">
        <f>RANK(J196,$J$2:$J$656)</f>
        <v/>
      </c>
      <c r="B196" s="3" t="inlineStr">
        <is>
          <t>外部参照・図面管理・一括処理</t>
        </is>
      </c>
      <c r="C196" s="3" t="inlineStr">
        <is>
          <t>合并PDF/PDF加水印</t>
        </is>
      </c>
      <c r="D196" s="4" t="inlineStr">
        <is>
          <t>PDF处理工具 (pdftk)</t>
        </is>
      </c>
      <c r="E196" s="4" t="inlineStr">
        <is>
          <t>PDFの結合・分割・透かし・暗号化</t>
        </is>
      </c>
      <c r="F196" s="2" t="n">
        <v>15</v>
      </c>
      <c r="G196" s="2" t="n">
        <v>10</v>
      </c>
      <c r="H196" s="2" t="n">
        <v>13</v>
      </c>
      <c r="I196" s="2" t="n">
        <v>16</v>
      </c>
      <c r="J196" s="5">
        <f>SUM(F196:I196)</f>
        <v/>
      </c>
      <c r="K196" s="4" t="inlineStr">
        <is>
          <t>CAD内からPDF後処理</t>
        </is>
      </c>
      <c r="L196" s="3" t="inlineStr">
        <is>
          <t>VitalGG</t>
        </is>
      </c>
      <c r="M196" s="3" t="inlineStr">
        <is>
          <t>@lisp 应用云</t>
        </is>
      </c>
      <c r="N196" s="6" t="inlineStr">
        <is>
          <t>開く</t>
        </is>
      </c>
    </row>
    <row r="197">
      <c r="A197" s="2">
        <f>RANK(J197,$J$2:$J$656)</f>
        <v/>
      </c>
      <c r="B197" s="3" t="inlineStr">
        <is>
          <t>作図</t>
        </is>
      </c>
      <c r="C197" s="3" t="inlineStr">
        <is>
          <t>QR二维码生成</t>
        </is>
      </c>
      <c r="D197" s="4" t="inlineStr">
        <is>
          <t>QR二维码生成</t>
        </is>
      </c>
      <c r="E197" s="4" t="inlineStr">
        <is>
          <t>QRコードをポリラインで図面に作図</t>
        </is>
      </c>
      <c r="F197" s="2" t="n">
        <v>19</v>
      </c>
      <c r="G197" s="2" t="n">
        <v>18</v>
      </c>
      <c r="H197" s="2" t="n">
        <v>6</v>
      </c>
      <c r="I197" s="2" t="n">
        <v>11</v>
      </c>
      <c r="J197" s="5">
        <f>SUM(F197:I197)</f>
        <v/>
      </c>
      <c r="K197" s="4" t="inlineStr">
        <is>
          <t>図面にQR埋込</t>
        </is>
      </c>
      <c r="L197" s="3" t="inlineStr">
        <is>
          <t>VitalGG</t>
        </is>
      </c>
      <c r="M197" s="3" t="inlineStr">
        <is>
          <t>@lisp 应用云</t>
        </is>
      </c>
      <c r="N197" s="6" t="inlineStr">
        <is>
          <t>開く</t>
        </is>
      </c>
    </row>
    <row r="198">
      <c r="A198" s="2">
        <f>RANK(J198,$J$2:$J$656)</f>
        <v/>
      </c>
      <c r="B198" s="3" t="inlineStr">
        <is>
          <t>建築</t>
        </is>
      </c>
      <c r="C198" s="3" t="inlineStr">
        <is>
          <t>TZ/FM</t>
        </is>
      </c>
      <c r="D198" s="4" t="inlineStr">
        <is>
          <t>RuiCAD 假三维轴测/俯视投影</t>
        </is>
      </c>
      <c r="E198" s="4" t="inlineStr">
        <is>
          <t>立面から疑似3D・平面投影を自動生成</t>
        </is>
      </c>
      <c r="F198" s="2" t="n">
        <v>19</v>
      </c>
      <c r="G198" s="2" t="n">
        <v>16</v>
      </c>
      <c r="H198" s="2" t="n">
        <v>13</v>
      </c>
      <c r="I198" s="2" t="n">
        <v>6</v>
      </c>
      <c r="J198" s="5">
        <f>SUM(F198:I198)</f>
        <v/>
      </c>
      <c r="K198" s="4" t="inlineStr">
        <is>
          <t>立面→投影生成</t>
        </is>
      </c>
      <c r="L198" s="3" t="inlineStr">
        <is>
          <t>sschiplee</t>
        </is>
      </c>
      <c r="M198" s="3" t="inlineStr">
        <is>
          <t>GitHub: sschiplee/RuiCAD</t>
        </is>
      </c>
      <c r="N198" s="6" t="inlineStr">
        <is>
          <t>開く</t>
        </is>
      </c>
    </row>
    <row r="199">
      <c r="A199" s="2">
        <f>RANK(J199,$J$2:$J$656)</f>
        <v/>
      </c>
      <c r="B199" s="3" t="inlineStr">
        <is>
          <t>印刷・レイアウト・図枠</t>
        </is>
      </c>
      <c r="C199" s="3" t="inlineStr">
        <is>
          <t>HAO</t>
        </is>
      </c>
      <c r="D199" s="4" t="inlineStr">
        <is>
          <t>ZW工具 HAO 图框批量填页码</t>
        </is>
      </c>
      <c r="E199" s="4" t="inlineStr">
        <is>
          <t>図枠を選んでページ番号・档案番号を一括記入</t>
        </is>
      </c>
      <c r="F199" s="2" t="n">
        <v>16</v>
      </c>
      <c r="G199" s="2" t="n">
        <v>8</v>
      </c>
      <c r="H199" s="2" t="n">
        <v>16</v>
      </c>
      <c r="I199" s="2" t="n">
        <v>14</v>
      </c>
      <c r="J199" s="5">
        <f>SUM(F199:I199)</f>
        <v/>
      </c>
      <c r="K199" s="4" t="inlineStr">
        <is>
          <t>頁番号一括</t>
        </is>
      </c>
      <c r="L199" s="3" t="inlineStr">
        <is>
          <t>y1991427360s</t>
        </is>
      </c>
      <c r="M199" s="3" t="inlineStr">
        <is>
          <t>GitHub: y1991427360s/zwcad-autolisp-tools</t>
        </is>
      </c>
      <c r="N199" s="6" t="inlineStr">
        <is>
          <t>開く</t>
        </is>
      </c>
    </row>
    <row r="200">
      <c r="A200" s="2">
        <f>RANK(J200,$J$2:$J$656)</f>
        <v/>
      </c>
      <c r="B200" s="3" t="inlineStr">
        <is>
          <t>印刷・レイアウト・図枠</t>
        </is>
      </c>
      <c r="C200" s="3" t="inlineStr">
        <is>
          <t>ZDML</t>
        </is>
      </c>
      <c r="D200" s="4" t="inlineStr">
        <is>
          <t>ZW工具 ZDML 图框生成目录</t>
        </is>
      </c>
      <c r="E200" s="4" t="inlineStr">
        <is>
          <t>複数図枠ブロックから目録文字を生成</t>
        </is>
      </c>
      <c r="F200" s="2" t="n">
        <v>16</v>
      </c>
      <c r="G200" s="2" t="n">
        <v>8</v>
      </c>
      <c r="H200" s="2" t="n">
        <v>16</v>
      </c>
      <c r="I200" s="2" t="n">
        <v>14</v>
      </c>
      <c r="J200" s="5">
        <f>SUM(F200:I200)</f>
        <v/>
      </c>
      <c r="K200" s="4" t="inlineStr">
        <is>
          <t>目録生成</t>
        </is>
      </c>
      <c r="L200" s="3" t="inlineStr">
        <is>
          <t>y1991427360s</t>
        </is>
      </c>
      <c r="M200" s="3" t="inlineStr">
        <is>
          <t>GitHub: y1991427360s/zwcad-autolisp-tools</t>
        </is>
      </c>
      <c r="N200" s="6" t="inlineStr">
        <is>
          <t>開く</t>
        </is>
      </c>
    </row>
    <row r="201">
      <c r="A201" s="2">
        <f>RANK(J201,$J$2:$J$656)</f>
        <v/>
      </c>
      <c r="B201" s="3" t="inlineStr">
        <is>
          <t>作図</t>
        </is>
      </c>
      <c r="C201" s="3" t="inlineStr">
        <is>
          <t>-</t>
        </is>
      </c>
      <c r="D201" s="4" t="inlineStr">
        <is>
          <t>关于套料（源码）</t>
        </is>
      </c>
      <c r="E201" s="4" t="inlineStr">
        <is>
          <t>板取り（ネスティング）の検討ソース</t>
        </is>
      </c>
      <c r="F201" s="2" t="n">
        <v>20</v>
      </c>
      <c r="G201" s="2" t="n">
        <v>16</v>
      </c>
      <c r="H201" s="2" t="n">
        <v>12</v>
      </c>
      <c r="I201" s="2" t="n">
        <v>6</v>
      </c>
      <c r="J201" s="5">
        <f>SUM(F201:I201)</f>
        <v/>
      </c>
      <c r="K201" s="4" t="inlineStr">
        <is>
          <t>ネスティング</t>
        </is>
      </c>
      <c r="L201" s="3" t="inlineStr">
        <is>
          <t>尘缘一生</t>
        </is>
      </c>
      <c r="M201" s="3" t="inlineStr">
        <is>
          <t>明经CAD社区</t>
        </is>
      </c>
      <c r="N201" s="6" t="inlineStr">
        <is>
          <t>開く</t>
        </is>
      </c>
    </row>
    <row r="202">
      <c r="A202" s="2">
        <f>RANK(J202,$J$2:$J$656)</f>
        <v/>
      </c>
      <c r="B202" s="3" t="inlineStr">
        <is>
          <t>ブロック・属性</t>
        </is>
      </c>
      <c r="C202" s="3" t="inlineStr">
        <is>
          <t>@block:write-file</t>
        </is>
      </c>
      <c r="D202" s="4" t="inlineStr">
        <is>
          <t>写块到库 (@lisp Block)</t>
        </is>
      </c>
      <c r="E202" s="4" t="inlineStr">
        <is>
          <t>図面内ブロックを一括でライブラリへ書出</t>
        </is>
      </c>
      <c r="F202" s="2" t="n">
        <v>16</v>
      </c>
      <c r="G202" s="2" t="n">
        <v>8</v>
      </c>
      <c r="H202" s="2" t="n">
        <v>14</v>
      </c>
      <c r="I202" s="2" t="n">
        <v>16</v>
      </c>
      <c r="J202" s="5">
        <f>SUM(F202:I202)</f>
        <v/>
      </c>
      <c r="K202" s="4" t="inlineStr">
        <is>
          <t>一括WBLOCK</t>
        </is>
      </c>
      <c r="L202" s="3" t="inlineStr">
        <is>
          <t>VitalGG</t>
        </is>
      </c>
      <c r="M202" s="3" t="inlineStr">
        <is>
          <t>@lisp 应用云</t>
        </is>
      </c>
      <c r="N202" s="6" t="inlineStr">
        <is>
          <t>開く</t>
        </is>
      </c>
    </row>
    <row r="203">
      <c r="A203" s="2">
        <f>RANK(J203,$J$2:$J$656)</f>
        <v/>
      </c>
      <c r="B203" s="3" t="inlineStr">
        <is>
          <t>作図</t>
        </is>
      </c>
      <c r="C203" s="3" t="inlineStr">
        <is>
          <t>-</t>
        </is>
      </c>
      <c r="D203" s="4" t="inlineStr">
        <is>
          <t>动态填充：比例、角度</t>
        </is>
      </c>
      <c r="E203" s="4" t="inlineStr">
        <is>
          <t>ハッチの尺度・角度を動的調整</t>
        </is>
      </c>
      <c r="F203" s="2" t="n">
        <v>14</v>
      </c>
      <c r="G203" s="2" t="n">
        <v>16</v>
      </c>
      <c r="H203" s="2" t="n">
        <v>10</v>
      </c>
      <c r="I203" s="2" t="n">
        <v>14</v>
      </c>
      <c r="J203" s="5">
        <f>SUM(F203:I203)</f>
        <v/>
      </c>
      <c r="K203" s="4" t="inlineStr">
        <is>
          <t>動的ハッチ調整</t>
        </is>
      </c>
      <c r="L203" s="3" t="inlineStr">
        <is>
          <t>尘缘一生</t>
        </is>
      </c>
      <c r="M203" s="3" t="inlineStr">
        <is>
          <t>明经CAD社区</t>
        </is>
      </c>
      <c r="N203" s="6" t="inlineStr">
        <is>
          <t>開く</t>
        </is>
      </c>
    </row>
    <row r="204">
      <c r="A204" s="2">
        <f>RANK(J204,$J$2:$J$656)</f>
        <v/>
      </c>
      <c r="B204" s="3" t="inlineStr">
        <is>
          <t>線・ポリライン編集</t>
        </is>
      </c>
      <c r="C204" s="3" t="inlineStr">
        <is>
          <t>垂线缺口</t>
        </is>
      </c>
      <c r="D204" s="4" t="inlineStr">
        <is>
          <t>垂线缺口 (@lisp curve)</t>
        </is>
      </c>
      <c r="E204" s="4" t="inlineStr">
        <is>
          <t>T字交点で線に切欠き（跨ぎ）を作成</t>
        </is>
      </c>
      <c r="F204" s="2" t="n">
        <v>18</v>
      </c>
      <c r="G204" s="2" t="n">
        <v>14</v>
      </c>
      <c r="H204" s="2" t="n">
        <v>10</v>
      </c>
      <c r="I204" s="2" t="n">
        <v>12</v>
      </c>
      <c r="J204" s="5">
        <f>SUM(F204:I204)</f>
        <v/>
      </c>
      <c r="K204" s="4" t="inlineStr">
        <is>
          <t>配線図等の交差表現</t>
        </is>
      </c>
      <c r="L204" s="3" t="inlineStr">
        <is>
          <t>VitalGG</t>
        </is>
      </c>
      <c r="M204" s="3" t="inlineStr">
        <is>
          <t>@lisp 应用云</t>
        </is>
      </c>
      <c r="N204" s="6" t="inlineStr">
        <is>
          <t>開く</t>
        </is>
      </c>
    </row>
    <row r="205">
      <c r="A205" s="2">
        <f>RANK(J205,$J$2:$J$656)</f>
        <v/>
      </c>
      <c r="B205" s="3" t="inlineStr">
        <is>
          <t>ブロック・属性</t>
        </is>
      </c>
      <c r="C205" s="3" t="inlineStr">
        <is>
          <t>@block:overblocks</t>
        </is>
      </c>
      <c r="D205" s="4" t="inlineStr">
        <is>
          <t>定位重叠块 (@lisp Block)</t>
        </is>
      </c>
      <c r="E205" s="4" t="inlineStr">
        <is>
          <t>重なった同名/任意ブロックを検出</t>
        </is>
      </c>
      <c r="F205" s="2" t="n">
        <v>14</v>
      </c>
      <c r="G205" s="2" t="n">
        <v>12</v>
      </c>
      <c r="H205" s="2" t="n">
        <v>12</v>
      </c>
      <c r="I205" s="2" t="n">
        <v>16</v>
      </c>
      <c r="J205" s="5">
        <f>SUM(F205:I205)</f>
        <v/>
      </c>
      <c r="K205" s="4" t="inlineStr">
        <is>
          <t>重複ブロック点検</t>
        </is>
      </c>
      <c r="L205" s="3" t="inlineStr">
        <is>
          <t>VitalGG</t>
        </is>
      </c>
      <c r="M205" s="3" t="inlineStr">
        <is>
          <t>@lisp 应用云</t>
        </is>
      </c>
      <c r="N205" s="6" t="inlineStr">
        <is>
          <t>開く</t>
        </is>
      </c>
    </row>
    <row r="206">
      <c r="A206" s="2">
        <f>RANK(J206,$J$2:$J$656)</f>
        <v/>
      </c>
      <c r="B206" s="3" t="inlineStr">
        <is>
          <t>作図</t>
        </is>
      </c>
      <c r="C206" s="3" t="inlineStr">
        <is>
          <t>-</t>
        </is>
      </c>
      <c r="D206" s="4" t="inlineStr">
        <is>
          <t>对象按间距排列均布对齐</t>
        </is>
      </c>
      <c r="E206" s="4" t="inlineStr">
        <is>
          <t>図形を等間隔・均等・整列配置</t>
        </is>
      </c>
      <c r="F206" s="2" t="n">
        <v>14</v>
      </c>
      <c r="G206" s="2" t="n">
        <v>8</v>
      </c>
      <c r="H206" s="2" t="n">
        <v>14</v>
      </c>
      <c r="I206" s="2" t="n">
        <v>18</v>
      </c>
      <c r="J206" s="5">
        <f>SUM(F206:I206)</f>
        <v/>
      </c>
      <c r="K206" s="4" t="inlineStr">
        <is>
          <t>等間隔配置</t>
        </is>
      </c>
      <c r="L206" s="3" t="inlineStr">
        <is>
          <t>aws</t>
        </is>
      </c>
      <c r="M206" s="3" t="inlineStr">
        <is>
          <t>明经CAD社区</t>
        </is>
      </c>
      <c r="N206" s="6" t="inlineStr">
        <is>
          <t>開く</t>
        </is>
      </c>
    </row>
    <row r="207">
      <c r="A207" s="2">
        <f>RANK(J207,$J$2:$J$656)</f>
        <v/>
      </c>
      <c r="B207" s="3" t="inlineStr">
        <is>
          <t>表示・UCS・ビュー</t>
        </is>
      </c>
      <c r="C207" s="3" t="inlineStr">
        <is>
          <t>-</t>
        </is>
      </c>
      <c r="D207" s="4" t="inlineStr">
        <is>
          <t>平面图转一点透视</t>
        </is>
      </c>
      <c r="E207" s="4" t="inlineStr">
        <is>
          <t>平面図を1点透視図に変換</t>
        </is>
      </c>
      <c r="F207" s="2" t="n">
        <v>20</v>
      </c>
      <c r="G207" s="2" t="n">
        <v>18</v>
      </c>
      <c r="H207" s="2" t="n">
        <v>8</v>
      </c>
      <c r="I207" s="2" t="n">
        <v>8</v>
      </c>
      <c r="J207" s="5">
        <f>SUM(F207:I207)</f>
        <v/>
      </c>
      <c r="K207" s="4" t="inlineStr">
        <is>
          <t>透視図変換</t>
        </is>
      </c>
      <c r="L207" s="3" t="inlineStr">
        <is>
          <t>a197712939</t>
        </is>
      </c>
      <c r="M207" s="3" t="inlineStr">
        <is>
          <t>明经CAD社区</t>
        </is>
      </c>
      <c r="N207" s="6" t="inlineStr">
        <is>
          <t>開く</t>
        </is>
      </c>
    </row>
    <row r="208">
      <c r="A208" s="2">
        <f>RANK(J208,$J$2:$J$656)</f>
        <v/>
      </c>
      <c r="B208" s="3" t="inlineStr">
        <is>
          <t>外部参照・図面管理・一括処理</t>
        </is>
      </c>
      <c r="C208" s="3" t="inlineStr">
        <is>
          <t>打开目录</t>
        </is>
      </c>
      <c r="D208" s="4" t="inlineStr">
        <is>
          <t>打开目录DWG (@lisp会话)</t>
        </is>
      </c>
      <c r="E208" s="4" t="inlineStr">
        <is>
          <t>フォルダ内の全DWGを一括で開く</t>
        </is>
      </c>
      <c r="F208" s="2" t="n">
        <v>16</v>
      </c>
      <c r="G208" s="2" t="n">
        <v>8</v>
      </c>
      <c r="H208" s="2" t="n">
        <v>12</v>
      </c>
      <c r="I208" s="2" t="n">
        <v>18</v>
      </c>
      <c r="J208" s="5">
        <f>SUM(F208:I208)</f>
        <v/>
      </c>
      <c r="K208" s="4" t="inlineStr">
        <is>
          <t>一括オープン</t>
        </is>
      </c>
      <c r="L208" s="3" t="inlineStr">
        <is>
          <t>VitalGG</t>
        </is>
      </c>
      <c r="M208" s="3" t="inlineStr">
        <is>
          <t>@lisp 应用云</t>
        </is>
      </c>
      <c r="N208" s="6" t="inlineStr">
        <is>
          <t>開く</t>
        </is>
      </c>
    </row>
    <row r="209">
      <c r="A209" s="2">
        <f>RANK(J209,$J$2:$J$656)</f>
        <v/>
      </c>
      <c r="B209" s="3" t="inlineStr">
        <is>
          <t>寸法</t>
        </is>
      </c>
      <c r="C209" s="3" t="inlineStr">
        <is>
          <t>批量标注线长</t>
        </is>
      </c>
      <c r="D209" s="4" t="inlineStr">
        <is>
          <t>批量标注线长</t>
        </is>
      </c>
      <c r="E209" s="4" t="inlineStr">
        <is>
          <t>直線・円弧等の長さを一括寸法記入</t>
        </is>
      </c>
      <c r="F209" s="2" t="n">
        <v>16</v>
      </c>
      <c r="G209" s="2" t="n">
        <v>6</v>
      </c>
      <c r="H209" s="2" t="n">
        <v>15</v>
      </c>
      <c r="I209" s="2" t="n">
        <v>17</v>
      </c>
      <c r="J209" s="5">
        <f>SUM(F209:I209)</f>
        <v/>
      </c>
      <c r="K209" s="4" t="inlineStr">
        <is>
          <t>一括長さ記入</t>
        </is>
      </c>
      <c r="L209" s="3" t="inlineStr">
        <is>
          <t>捉刀人</t>
        </is>
      </c>
      <c r="M209" s="3" t="inlineStr">
        <is>
          <t>@lisp 应用云</t>
        </is>
      </c>
      <c r="N209" s="6" t="inlineStr">
        <is>
          <t>開く</t>
        </is>
      </c>
    </row>
    <row r="210">
      <c r="A210" s="2">
        <f>RANK(J210,$J$2:$J$656)</f>
        <v/>
      </c>
      <c r="B210" s="3" t="inlineStr">
        <is>
          <t>ブロック・属性</t>
        </is>
      </c>
      <c r="C210" s="3" t="inlineStr">
        <is>
          <t>@block:rotate-blk-by-line</t>
        </is>
      </c>
      <c r="D210" s="4" t="inlineStr">
        <is>
          <t>按线转块 (@lisp Block)</t>
        </is>
      </c>
      <c r="E210" s="4" t="inlineStr">
        <is>
          <t>ブロック内の線を水平にするよう回転</t>
        </is>
      </c>
      <c r="F210" s="2" t="n">
        <v>17</v>
      </c>
      <c r="G210" s="2" t="n">
        <v>15</v>
      </c>
      <c r="H210" s="2" t="n">
        <v>9</v>
      </c>
      <c r="I210" s="2" t="n">
        <v>13</v>
      </c>
      <c r="J210" s="5">
        <f>SUM(F210:I210)</f>
        <v/>
      </c>
      <c r="K210" s="4" t="inlineStr">
        <is>
          <t>内部線基準の回転</t>
        </is>
      </c>
      <c r="L210" s="3" t="inlineStr">
        <is>
          <t>VitalGG</t>
        </is>
      </c>
      <c r="M210" s="3" t="inlineStr">
        <is>
          <t>@lisp 应用云</t>
        </is>
      </c>
      <c r="N210" s="6" t="inlineStr">
        <is>
          <t>開く</t>
        </is>
      </c>
    </row>
    <row r="211">
      <c r="A211" s="2">
        <f>RANK(J211,$J$2:$J$656)</f>
        <v/>
      </c>
      <c r="B211" s="3" t="inlineStr">
        <is>
          <t>文字・テキスト</t>
        </is>
      </c>
      <c r="C211" s="3" t="inlineStr">
        <is>
          <t>文字样式批量修改器</t>
        </is>
      </c>
      <c r="D211" s="4" t="inlineStr">
        <is>
          <t>文字样式批量修改器</t>
        </is>
      </c>
      <c r="E211" s="4" t="inlineStr">
        <is>
          <t>全文字スタイルのフォントを一括変更</t>
        </is>
      </c>
      <c r="F211" s="2" t="n">
        <v>13</v>
      </c>
      <c r="G211" s="2" t="n">
        <v>6</v>
      </c>
      <c r="H211" s="2" t="n">
        <v>15</v>
      </c>
      <c r="I211" s="2" t="n">
        <v>20</v>
      </c>
      <c r="J211" s="5">
        <f>SUM(F211:I211)</f>
        <v/>
      </c>
      <c r="K211" s="4" t="inlineStr">
        <is>
          <t>文字化け対策の定番</t>
        </is>
      </c>
      <c r="L211" s="3" t="inlineStr">
        <is>
          <t>蔡建伟</t>
        </is>
      </c>
      <c r="M211" s="3" t="inlineStr">
        <is>
          <t>@lisp 应用云</t>
        </is>
      </c>
      <c r="N211" s="6" t="inlineStr">
        <is>
          <t>開く</t>
        </is>
      </c>
    </row>
    <row r="212">
      <c r="A212" s="2">
        <f>RANK(J212,$J$2:$J$656)</f>
        <v/>
      </c>
      <c r="B212" s="3" t="inlineStr">
        <is>
          <t>文字・テキスト</t>
        </is>
      </c>
      <c r="C212" s="3" t="inlineStr">
        <is>
          <t>文本加框</t>
        </is>
      </c>
      <c r="D212" s="4" t="inlineStr">
        <is>
          <t>文本加框 (@lisp文本)</t>
        </is>
      </c>
      <c r="E212" s="4" t="inlineStr">
        <is>
          <t>一致する文字を検索し矩形/円で囲む</t>
        </is>
      </c>
      <c r="F212" s="2" t="n">
        <v>16</v>
      </c>
      <c r="G212" s="2" t="n">
        <v>10</v>
      </c>
      <c r="H212" s="2" t="n">
        <v>12</v>
      </c>
      <c r="I212" s="2" t="n">
        <v>16</v>
      </c>
      <c r="J212" s="5">
        <f>SUM(F212:I212)</f>
        <v/>
      </c>
      <c r="K212" s="4" t="inlineStr">
        <is>
          <t>検索＋囲み一括</t>
        </is>
      </c>
      <c r="L212" s="3" t="inlineStr">
        <is>
          <t>VitalGG</t>
        </is>
      </c>
      <c r="M212" s="3" t="inlineStr">
        <is>
          <t>@lisp 应用云</t>
        </is>
      </c>
      <c r="N212" s="6" t="inlineStr">
        <is>
          <t>開く</t>
        </is>
      </c>
    </row>
    <row r="213">
      <c r="A213" s="2">
        <f>RANK(J213,$J$2:$J$656)</f>
        <v/>
      </c>
      <c r="B213" s="3" t="inlineStr">
        <is>
          <t>線・ポリライン編集</t>
        </is>
      </c>
      <c r="C213" s="3" t="inlineStr">
        <is>
          <t>检查闭合</t>
        </is>
      </c>
      <c r="D213" s="4" t="inlineStr">
        <is>
          <t>检查闭合 (@lisp curve)</t>
        </is>
      </c>
      <c r="E213" s="4" t="inlineStr">
        <is>
          <t>曲線端点の閉合状態をチェック・マーク</t>
        </is>
      </c>
      <c r="F213" s="2" t="n">
        <v>17</v>
      </c>
      <c r="G213" s="2" t="n">
        <v>12</v>
      </c>
      <c r="H213" s="2" t="n">
        <v>11</v>
      </c>
      <c r="I213" s="2" t="n">
        <v>14</v>
      </c>
      <c r="J213" s="5">
        <f>SUM(F213:I213)</f>
        <v/>
      </c>
      <c r="K213" s="4" t="inlineStr">
        <is>
          <t>隙間チェックに便利</t>
        </is>
      </c>
      <c r="L213" s="3" t="inlineStr">
        <is>
          <t>VitalGG</t>
        </is>
      </c>
      <c r="M213" s="3" t="inlineStr">
        <is>
          <t>@lisp 应用云</t>
        </is>
      </c>
      <c r="N213" s="6" t="inlineStr">
        <is>
          <t>開く</t>
        </is>
      </c>
    </row>
    <row r="214">
      <c r="A214" s="2">
        <f>RANK(J214,$J$2:$J$656)</f>
        <v/>
      </c>
      <c r="B214" s="3" t="inlineStr">
        <is>
          <t>建築</t>
        </is>
      </c>
      <c r="C214" s="3" t="inlineStr">
        <is>
          <t>-</t>
        </is>
      </c>
      <c r="D214" s="4" t="inlineStr">
        <is>
          <t>源泉设计 自动轴号尺寸线</t>
        </is>
      </c>
      <c r="E214" s="4" t="inlineStr">
        <is>
          <t>通り芯記号と寸法線を自動作図</t>
        </is>
      </c>
      <c r="F214" s="2" t="n">
        <v>18</v>
      </c>
      <c r="G214" s="2" t="n">
        <v>10</v>
      </c>
      <c r="H214" s="2" t="n">
        <v>17</v>
      </c>
      <c r="I214" s="2" t="n">
        <v>9</v>
      </c>
      <c r="J214" s="5">
        <f>SUM(F214:I214)</f>
        <v/>
      </c>
      <c r="K214" s="4" t="inlineStr">
        <is>
          <t>通り芯自動作図</t>
        </is>
      </c>
      <c r="L214" s="3" t="inlineStr">
        <is>
          <t>源泉</t>
        </is>
      </c>
      <c r="M214" s="3" t="inlineStr">
        <is>
          <t>源泉设计</t>
        </is>
      </c>
      <c r="N214" s="6" t="inlineStr">
        <is>
          <t>開く</t>
        </is>
      </c>
    </row>
    <row r="215">
      <c r="A215" s="2">
        <f>RANK(J215,$J$2:$J$656)</f>
        <v/>
      </c>
      <c r="B215" s="3" t="inlineStr">
        <is>
          <t>印刷・レイアウト・図枠</t>
        </is>
      </c>
      <c r="C215" s="3" t="inlineStr">
        <is>
          <t>-</t>
        </is>
      </c>
      <c r="D215" s="4" t="inlineStr">
        <is>
          <t>简易的批量打印</t>
        </is>
      </c>
      <c r="E215" s="4" t="inlineStr">
        <is>
          <t>簡易な一括印刷</t>
        </is>
      </c>
      <c r="F215" s="2" t="n">
        <v>12</v>
      </c>
      <c r="G215" s="2" t="n">
        <v>6</v>
      </c>
      <c r="H215" s="2" t="n">
        <v>18</v>
      </c>
      <c r="I215" s="2" t="n">
        <v>18</v>
      </c>
      <c r="J215" s="5">
        <f>SUM(F215:I215)</f>
        <v/>
      </c>
      <c r="K215" s="4" t="inlineStr">
        <is>
          <t>一括印刷</t>
        </is>
      </c>
      <c r="L215" s="3" t="inlineStr">
        <is>
          <t>统一网名</t>
        </is>
      </c>
      <c r="M215" s="3" t="inlineStr">
        <is>
          <t>明经CAD社区</t>
        </is>
      </c>
      <c r="N215" s="6" t="inlineStr">
        <is>
          <t>開く</t>
        </is>
      </c>
    </row>
    <row r="216">
      <c r="A216" s="2">
        <f>RANK(J216,$J$2:$J$656)</f>
        <v/>
      </c>
      <c r="B216" s="3" t="inlineStr">
        <is>
          <t>選択・絞り込み</t>
        </is>
      </c>
      <c r="C216" s="3" t="inlineStr">
        <is>
          <t>线域选择</t>
        </is>
      </c>
      <c r="D216" s="4" t="inlineStr">
        <is>
          <t>线域选择 (@lisp选择)</t>
        </is>
      </c>
      <c r="E216" s="4" t="inlineStr">
        <is>
          <t>閉じたポリライン内の図形を選択</t>
        </is>
      </c>
      <c r="F216" s="2" t="n">
        <v>12</v>
      </c>
      <c r="G216" s="2" t="n">
        <v>8</v>
      </c>
      <c r="H216" s="2" t="n">
        <v>14</v>
      </c>
      <c r="I216" s="2" t="n">
        <v>20</v>
      </c>
      <c r="J216" s="5">
        <f>SUM(F216:I216)</f>
        <v/>
      </c>
      <c r="K216" s="4" t="inlineStr">
        <is>
          <t>WP選択の自動化</t>
        </is>
      </c>
      <c r="L216" s="3" t="inlineStr">
        <is>
          <t>VitalGG</t>
        </is>
      </c>
      <c r="M216" s="3" t="inlineStr">
        <is>
          <t>@lisp 应用云</t>
        </is>
      </c>
      <c r="N216" s="6" t="inlineStr">
        <is>
          <t>開く</t>
        </is>
      </c>
    </row>
    <row r="217">
      <c r="A217" s="2">
        <f>RANK(J217,$J$2:$J$656)</f>
        <v/>
      </c>
      <c r="B217" s="3" t="inlineStr">
        <is>
          <t>ハッチ・面積・長さ集計</t>
        </is>
      </c>
      <c r="C217" s="3" t="inlineStr">
        <is>
          <t>-</t>
        </is>
      </c>
      <c r="D217" s="4" t="inlineStr">
        <is>
          <t>统计图块并列表/统计文字并列表</t>
        </is>
      </c>
      <c r="E217" s="4" t="inlineStr">
        <is>
          <t>ブロック・文字を集計して表作成</t>
        </is>
      </c>
      <c r="F217" s="2" t="n">
        <v>12</v>
      </c>
      <c r="G217" s="2" t="n">
        <v>8</v>
      </c>
      <c r="H217" s="2" t="n">
        <v>16</v>
      </c>
      <c r="I217" s="2" t="n">
        <v>18</v>
      </c>
      <c r="J217" s="5">
        <f>SUM(F217:I217)</f>
        <v/>
      </c>
      <c r="K217" s="4" t="inlineStr">
        <is>
          <t>集計表作成</t>
        </is>
      </c>
      <c r="L217" s="3" t="inlineStr">
        <is>
          <t>1028695446</t>
        </is>
      </c>
      <c r="M217" s="3" t="inlineStr">
        <is>
          <t>明经CAD社区</t>
        </is>
      </c>
      <c r="N217" s="6" t="inlineStr">
        <is>
          <t>開く</t>
        </is>
      </c>
    </row>
    <row r="218">
      <c r="A218" s="2">
        <f>RANK(J218,$J$2:$J$656)</f>
        <v/>
      </c>
      <c r="B218" s="3" t="inlineStr">
        <is>
          <t>作図</t>
        </is>
      </c>
      <c r="C218" s="3" t="inlineStr">
        <is>
          <t>-</t>
        </is>
      </c>
      <c r="D218" s="4" t="inlineStr">
        <is>
          <t>4.51极速版特性工具</t>
        </is>
      </c>
      <c r="E218" s="4" t="inlineStr">
        <is>
          <t>公差・動的ハッチ・線種・鉄道など多機能特性ツール</t>
        </is>
      </c>
      <c r="F218" s="2" t="n">
        <v>12</v>
      </c>
      <c r="G218" s="2" t="n">
        <v>12</v>
      </c>
      <c r="H218" s="2" t="n">
        <v>14</v>
      </c>
      <c r="I218" s="2" t="n">
        <v>15</v>
      </c>
      <c r="J218" s="5">
        <f>SUM(F218:I218)</f>
        <v/>
      </c>
      <c r="K218" s="4" t="inlineStr">
        <is>
          <t>多機能ツール集</t>
        </is>
      </c>
      <c r="L218" s="3" t="inlineStr">
        <is>
          <t>fawn_lgc</t>
        </is>
      </c>
      <c r="M218" s="3" t="inlineStr">
        <is>
          <t>明经CAD社区</t>
        </is>
      </c>
      <c r="N218" s="6" t="inlineStr">
        <is>
          <t>開く</t>
        </is>
      </c>
    </row>
    <row r="219">
      <c r="A219" s="2">
        <f>RANK(J219,$J$2:$J$656)</f>
        <v/>
      </c>
      <c r="B219" s="3" t="inlineStr">
        <is>
          <t>設備</t>
        </is>
      </c>
      <c r="C219" s="3" t="inlineStr">
        <is>
          <t>gsdat</t>
        </is>
      </c>
      <c r="D219" s="4" t="inlineStr">
        <is>
          <t>GSPM1 绘给水纵断面图</t>
        </is>
      </c>
      <c r="E219" s="4" t="inlineStr">
        <is>
          <t>給水管の縦断面図をデータから作図</t>
        </is>
      </c>
      <c r="F219" s="2" t="n">
        <v>20</v>
      </c>
      <c r="G219" s="2" t="n">
        <v>12</v>
      </c>
      <c r="H219" s="2" t="n">
        <v>16</v>
      </c>
      <c r="I219" s="2" t="n">
        <v>5</v>
      </c>
      <c r="J219" s="5">
        <f>SUM(F219:I219)</f>
        <v/>
      </c>
      <c r="K219" s="4" t="inlineStr">
        <is>
          <t>縦断面自動作図</t>
        </is>
      </c>
      <c r="L219" s="3" t="inlineStr"/>
      <c r="M219" s="3" t="inlineStr">
        <is>
          <t>GitHub: zhugecaomao/AutoLISP</t>
        </is>
      </c>
      <c r="N219" s="6" t="inlineStr">
        <is>
          <t>開く</t>
        </is>
      </c>
    </row>
    <row r="220">
      <c r="A220" s="2">
        <f>RANK(J220,$J$2:$J$656)</f>
        <v/>
      </c>
      <c r="B220" s="3" t="inlineStr">
        <is>
          <t>設備</t>
        </is>
      </c>
      <c r="C220" s="3" t="inlineStr">
        <is>
          <t>psdat</t>
        </is>
      </c>
      <c r="D220" s="4" t="inlineStr">
        <is>
          <t>PSPM1 绘排水纵断面图</t>
        </is>
      </c>
      <c r="E220" s="4" t="inlineStr">
        <is>
          <t>排水管の縦断面図をデータから作図</t>
        </is>
      </c>
      <c r="F220" s="2" t="n">
        <v>20</v>
      </c>
      <c r="G220" s="2" t="n">
        <v>12</v>
      </c>
      <c r="H220" s="2" t="n">
        <v>16</v>
      </c>
      <c r="I220" s="2" t="n">
        <v>5</v>
      </c>
      <c r="J220" s="5">
        <f>SUM(F220:I220)</f>
        <v/>
      </c>
      <c r="K220" s="4" t="inlineStr">
        <is>
          <t>縦断面自動作図</t>
        </is>
      </c>
      <c r="L220" s="3" t="inlineStr"/>
      <c r="M220" s="3" t="inlineStr">
        <is>
          <t>GitHub: zhugecaomao/AutoLISP</t>
        </is>
      </c>
      <c r="N220" s="6" t="inlineStr">
        <is>
          <t>開く</t>
        </is>
      </c>
    </row>
    <row r="221">
      <c r="A221" s="2">
        <f>RANK(J221,$J$2:$J$656)</f>
        <v/>
      </c>
      <c r="B221" s="3" t="inlineStr">
        <is>
          <t>寸法</t>
        </is>
      </c>
      <c r="C221" s="3" t="inlineStr">
        <is>
          <t>-</t>
        </is>
      </c>
      <c r="D221" s="4" t="inlineStr">
        <is>
          <t>QDIM命令增强快速标注</t>
        </is>
      </c>
      <c r="E221" s="4" t="inlineStr">
        <is>
          <t>QDIMを強化した連続寸法</t>
        </is>
      </c>
      <c r="F221" s="2" t="n">
        <v>12</v>
      </c>
      <c r="G221" s="2" t="n">
        <v>10</v>
      </c>
      <c r="H221" s="2" t="n">
        <v>15</v>
      </c>
      <c r="I221" s="2" t="n">
        <v>16</v>
      </c>
      <c r="J221" s="5">
        <f>SUM(F221:I221)</f>
        <v/>
      </c>
      <c r="K221" s="4" t="inlineStr">
        <is>
          <t>QDIM強化</t>
        </is>
      </c>
      <c r="L221" s="3" t="inlineStr"/>
      <c r="M221" s="3" t="inlineStr">
        <is>
          <t>晓东CAD家园</t>
        </is>
      </c>
      <c r="N221" s="6" t="inlineStr">
        <is>
          <t>開く</t>
        </is>
      </c>
    </row>
    <row r="222">
      <c r="A222" s="2">
        <f>RANK(J222,$J$2:$J$656)</f>
        <v/>
      </c>
      <c r="B222" s="3" t="inlineStr">
        <is>
          <t>表・Excel連携</t>
        </is>
      </c>
      <c r="C222" s="3" t="inlineStr">
        <is>
          <t>BOM/BOM2</t>
        </is>
      </c>
      <c r="D222" s="4" t="inlineStr">
        <is>
          <t>RuiCAD 拆单统计</t>
        </is>
      </c>
      <c r="E222" s="4" t="inlineStr">
        <is>
          <t>部材を画層別に集計しCSV（板取表）出力</t>
        </is>
      </c>
      <c r="F222" s="2" t="n">
        <v>18</v>
      </c>
      <c r="G222" s="2" t="n">
        <v>10</v>
      </c>
      <c r="H222" s="2" t="n">
        <v>17</v>
      </c>
      <c r="I222" s="2" t="n">
        <v>8</v>
      </c>
      <c r="J222" s="5">
        <f>SUM(F222:I222)</f>
        <v/>
      </c>
      <c r="K222" s="4" t="inlineStr">
        <is>
          <t>部材表CSV</t>
        </is>
      </c>
      <c r="L222" s="3" t="inlineStr">
        <is>
          <t>sschiplee</t>
        </is>
      </c>
      <c r="M222" s="3" t="inlineStr">
        <is>
          <t>GitHub: sschiplee/RuiCAD</t>
        </is>
      </c>
      <c r="N222" s="6" t="inlineStr">
        <is>
          <t>開く</t>
        </is>
      </c>
    </row>
    <row r="223">
      <c r="A223" s="2">
        <f>RANK(J223,$J$2:$J$656)</f>
        <v/>
      </c>
      <c r="B223" s="3" t="inlineStr">
        <is>
          <t>建築</t>
        </is>
      </c>
      <c r="C223" s="3" t="inlineStr">
        <is>
          <t>KJ/DG/WG</t>
        </is>
      </c>
      <c r="D223" s="4" t="inlineStr">
        <is>
          <t>RuiCAD 柜体参数化绘图</t>
        </is>
      </c>
      <c r="E223" s="4" t="inlineStr">
        <is>
          <t>家具（収納）の枠・標準柜・吊柜をパラメトリック作図</t>
        </is>
      </c>
      <c r="F223" s="2" t="n">
        <v>18</v>
      </c>
      <c r="G223" s="2" t="n">
        <v>12</v>
      </c>
      <c r="H223" s="2" t="n">
        <v>17</v>
      </c>
      <c r="I223" s="2" t="n">
        <v>6</v>
      </c>
      <c r="J223" s="5">
        <f>SUM(F223:I223)</f>
        <v/>
      </c>
      <c r="K223" s="4" t="inlineStr">
        <is>
          <t>造作家具作図</t>
        </is>
      </c>
      <c r="L223" s="3" t="inlineStr">
        <is>
          <t>sschiplee</t>
        </is>
      </c>
      <c r="M223" s="3" t="inlineStr">
        <is>
          <t>GitHub: sschiplee/RuiCAD</t>
        </is>
      </c>
      <c r="N223" s="6" t="inlineStr">
        <is>
          <t>開く</t>
        </is>
      </c>
    </row>
    <row r="224">
      <c r="A224" s="2">
        <f>RANK(J224,$J$2:$J$656)</f>
        <v/>
      </c>
      <c r="B224" s="3" t="inlineStr">
        <is>
          <t>座標・測量・土木</t>
        </is>
      </c>
      <c r="C224" s="3" t="inlineStr">
        <is>
          <t>fgw/jstf</t>
        </is>
      </c>
      <c r="D224" s="4" t="inlineStr">
        <is>
          <t>tufang 方格网土方</t>
        </is>
      </c>
      <c r="E224" s="4" t="inlineStr">
        <is>
          <t>方眼法の土量計算</t>
        </is>
      </c>
      <c r="F224" s="2" t="n">
        <v>20</v>
      </c>
      <c r="G224" s="2" t="n">
        <v>10</v>
      </c>
      <c r="H224" s="2" t="n">
        <v>16</v>
      </c>
      <c r="I224" s="2" t="n">
        <v>7</v>
      </c>
      <c r="J224" s="5">
        <f>SUM(F224:I224)</f>
        <v/>
      </c>
      <c r="K224" s="4" t="inlineStr">
        <is>
          <t>土量計算</t>
        </is>
      </c>
      <c r="L224" s="3" t="inlineStr">
        <is>
          <t>shuixzy</t>
        </is>
      </c>
      <c r="M224" s="3" t="inlineStr">
        <is>
          <t>GitHub: shuixzy/DB_CAD_Tools</t>
        </is>
      </c>
      <c r="N224" s="6" t="inlineStr">
        <is>
          <t>開く</t>
        </is>
      </c>
    </row>
    <row r="225">
      <c r="A225" s="2">
        <f>RANK(J225,$J$2:$J$656)</f>
        <v/>
      </c>
      <c r="B225" s="3" t="inlineStr">
        <is>
          <t>座標・測量・土木</t>
        </is>
      </c>
      <c r="C225" s="3" t="inlineStr">
        <is>
          <t>绘制道路1/画线补路</t>
        </is>
      </c>
      <c r="D225" s="4" t="inlineStr">
        <is>
          <t>十字路口生成器</t>
        </is>
      </c>
      <c r="E225" s="4" t="inlineStr">
        <is>
          <t>十字路・道路補修の自動作図</t>
        </is>
      </c>
      <c r="F225" s="2" t="n">
        <v>18</v>
      </c>
      <c r="G225" s="2" t="n">
        <v>12</v>
      </c>
      <c r="H225" s="2" t="n">
        <v>15</v>
      </c>
      <c r="I225" s="2" t="n">
        <v>8</v>
      </c>
      <c r="J225" s="5">
        <f>SUM(F225:I225)</f>
        <v/>
      </c>
      <c r="K225" s="4" t="inlineStr">
        <is>
          <t>交差点作図</t>
        </is>
      </c>
      <c r="L225" s="3" t="inlineStr">
        <is>
          <t>lee50310</t>
        </is>
      </c>
      <c r="M225" s="3" t="inlineStr">
        <is>
          <t>@lisp 应用云</t>
        </is>
      </c>
      <c r="N225" s="6" t="inlineStr">
        <is>
          <t>開く</t>
        </is>
      </c>
    </row>
    <row r="226">
      <c r="A226" s="2">
        <f>RANK(J226,$J$2:$J$656)</f>
        <v/>
      </c>
      <c r="B226" s="3" t="inlineStr">
        <is>
          <t>ブロック・属性</t>
        </is>
      </c>
      <c r="C226" s="3" t="inlineStr">
        <is>
          <t>@block:copy-by-blk</t>
        </is>
      </c>
      <c r="D226" s="4" t="inlineStr">
        <is>
          <t>块间复制 (@lisp Block)</t>
        </is>
      </c>
      <c r="E226" s="4" t="inlineStr">
        <is>
          <t>ブロック内部間で図形を複製</t>
        </is>
      </c>
      <c r="F226" s="2" t="n">
        <v>17</v>
      </c>
      <c r="G226" s="2" t="n">
        <v>15</v>
      </c>
      <c r="H226" s="2" t="n">
        <v>9</v>
      </c>
      <c r="I226" s="2" t="n">
        <v>12</v>
      </c>
      <c r="J226" s="5">
        <f>SUM(F226:I226)</f>
        <v/>
      </c>
      <c r="K226" s="4" t="inlineStr">
        <is>
          <t>REFEDIT不要の複写</t>
        </is>
      </c>
      <c r="L226" s="3" t="inlineStr">
        <is>
          <t>VitalGG</t>
        </is>
      </c>
      <c r="M226" s="3" t="inlineStr">
        <is>
          <t>@lisp 应用云</t>
        </is>
      </c>
      <c r="N226" s="6" t="inlineStr">
        <is>
          <t>開く</t>
        </is>
      </c>
    </row>
    <row r="227">
      <c r="A227" s="2">
        <f>RANK(J227,$J$2:$J$656)</f>
        <v/>
      </c>
      <c r="B227" s="3" t="inlineStr">
        <is>
          <t>ブロック・属性</t>
        </is>
      </c>
      <c r="C227" s="3" t="inlineStr">
        <is>
          <t>-</t>
        </is>
      </c>
      <c r="D227" s="4" t="inlineStr">
        <is>
          <t>批量建块</t>
        </is>
      </c>
      <c r="E227" s="4" t="inlineStr">
        <is>
          <t>選択図形を個別に一括ブロック化</t>
        </is>
      </c>
      <c r="F227" s="2" t="n">
        <v>16</v>
      </c>
      <c r="G227" s="2" t="n">
        <v>8</v>
      </c>
      <c r="H227" s="2" t="n">
        <v>14</v>
      </c>
      <c r="I227" s="2" t="n">
        <v>15</v>
      </c>
      <c r="J227" s="5">
        <f>SUM(F227:I227)</f>
        <v/>
      </c>
      <c r="K227" s="4" t="inlineStr">
        <is>
          <t>一括ブロック化</t>
        </is>
      </c>
      <c r="L227" s="3" t="inlineStr">
        <is>
          <t>wosiguwozai0830</t>
        </is>
      </c>
      <c r="M227" s="3" t="inlineStr">
        <is>
          <t>明经CAD社区</t>
        </is>
      </c>
      <c r="N227" s="6" t="inlineStr">
        <is>
          <t>開く</t>
        </is>
      </c>
    </row>
    <row r="228">
      <c r="A228" s="2">
        <f>RANK(J228,$J$2:$J$656)</f>
        <v/>
      </c>
      <c r="B228" s="3" t="inlineStr">
        <is>
          <t>文字・テキスト</t>
        </is>
      </c>
      <c r="C228" s="3" t="inlineStr">
        <is>
          <t>按行合并</t>
        </is>
      </c>
      <c r="D228" s="4" t="inlineStr">
        <is>
          <t>按行合并 (@lisp文本)</t>
        </is>
      </c>
      <c r="E228" s="4" t="inlineStr">
        <is>
          <t>同一行の複数単線文字を1つに結合</t>
        </is>
      </c>
      <c r="F228" s="2" t="n">
        <v>14</v>
      </c>
      <c r="G228" s="2" t="n">
        <v>8</v>
      </c>
      <c r="H228" s="2" t="n">
        <v>13</v>
      </c>
      <c r="I228" s="2" t="n">
        <v>18</v>
      </c>
      <c r="J228" s="5">
        <f>SUM(F228:I228)</f>
        <v/>
      </c>
      <c r="K228" s="4" t="inlineStr">
        <is>
          <t>行単位結合は標準外</t>
        </is>
      </c>
      <c r="L228" s="3" t="inlineStr">
        <is>
          <t>VitalGG</t>
        </is>
      </c>
      <c r="M228" s="3" t="inlineStr">
        <is>
          <t>@lisp 应用云</t>
        </is>
      </c>
      <c r="N228" s="6" t="inlineStr">
        <is>
          <t>開く</t>
        </is>
      </c>
    </row>
    <row r="229">
      <c r="A229" s="2">
        <f>RANK(J229,$J$2:$J$656)</f>
        <v/>
      </c>
      <c r="B229" s="3" t="inlineStr">
        <is>
          <t>ブロック・属性</t>
        </is>
      </c>
      <c r="C229" s="3" t="inlineStr">
        <is>
          <t>@block:insert-all</t>
        </is>
      </c>
      <c r="D229" s="4" t="inlineStr">
        <is>
          <t>插入所有块 (@lisp Block)</t>
        </is>
      </c>
      <c r="E229" s="4" t="inlineStr">
        <is>
          <t>図面内全ブロック定義を並べて挿入</t>
        </is>
      </c>
      <c r="F229" s="2" t="n">
        <v>17</v>
      </c>
      <c r="G229" s="2" t="n">
        <v>12</v>
      </c>
      <c r="H229" s="2" t="n">
        <v>10</v>
      </c>
      <c r="I229" s="2" t="n">
        <v>14</v>
      </c>
      <c r="J229" s="5">
        <f>SUM(F229:I229)</f>
        <v/>
      </c>
      <c r="K229" s="4" t="inlineStr">
        <is>
          <t>ブロック一覧の可視化</t>
        </is>
      </c>
      <c r="L229" s="3" t="inlineStr">
        <is>
          <t>VitalGG</t>
        </is>
      </c>
      <c r="M229" s="3" t="inlineStr">
        <is>
          <t>@lisp 应用云</t>
        </is>
      </c>
      <c r="N229" s="6" t="inlineStr">
        <is>
          <t>開く</t>
        </is>
      </c>
    </row>
    <row r="230">
      <c r="A230" s="2">
        <f>RANK(J230,$J$2:$J$656)</f>
        <v/>
      </c>
      <c r="B230" s="3" t="inlineStr">
        <is>
          <t>ハッチ・面積・長さ集計</t>
        </is>
      </c>
      <c r="C230" s="3" t="inlineStr">
        <is>
          <t>曲线面积/曲线长度</t>
        </is>
      </c>
      <c r="D230" s="4" t="inlineStr">
        <is>
          <t>曲线面积/长度标注 (@lisp curve)</t>
        </is>
      </c>
      <c r="E230" s="4" t="inlineStr">
        <is>
          <t>閉曲線の面積・曲線長を図中に記入</t>
        </is>
      </c>
      <c r="F230" s="2" t="n">
        <v>13</v>
      </c>
      <c r="G230" s="2" t="n">
        <v>6</v>
      </c>
      <c r="H230" s="2" t="n">
        <v>15</v>
      </c>
      <c r="I230" s="2" t="n">
        <v>19</v>
      </c>
      <c r="J230" s="5">
        <f>SUM(F230:I230)</f>
        <v/>
      </c>
      <c r="K230" s="4" t="inlineStr">
        <is>
          <t>フィールドで一部可</t>
        </is>
      </c>
      <c r="L230" s="3" t="inlineStr">
        <is>
          <t>VitalGG</t>
        </is>
      </c>
      <c r="M230" s="3" t="inlineStr">
        <is>
          <t>@lisp 应用云</t>
        </is>
      </c>
      <c r="N230" s="6" t="inlineStr">
        <is>
          <t>開く</t>
        </is>
      </c>
    </row>
    <row r="231">
      <c r="A231" s="2">
        <f>RANK(J231,$J$2:$J$656)</f>
        <v/>
      </c>
      <c r="B231" s="3" t="inlineStr">
        <is>
          <t>ハッチ・面積・長さ集計</t>
        </is>
      </c>
      <c r="C231" s="3" t="inlineStr">
        <is>
          <t>-</t>
        </is>
      </c>
      <c r="D231" s="4" t="inlineStr">
        <is>
          <t>统计矩形的工具</t>
        </is>
      </c>
      <c r="E231" s="4" t="inlineStr">
        <is>
          <t>矩形のサイズを集計</t>
        </is>
      </c>
      <c r="F231" s="2" t="n">
        <v>17</v>
      </c>
      <c r="G231" s="2" t="n">
        <v>10</v>
      </c>
      <c r="H231" s="2" t="n">
        <v>14</v>
      </c>
      <c r="I231" s="2" t="n">
        <v>12</v>
      </c>
      <c r="J231" s="5">
        <f>SUM(F231:I231)</f>
        <v/>
      </c>
      <c r="K231" s="4" t="inlineStr">
        <is>
          <t>矩形寸法集計</t>
        </is>
      </c>
      <c r="L231" s="3" t="inlineStr">
        <is>
          <t>xj6019</t>
        </is>
      </c>
      <c r="M231" s="3" t="inlineStr">
        <is>
          <t>明经CAD社区</t>
        </is>
      </c>
      <c r="N231" s="6" t="inlineStr">
        <is>
          <t>開く</t>
        </is>
      </c>
    </row>
    <row r="232">
      <c r="A232" s="2">
        <f>RANK(J232,$J$2:$J$656)</f>
        <v/>
      </c>
      <c r="B232" s="3" t="inlineStr">
        <is>
          <t>建築</t>
        </is>
      </c>
      <c r="C232" s="3" t="inlineStr">
        <is>
          <t>车位编号</t>
        </is>
      </c>
      <c r="D232" s="4" t="inlineStr">
        <is>
          <t>车位编号 (@建筑)</t>
        </is>
      </c>
      <c r="E232" s="4" t="inlineStr">
        <is>
          <t>駐車区画を順に自動採番・集計</t>
        </is>
      </c>
      <c r="F232" s="2" t="n">
        <v>19</v>
      </c>
      <c r="G232" s="2" t="n">
        <v>10</v>
      </c>
      <c r="H232" s="2" t="n">
        <v>16</v>
      </c>
      <c r="I232" s="2" t="n">
        <v>8</v>
      </c>
      <c r="J232" s="5">
        <f>SUM(F232:I232)</f>
        <v/>
      </c>
      <c r="K232" s="4" t="inlineStr">
        <is>
          <t>駐車場番号振り</t>
        </is>
      </c>
      <c r="L232" s="3" t="inlineStr">
        <is>
          <t>VitalGG</t>
        </is>
      </c>
      <c r="M232" s="3" t="inlineStr">
        <is>
          <t>@lisp 应用云</t>
        </is>
      </c>
      <c r="N232" s="6" t="inlineStr">
        <is>
          <t>開く</t>
        </is>
      </c>
    </row>
    <row r="233">
      <c r="A233" s="2">
        <f>RANK(J233,$J$2:$J$656)</f>
        <v/>
      </c>
      <c r="B233" s="3" t="inlineStr">
        <is>
          <t>選択・絞り込み</t>
        </is>
      </c>
      <c r="C233" s="3" t="inlineStr">
        <is>
          <t>选择短线/选择定长线</t>
        </is>
      </c>
      <c r="D233" s="4" t="inlineStr">
        <is>
          <t>选择短线 (@lisp选择)</t>
        </is>
      </c>
      <c r="E233" s="4" t="inlineStr">
        <is>
          <t>指定長未満/指定長の線を選択</t>
        </is>
      </c>
      <c r="F233" s="2" t="n">
        <v>15</v>
      </c>
      <c r="G233" s="2" t="n">
        <v>8</v>
      </c>
      <c r="H233" s="2" t="n">
        <v>12</v>
      </c>
      <c r="I233" s="2" t="n">
        <v>18</v>
      </c>
      <c r="J233" s="5">
        <f>SUM(F233:I233)</f>
        <v/>
      </c>
      <c r="K233" s="4" t="inlineStr">
        <is>
          <t>短線ゴミの抽出</t>
        </is>
      </c>
      <c r="L233" s="3" t="inlineStr">
        <is>
          <t>VitalGG</t>
        </is>
      </c>
      <c r="M233" s="3" t="inlineStr">
        <is>
          <t>@lisp 应用云</t>
        </is>
      </c>
      <c r="N233" s="6" t="inlineStr">
        <is>
          <t>開く</t>
        </is>
      </c>
    </row>
    <row r="234">
      <c r="A234" s="2">
        <f>RANK(J234,$J$2:$J$656)</f>
        <v/>
      </c>
      <c r="B234" s="3" t="inlineStr">
        <is>
          <t>構造・鉄骨・機械</t>
        </is>
      </c>
      <c r="C234" s="3" t="inlineStr">
        <is>
          <t>自动刀路</t>
        </is>
      </c>
      <c r="D234" s="4" t="inlineStr">
        <is>
          <t>铣削路径 (孔到边刀路)</t>
        </is>
      </c>
      <c r="E234" s="4" t="inlineStr">
        <is>
          <t>穴から外形線へのフライス刀路を自動作図</t>
        </is>
      </c>
      <c r="F234" s="2" t="n">
        <v>21</v>
      </c>
      <c r="G234" s="2" t="n">
        <v>16</v>
      </c>
      <c r="H234" s="2" t="n">
        <v>12</v>
      </c>
      <c r="I234" s="2" t="n">
        <v>4</v>
      </c>
      <c r="J234" s="5">
        <f>SUM(F234:I234)</f>
        <v/>
      </c>
      <c r="K234" s="4" t="inlineStr">
        <is>
          <t>加工経路の自動生成</t>
        </is>
      </c>
      <c r="L234" s="3" t="inlineStr">
        <is>
          <t>VitalGG</t>
        </is>
      </c>
      <c r="M234" s="3" t="inlineStr">
        <is>
          <t>@lisp 应用云</t>
        </is>
      </c>
      <c r="N234" s="6" t="inlineStr">
        <is>
          <t>開く</t>
        </is>
      </c>
    </row>
    <row r="235">
      <c r="A235" s="2">
        <f>RANK(J235,$J$2:$J$656)</f>
        <v/>
      </c>
      <c r="B235" s="3" t="inlineStr">
        <is>
          <t>ハッチ・面積・長さ集計</t>
        </is>
      </c>
      <c r="C235" s="3" t="inlineStr">
        <is>
          <t>面域按层</t>
        </is>
      </c>
      <c r="D235" s="4" t="inlineStr">
        <is>
          <t>面域按层统计 (@lisp数学)</t>
        </is>
      </c>
      <c r="E235" s="4" t="inlineStr">
        <is>
          <t>リージョン面積を画層別に集計</t>
        </is>
      </c>
      <c r="F235" s="2" t="n">
        <v>17</v>
      </c>
      <c r="G235" s="2" t="n">
        <v>8</v>
      </c>
      <c r="H235" s="2" t="n">
        <v>14</v>
      </c>
      <c r="I235" s="2" t="n">
        <v>14</v>
      </c>
      <c r="J235" s="5">
        <f>SUM(F235:I235)</f>
        <v/>
      </c>
      <c r="K235" s="4" t="inlineStr">
        <is>
          <t>層別面積集計</t>
        </is>
      </c>
      <c r="L235" s="3" t="inlineStr">
        <is>
          <t>VitalGG</t>
        </is>
      </c>
      <c r="M235" s="3" t="inlineStr">
        <is>
          <t>@lisp 应用云</t>
        </is>
      </c>
      <c r="N235" s="6" t="inlineStr">
        <is>
          <t>開く</t>
        </is>
      </c>
    </row>
    <row r="236">
      <c r="A236" s="2">
        <f>RANK(J236,$J$2:$J$656)</f>
        <v/>
      </c>
      <c r="B236" s="3" t="inlineStr">
        <is>
          <t>外部参照・図面管理・一括処理</t>
        </is>
      </c>
      <c r="C236" s="3" t="inlineStr">
        <is>
          <t>BR_AUD/BR_PUB/BR_SNAP</t>
        </is>
      </c>
      <c r="D236" s="4" t="inlineStr">
        <is>
          <t>BR 工具套件</t>
        </is>
      </c>
      <c r="E236" s="4" t="inlineStr">
        <is>
          <t>図面監査・一括発行・図面スナップショット</t>
        </is>
      </c>
      <c r="F236" s="2" t="n">
        <v>14</v>
      </c>
      <c r="G236" s="2" t="n">
        <v>12</v>
      </c>
      <c r="H236" s="2" t="n">
        <v>14</v>
      </c>
      <c r="I236" s="2" t="n">
        <v>12</v>
      </c>
      <c r="J236" s="5">
        <f>SUM(F236:I236)</f>
        <v/>
      </c>
      <c r="K236" s="4" t="inlineStr">
        <is>
          <t>事務所標準ツール</t>
        </is>
      </c>
      <c r="L236" s="3" t="inlineStr">
        <is>
          <t>wjnnan</t>
        </is>
      </c>
      <c r="M236" s="3" t="inlineStr">
        <is>
          <t>GitHub: wjnnan/03-AutoCAD-lis</t>
        </is>
      </c>
      <c r="N236" s="6" t="inlineStr">
        <is>
          <t>開く</t>
        </is>
      </c>
    </row>
    <row r="237">
      <c r="A237" s="2">
        <f>RANK(J237,$J$2:$J$656)</f>
        <v/>
      </c>
      <c r="B237" s="3" t="inlineStr">
        <is>
          <t>設備</t>
        </is>
      </c>
      <c r="C237" s="3" t="inlineStr">
        <is>
          <t>HGSYMFIND</t>
        </is>
      </c>
      <c r="D237" s="4" t="inlineStr">
        <is>
          <t>ChemSymbolSearch 化工图例搜索</t>
        </is>
      </c>
      <c r="E237" s="4" t="inlineStr">
        <is>
          <t>中国語キーワードで化工P&amp;ID記号DWGを検索挿入</t>
        </is>
      </c>
      <c r="F237" s="2" t="n">
        <v>16</v>
      </c>
      <c r="G237" s="2" t="n">
        <v>14</v>
      </c>
      <c r="H237" s="2" t="n">
        <v>16</v>
      </c>
      <c r="I237" s="2" t="n">
        <v>6</v>
      </c>
      <c r="J237" s="5">
        <f>SUM(F237:I237)</f>
        <v/>
      </c>
      <c r="K237" s="4" t="inlineStr">
        <is>
          <t>記号検索挿入</t>
        </is>
      </c>
      <c r="L237" s="3" t="inlineStr">
        <is>
          <t>ceciliading23-art</t>
        </is>
      </c>
      <c r="M237" s="3" t="inlineStr">
        <is>
          <t>GitHub: ceciliading23-art/ChemSymbolSearch-AutoCAD</t>
        </is>
      </c>
      <c r="N237" s="6" t="inlineStr">
        <is>
          <t>開く</t>
        </is>
      </c>
    </row>
    <row r="238">
      <c r="A238" s="2">
        <f>RANK(J238,$J$2:$J$656)</f>
        <v/>
      </c>
      <c r="B238" s="3" t="inlineStr">
        <is>
          <t>寸法</t>
        </is>
      </c>
      <c r="C238" s="3" t="inlineStr">
        <is>
          <t>BZ/NBZ/DBZ</t>
        </is>
      </c>
      <c r="D238" s="4" t="inlineStr">
        <is>
          <t>RuiCAD 一键标注</t>
        </is>
      </c>
      <c r="E238" s="4" t="inlineStr">
        <is>
          <t>外形・内部均分・逐段の寸法を一発記入</t>
        </is>
      </c>
      <c r="F238" s="2" t="n">
        <v>16</v>
      </c>
      <c r="G238" s="2" t="n">
        <v>10</v>
      </c>
      <c r="H238" s="2" t="n">
        <v>16</v>
      </c>
      <c r="I238" s="2" t="n">
        <v>10</v>
      </c>
      <c r="J238" s="5">
        <f>SUM(F238:I238)</f>
        <v/>
      </c>
      <c r="K238" s="4" t="inlineStr">
        <is>
          <t>一発寸法</t>
        </is>
      </c>
      <c r="L238" s="3" t="inlineStr">
        <is>
          <t>sschiplee</t>
        </is>
      </c>
      <c r="M238" s="3" t="inlineStr">
        <is>
          <t>GitHub: sschiplee/RuiCAD</t>
        </is>
      </c>
      <c r="N238" s="6" t="inlineStr">
        <is>
          <t>開く</t>
        </is>
      </c>
    </row>
    <row r="239">
      <c r="A239" s="2">
        <f>RANK(J239,$J$2:$J$656)</f>
        <v/>
      </c>
      <c r="B239" s="3" t="inlineStr">
        <is>
          <t>文字・テキスト</t>
        </is>
      </c>
      <c r="C239" s="3" t="inlineStr">
        <is>
          <t>wbld</t>
        </is>
      </c>
      <c r="D239" s="4" t="inlineStr">
        <is>
          <t>wbld 文本朗读</t>
        </is>
      </c>
      <c r="E239" s="4" t="inlineStr">
        <is>
          <t>文字を音声で読み上げ</t>
        </is>
      </c>
      <c r="F239" s="2" t="n">
        <v>20</v>
      </c>
      <c r="G239" s="2" t="n">
        <v>16</v>
      </c>
      <c r="H239" s="2" t="n">
        <v>6</v>
      </c>
      <c r="I239" s="2" t="n">
        <v>10</v>
      </c>
      <c r="J239" s="5">
        <f>SUM(F239:I239)</f>
        <v/>
      </c>
      <c r="K239" s="4" t="inlineStr">
        <is>
          <t>読み合わせ</t>
        </is>
      </c>
      <c r="L239" s="3" t="inlineStr"/>
      <c r="M239" s="3" t="inlineStr">
        <is>
          <t>GitHub: zhugecaomao/AutoLISP</t>
        </is>
      </c>
      <c r="N239" s="6" t="inlineStr">
        <is>
          <t>開く</t>
        </is>
      </c>
    </row>
    <row r="240">
      <c r="A240" s="2">
        <f>RANK(J240,$J$2:$J$656)</f>
        <v/>
      </c>
      <c r="B240" s="3" t="inlineStr">
        <is>
          <t>文字・テキスト</t>
        </is>
      </c>
      <c r="C240" s="3" t="inlineStr">
        <is>
          <t>DAO</t>
        </is>
      </c>
      <c r="D240" s="4" t="inlineStr">
        <is>
          <t>ZW工具 DAO 文字上下颠倒排列</t>
        </is>
      </c>
      <c r="E240" s="4" t="inlineStr">
        <is>
          <t>文字群の上下順序を反転</t>
        </is>
      </c>
      <c r="F240" s="2" t="n">
        <v>18</v>
      </c>
      <c r="G240" s="2" t="n">
        <v>14</v>
      </c>
      <c r="H240" s="2" t="n">
        <v>8</v>
      </c>
      <c r="I240" s="2" t="n">
        <v>12</v>
      </c>
      <c r="J240" s="5">
        <f>SUM(F240:I240)</f>
        <v/>
      </c>
      <c r="K240" s="4" t="inlineStr">
        <is>
          <t>順序反転</t>
        </is>
      </c>
      <c r="L240" s="3" t="inlineStr">
        <is>
          <t>y1991427360s</t>
        </is>
      </c>
      <c r="M240" s="3" t="inlineStr">
        <is>
          <t>GitHub: y1991427360s/zwcad-autolisp-tools</t>
        </is>
      </c>
      <c r="N240" s="6" t="inlineStr">
        <is>
          <t>開く</t>
        </is>
      </c>
    </row>
    <row r="241">
      <c r="A241" s="2">
        <f>RANK(J241,$J$2:$J$656)</f>
        <v/>
      </c>
      <c r="B241" s="3" t="inlineStr">
        <is>
          <t>ハッチ・面積・長さ集計</t>
        </is>
      </c>
      <c r="C241" s="3" t="inlineStr">
        <is>
          <t>XIN</t>
        </is>
      </c>
      <c r="D241" s="4" t="inlineStr">
        <is>
          <t>ZW工具 XIN 线范围内对象计数</t>
        </is>
      </c>
      <c r="E241" s="4" t="inlineStr">
        <is>
          <t>各直線の矩形範囲内の図元数を数え記入</t>
        </is>
      </c>
      <c r="F241" s="2" t="n">
        <v>18</v>
      </c>
      <c r="G241" s="2" t="n">
        <v>14</v>
      </c>
      <c r="H241" s="2" t="n">
        <v>12</v>
      </c>
      <c r="I241" s="2" t="n">
        <v>8</v>
      </c>
      <c r="J241" s="5">
        <f>SUM(F241:I241)</f>
        <v/>
      </c>
      <c r="K241" s="4" t="inlineStr">
        <is>
          <t>範囲内計数</t>
        </is>
      </c>
      <c r="L241" s="3" t="inlineStr">
        <is>
          <t>y1991427360s</t>
        </is>
      </c>
      <c r="M241" s="3" t="inlineStr">
        <is>
          <t>GitHub: y1991427360s/zwcad-autolisp-tools</t>
        </is>
      </c>
      <c r="N241" s="6" t="inlineStr">
        <is>
          <t>開く</t>
        </is>
      </c>
    </row>
    <row r="242">
      <c r="A242" s="2">
        <f>RANK(J242,$J$2:$J$656)</f>
        <v/>
      </c>
      <c r="B242" s="3" t="inlineStr">
        <is>
          <t>外部参照・図面管理・一括処理</t>
        </is>
      </c>
      <c r="C242" s="3" t="inlineStr">
        <is>
          <t>-</t>
        </is>
      </c>
      <c r="D242" s="4" t="inlineStr">
        <is>
          <t>低版本打开高版本图形</t>
        </is>
      </c>
      <c r="E242" s="4" t="inlineStr">
        <is>
          <t>旧版CADで新版DWGを開く</t>
        </is>
      </c>
      <c r="F242" s="2" t="n">
        <v>16</v>
      </c>
      <c r="G242" s="2" t="n">
        <v>12</v>
      </c>
      <c r="H242" s="2" t="n">
        <v>10</v>
      </c>
      <c r="I242" s="2" t="n">
        <v>14</v>
      </c>
      <c r="J242" s="5">
        <f>SUM(F242:I242)</f>
        <v/>
      </c>
      <c r="K242" s="4" t="inlineStr">
        <is>
          <t>版変換</t>
        </is>
      </c>
      <c r="L242" s="3" t="inlineStr"/>
      <c r="M242" s="3" t="inlineStr">
        <is>
          <t>晓东CAD家园</t>
        </is>
      </c>
      <c r="N242" s="6" t="inlineStr">
        <is>
          <t>開く</t>
        </is>
      </c>
    </row>
    <row r="243">
      <c r="A243" s="2">
        <f>RANK(J243,$J$2:$J$656)</f>
        <v/>
      </c>
      <c r="B243" s="3" t="inlineStr">
        <is>
          <t>線・ポリライン編集</t>
        </is>
      </c>
      <c r="C243" s="3" t="inlineStr">
        <is>
          <t>分隔多段线</t>
        </is>
      </c>
      <c r="D243" s="4" t="inlineStr">
        <is>
          <t>分隔多段线</t>
        </is>
      </c>
      <c r="E243" s="4" t="inlineStr">
        <is>
          <t>閉ポリラインを引いた線で分割</t>
        </is>
      </c>
      <c r="F243" s="2" t="n">
        <v>16</v>
      </c>
      <c r="G243" s="2" t="n">
        <v>10</v>
      </c>
      <c r="H243" s="2" t="n">
        <v>12</v>
      </c>
      <c r="I243" s="2" t="n">
        <v>14</v>
      </c>
      <c r="J243" s="5">
        <f>SUM(F243:I243)</f>
        <v/>
      </c>
      <c r="K243" s="4" t="inlineStr">
        <is>
          <t>閉PL分割</t>
        </is>
      </c>
      <c r="L243" s="3" t="inlineStr">
        <is>
          <t>VitalGG</t>
        </is>
      </c>
      <c r="M243" s="3" t="inlineStr">
        <is>
          <t>@lisp 应用云</t>
        </is>
      </c>
      <c r="N243" s="6" t="inlineStr">
        <is>
          <t>開く</t>
        </is>
      </c>
    </row>
    <row r="244">
      <c r="A244" s="2">
        <f>RANK(J244,$J$2:$J$656)</f>
        <v/>
      </c>
      <c r="B244" s="3" t="inlineStr">
        <is>
          <t>設備</t>
        </is>
      </c>
      <c r="C244" s="3" t="inlineStr">
        <is>
          <t>-</t>
        </is>
      </c>
      <c r="D244" s="4" t="inlineStr">
        <is>
          <t>喷淋覆盖范围</t>
        </is>
      </c>
      <c r="E244" s="4" t="inlineStr">
        <is>
          <t>スプリンクラーの散水範囲を表示</t>
        </is>
      </c>
      <c r="F244" s="2" t="n">
        <v>20</v>
      </c>
      <c r="G244" s="2" t="n">
        <v>12</v>
      </c>
      <c r="H244" s="2" t="n">
        <v>14</v>
      </c>
      <c r="I244" s="2" t="n">
        <v>6</v>
      </c>
      <c r="J244" s="5">
        <f>SUM(F244:I244)</f>
        <v/>
      </c>
      <c r="K244" s="4" t="inlineStr">
        <is>
          <t>散水範囲チェック</t>
        </is>
      </c>
      <c r="L244" s="3" t="inlineStr"/>
      <c r="M244" s="3" t="inlineStr">
        <is>
          <t>晓东CAD家园</t>
        </is>
      </c>
      <c r="N244" s="6" t="inlineStr">
        <is>
          <t>開く</t>
        </is>
      </c>
    </row>
    <row r="245">
      <c r="A245" s="2">
        <f>RANK(J245,$J$2:$J$656)</f>
        <v/>
      </c>
      <c r="B245" s="3" t="inlineStr">
        <is>
          <t>寸法</t>
        </is>
      </c>
      <c r="C245" s="3" t="inlineStr">
        <is>
          <t>四边形标注</t>
        </is>
      </c>
      <c r="D245" s="4" t="inlineStr">
        <is>
          <t>四边形标注</t>
        </is>
      </c>
      <c r="E245" s="4" t="inlineStr">
        <is>
          <t>四辺形を検出し辺長と対角線長を記入</t>
        </is>
      </c>
      <c r="F245" s="2" t="n">
        <v>20</v>
      </c>
      <c r="G245" s="2" t="n">
        <v>12</v>
      </c>
      <c r="H245" s="2" t="n">
        <v>11</v>
      </c>
      <c r="I245" s="2" t="n">
        <v>9</v>
      </c>
      <c r="J245" s="5">
        <f>SUM(F245:I245)</f>
        <v/>
      </c>
      <c r="K245" s="4" t="inlineStr">
        <is>
          <t>四辺形の辺・対角寸法</t>
        </is>
      </c>
      <c r="L245" s="3" t="inlineStr">
        <is>
          <t>VitalGG</t>
        </is>
      </c>
      <c r="M245" s="3" t="inlineStr">
        <is>
          <t>@lisp 应用云</t>
        </is>
      </c>
      <c r="N245" s="6" t="inlineStr">
        <is>
          <t>開く</t>
        </is>
      </c>
    </row>
    <row r="246">
      <c r="A246" s="2">
        <f>RANK(J246,$J$2:$J$656)</f>
        <v/>
      </c>
      <c r="B246" s="3" t="inlineStr">
        <is>
          <t>座標・測量・土木</t>
        </is>
      </c>
      <c r="C246" s="3" t="inlineStr">
        <is>
          <t>-</t>
        </is>
      </c>
      <c r="D246" s="4" t="inlineStr">
        <is>
          <t>坐标标注插件（高程/编号/导出表格）</t>
        </is>
      </c>
      <c r="E246" s="4" t="inlineStr">
        <is>
          <t>座標注記・標高・採番・表出力</t>
        </is>
      </c>
      <c r="F246" s="2" t="n">
        <v>16</v>
      </c>
      <c r="G246" s="2" t="n">
        <v>8</v>
      </c>
      <c r="H246" s="2" t="n">
        <v>16</v>
      </c>
      <c r="I246" s="2" t="n">
        <v>12</v>
      </c>
      <c r="J246" s="5">
        <f>SUM(F246:I246)</f>
        <v/>
      </c>
      <c r="K246" s="4" t="inlineStr">
        <is>
          <t>座標注記＋表</t>
        </is>
      </c>
      <c r="L246" s="3" t="inlineStr">
        <is>
          <t>shamanchen</t>
        </is>
      </c>
      <c r="M246" s="3" t="inlineStr">
        <is>
          <t>明经CAD社区</t>
        </is>
      </c>
      <c r="N246" s="6" t="inlineStr">
        <is>
          <t>開く</t>
        </is>
      </c>
    </row>
    <row r="247">
      <c r="A247" s="2">
        <f>RANK(J247,$J$2:$J$656)</f>
        <v/>
      </c>
      <c r="B247" s="3" t="inlineStr">
        <is>
          <t>ハッチ・面積・長さ集計</t>
        </is>
      </c>
      <c r="C247" s="3" t="inlineStr">
        <is>
          <t>图块名/块属性/动态块特性</t>
        </is>
      </c>
      <c r="D247" s="4" t="inlineStr">
        <is>
          <t>块统计 (@lisp数学)</t>
        </is>
      </c>
      <c r="E247" s="4" t="inlineStr">
        <is>
          <t>ブロックを名前・属性・動的特性で集計</t>
        </is>
      </c>
      <c r="F247" s="2" t="n">
        <v>10</v>
      </c>
      <c r="G247" s="2" t="n">
        <v>8</v>
      </c>
      <c r="H247" s="2" t="n">
        <v>16</v>
      </c>
      <c r="I247" s="2" t="n">
        <v>18</v>
      </c>
      <c r="J247" s="5">
        <f>SUM(F247:I247)</f>
        <v/>
      </c>
      <c r="K247" s="4" t="inlineStr">
        <is>
          <t>COUNT+DATAEXTで近い</t>
        </is>
      </c>
      <c r="L247" s="3" t="inlineStr">
        <is>
          <t>VitalGG</t>
        </is>
      </c>
      <c r="M247" s="3" t="inlineStr">
        <is>
          <t>@lisp 应用云</t>
        </is>
      </c>
      <c r="N247" s="6" t="inlineStr">
        <is>
          <t>開く</t>
        </is>
      </c>
    </row>
    <row r="248">
      <c r="A248" s="2">
        <f>RANK(J248,$J$2:$J$656)</f>
        <v/>
      </c>
      <c r="B248" s="3" t="inlineStr">
        <is>
          <t>表・Excel連携</t>
        </is>
      </c>
      <c r="C248" s="3" t="inlineStr">
        <is>
          <t>多段线点坐标</t>
        </is>
      </c>
      <c r="D248" s="4" t="inlineStr">
        <is>
          <t>多段线点坐标表 (@lisp统计表格)</t>
        </is>
      </c>
      <c r="E248" s="4" t="inlineStr">
        <is>
          <t>ポリライン頂点座標と間隔を表化</t>
        </is>
      </c>
      <c r="F248" s="2" t="n">
        <v>17</v>
      </c>
      <c r="G248" s="2" t="n">
        <v>8</v>
      </c>
      <c r="H248" s="2" t="n">
        <v>14</v>
      </c>
      <c r="I248" s="2" t="n">
        <v>13</v>
      </c>
      <c r="J248" s="5">
        <f>SUM(F248:I248)</f>
        <v/>
      </c>
      <c r="K248" s="4" t="inlineStr">
        <is>
          <t>座標表の自動作成</t>
        </is>
      </c>
      <c r="L248" s="3" t="inlineStr">
        <is>
          <t>VitalGG</t>
        </is>
      </c>
      <c r="M248" s="3" t="inlineStr">
        <is>
          <t>@lisp 应用云</t>
        </is>
      </c>
      <c r="N248" s="6" t="inlineStr">
        <is>
          <t>開く</t>
        </is>
      </c>
    </row>
    <row r="249">
      <c r="A249" s="2">
        <f>RANK(J249,$J$2:$J$656)</f>
        <v/>
      </c>
      <c r="B249" s="3" t="inlineStr">
        <is>
          <t>印刷・レイアウト・図枠</t>
        </is>
      </c>
      <c r="C249" s="3" t="inlineStr">
        <is>
          <t>SV</t>
        </is>
      </c>
      <c r="D249" s="4" t="inlineStr">
        <is>
          <t>显隐视口比例_v2.6</t>
        </is>
      </c>
      <c r="E249" s="4" t="inlineStr">
        <is>
          <t>ビューポート尺度を表示/非表示</t>
        </is>
      </c>
      <c r="F249" s="2" t="n">
        <v>16</v>
      </c>
      <c r="G249" s="2" t="n">
        <v>12</v>
      </c>
      <c r="H249" s="2" t="n">
        <v>10</v>
      </c>
      <c r="I249" s="2" t="n">
        <v>14</v>
      </c>
      <c r="J249" s="5">
        <f>SUM(F249:I249)</f>
        <v/>
      </c>
      <c r="K249" s="4" t="inlineStr">
        <is>
          <t>VP尺度可視化</t>
        </is>
      </c>
      <c r="L249" s="3" t="inlineStr">
        <is>
          <t>kucha007</t>
        </is>
      </c>
      <c r="M249" s="3" t="inlineStr">
        <is>
          <t>明经CAD社区</t>
        </is>
      </c>
      <c r="N249" s="6" t="inlineStr">
        <is>
          <t>開く</t>
        </is>
      </c>
    </row>
    <row r="250">
      <c r="A250" s="2">
        <f>RANK(J250,$J$2:$J$656)</f>
        <v/>
      </c>
      <c r="B250" s="3" t="inlineStr">
        <is>
          <t>設定・環境</t>
        </is>
      </c>
      <c r="C250" s="3" t="inlineStr">
        <is>
          <t>-</t>
        </is>
      </c>
      <c r="D250" s="4" t="inlineStr">
        <is>
          <t>源泉设计 总览命令（快捷键动态设置）</t>
        </is>
      </c>
      <c r="E250" s="4" t="inlineStr">
        <is>
          <t>全コマンド一覧から短縮キーを即時設定</t>
        </is>
      </c>
      <c r="F250" s="2" t="n">
        <v>14</v>
      </c>
      <c r="G250" s="2" t="n">
        <v>12</v>
      </c>
      <c r="H250" s="2" t="n">
        <v>10</v>
      </c>
      <c r="I250" s="2" t="n">
        <v>16</v>
      </c>
      <c r="J250" s="5">
        <f>SUM(F250:I250)</f>
        <v/>
      </c>
      <c r="K250" s="4" t="inlineStr">
        <is>
          <t>短縮キー即時設定</t>
        </is>
      </c>
      <c r="L250" s="3" t="inlineStr">
        <is>
          <t>源泉</t>
        </is>
      </c>
      <c r="M250" s="3" t="inlineStr">
        <is>
          <t>源泉设计</t>
        </is>
      </c>
      <c r="N250" s="6" t="inlineStr">
        <is>
          <t>開く</t>
        </is>
      </c>
    </row>
    <row r="251">
      <c r="A251" s="2">
        <f>RANK(J251,$J$2:$J$656)</f>
        <v/>
      </c>
      <c r="B251" s="3" t="inlineStr">
        <is>
          <t>作図</t>
        </is>
      </c>
      <c r="C251" s="3" t="inlineStr">
        <is>
          <t>-</t>
        </is>
      </c>
      <c r="D251" s="4" t="inlineStr">
        <is>
          <t>源泉设计 自制填充图案</t>
        </is>
      </c>
      <c r="E251" s="4" t="inlineStr">
        <is>
          <t>図形から独自ハッチパターンを作成</t>
        </is>
      </c>
      <c r="F251" s="2" t="n">
        <v>18</v>
      </c>
      <c r="G251" s="2" t="n">
        <v>12</v>
      </c>
      <c r="H251" s="2" t="n">
        <v>8</v>
      </c>
      <c r="I251" s="2" t="n">
        <v>14</v>
      </c>
      <c r="J251" s="5">
        <f>SUM(F251:I251)</f>
        <v/>
      </c>
      <c r="K251" s="4" t="inlineStr">
        <is>
          <t>PAT自作</t>
        </is>
      </c>
      <c r="L251" s="3" t="inlineStr">
        <is>
          <t>源泉</t>
        </is>
      </c>
      <c r="M251" s="3" t="inlineStr">
        <is>
          <t>源泉设计</t>
        </is>
      </c>
      <c r="N251" s="6" t="inlineStr">
        <is>
          <t>開く</t>
        </is>
      </c>
    </row>
    <row r="252">
      <c r="A252" s="2">
        <f>RANK(J252,$J$2:$J$656)</f>
        <v/>
      </c>
      <c r="B252" s="3" t="inlineStr">
        <is>
          <t>作図</t>
        </is>
      </c>
      <c r="C252" s="3" t="inlineStr">
        <is>
          <t>-</t>
        </is>
      </c>
      <c r="D252" s="4" t="inlineStr">
        <is>
          <t>灵活定制的图元编号</t>
        </is>
      </c>
      <c r="E252" s="4" t="inlineStr">
        <is>
          <t>書式自由な図元採番</t>
        </is>
      </c>
      <c r="F252" s="2" t="n">
        <v>15</v>
      </c>
      <c r="G252" s="2" t="n">
        <v>8</v>
      </c>
      <c r="H252" s="2" t="n">
        <v>14</v>
      </c>
      <c r="I252" s="2" t="n">
        <v>15</v>
      </c>
      <c r="J252" s="5">
        <f>SUM(F252:I252)</f>
        <v/>
      </c>
      <c r="K252" s="4" t="inlineStr">
        <is>
          <t>図元採番</t>
        </is>
      </c>
      <c r="L252" s="3" t="inlineStr"/>
      <c r="M252" s="3" t="inlineStr">
        <is>
          <t>晓东CAD家园</t>
        </is>
      </c>
      <c r="N252" s="6" t="inlineStr">
        <is>
          <t>開く</t>
        </is>
      </c>
    </row>
    <row r="253">
      <c r="A253" s="2">
        <f>RANK(J253,$J$2:$J$656)</f>
        <v/>
      </c>
      <c r="B253" s="3" t="inlineStr">
        <is>
          <t>座標・測量・土木</t>
        </is>
      </c>
      <c r="C253" s="3" t="inlineStr">
        <is>
          <t>-</t>
        </is>
      </c>
      <c r="D253" s="4" t="inlineStr">
        <is>
          <t>立面展开图</t>
        </is>
      </c>
      <c r="E253" s="4" t="inlineStr">
        <is>
          <t>平面図の外周から立面展開図を作成</t>
        </is>
      </c>
      <c r="F253" s="2" t="n">
        <v>18</v>
      </c>
      <c r="G253" s="2" t="n">
        <v>14</v>
      </c>
      <c r="H253" s="2" t="n">
        <v>12</v>
      </c>
      <c r="I253" s="2" t="n">
        <v>8</v>
      </c>
      <c r="J253" s="5">
        <f>SUM(F253:I253)</f>
        <v/>
      </c>
      <c r="K253" s="4" t="inlineStr">
        <is>
          <t>展開立面</t>
        </is>
      </c>
      <c r="L253" s="3" t="inlineStr">
        <is>
          <t>tianying307</t>
        </is>
      </c>
      <c r="M253" s="3" t="inlineStr">
        <is>
          <t>明经CAD社区</t>
        </is>
      </c>
      <c r="N253" s="6" t="inlineStr">
        <is>
          <t>開く</t>
        </is>
      </c>
    </row>
    <row r="254">
      <c r="A254" s="2">
        <f>RANK(J254,$J$2:$J$656)</f>
        <v/>
      </c>
      <c r="B254" s="3" t="inlineStr">
        <is>
          <t>選択・絞り込み</t>
        </is>
      </c>
      <c r="C254" s="3" t="inlineStr">
        <is>
          <t>-</t>
        </is>
      </c>
      <c r="D254" s="4" t="inlineStr">
        <is>
          <t>贱人工具箱 按层选择/按层全选</t>
        </is>
      </c>
      <c r="E254" s="4" t="inlineStr">
        <is>
          <t>図形を選ぶとその画層の図形を範囲/全体選択</t>
        </is>
      </c>
      <c r="F254" s="2" t="n">
        <v>8</v>
      </c>
      <c r="G254" s="2" t="n">
        <v>8</v>
      </c>
      <c r="H254" s="2" t="n">
        <v>16</v>
      </c>
      <c r="I254" s="2" t="n">
        <v>20</v>
      </c>
      <c r="J254" s="5">
        <f>SUM(F254:I254)</f>
        <v/>
      </c>
      <c r="K254" s="4" t="inlineStr">
        <is>
          <t>LAYISO不要の層選択</t>
        </is>
      </c>
      <c r="L254" s="3" t="inlineStr">
        <is>
          <t>贱人</t>
        </is>
      </c>
      <c r="M254" s="3" t="inlineStr">
        <is>
          <t>贱人工具箱</t>
        </is>
      </c>
      <c r="N254" s="6" t="inlineStr">
        <is>
          <t>開く</t>
        </is>
      </c>
    </row>
    <row r="255">
      <c r="A255" s="2">
        <f>RANK(J255,$J$2:$J$656)</f>
        <v/>
      </c>
      <c r="B255" s="3" t="inlineStr">
        <is>
          <t>その他</t>
        </is>
      </c>
      <c r="C255" s="3" t="inlineStr">
        <is>
          <t>-</t>
        </is>
      </c>
      <c r="D255" s="4" t="inlineStr">
        <is>
          <t>贱人工具箱5.9源码</t>
        </is>
      </c>
      <c r="E255" s="4" t="inlineStr">
        <is>
          <t>贱人工具箱5.9のLISPソース</t>
        </is>
      </c>
      <c r="F255" s="2" t="n">
        <v>12</v>
      </c>
      <c r="G255" s="2" t="n">
        <v>10</v>
      </c>
      <c r="H255" s="2" t="n">
        <v>12</v>
      </c>
      <c r="I255" s="2" t="n">
        <v>18</v>
      </c>
      <c r="J255" s="5">
        <f>SUM(F255:I255)</f>
        <v/>
      </c>
      <c r="K255" s="4" t="inlineStr">
        <is>
          <t>有名ツールのソース</t>
        </is>
      </c>
      <c r="L255" s="3" t="inlineStr">
        <is>
          <t>贱人</t>
        </is>
      </c>
      <c r="M255" s="3" t="inlineStr">
        <is>
          <t>晓东CAD家园</t>
        </is>
      </c>
      <c r="N255" s="6" t="inlineStr">
        <is>
          <t>開く</t>
        </is>
      </c>
    </row>
    <row r="256">
      <c r="A256" s="2">
        <f>RANK(J256,$J$2:$J$656)</f>
        <v/>
      </c>
      <c r="B256" s="3" t="inlineStr">
        <is>
          <t>その他</t>
        </is>
      </c>
      <c r="C256" s="3" t="inlineStr">
        <is>
          <t>-</t>
        </is>
      </c>
      <c r="D256" s="4" t="inlineStr">
        <is>
          <t>贱人工具箱源码汇总</t>
        </is>
      </c>
      <c r="E256" s="4" t="inlineStr">
        <is>
          <t>贱人工具箱の各機能ソース集</t>
        </is>
      </c>
      <c r="F256" s="2" t="n">
        <v>12</v>
      </c>
      <c r="G256" s="2" t="n">
        <v>10</v>
      </c>
      <c r="H256" s="2" t="n">
        <v>12</v>
      </c>
      <c r="I256" s="2" t="n">
        <v>18</v>
      </c>
      <c r="J256" s="5">
        <f>SUM(F256:I256)</f>
        <v/>
      </c>
      <c r="K256" s="4" t="inlineStr">
        <is>
          <t>有名ツールのソース</t>
        </is>
      </c>
      <c r="L256" s="3" t="inlineStr">
        <is>
          <t>yangchao2005090</t>
        </is>
      </c>
      <c r="M256" s="3" t="inlineStr">
        <is>
          <t>明经CAD社区</t>
        </is>
      </c>
      <c r="N256" s="6" t="inlineStr">
        <is>
          <t>開く</t>
        </is>
      </c>
    </row>
    <row r="257">
      <c r="A257" s="2">
        <f>RANK(J257,$J$2:$J$656)</f>
        <v/>
      </c>
      <c r="B257" s="3" t="inlineStr">
        <is>
          <t>ハッチ・面積・長さ集計</t>
        </is>
      </c>
      <c r="C257" s="3" t="inlineStr">
        <is>
          <t>生成边界/填充边界</t>
        </is>
      </c>
      <c r="D257" s="4" t="inlineStr">
        <is>
          <t>边界分析</t>
        </is>
      </c>
      <c r="E257" s="4" t="inlineStr">
        <is>
          <t>図形の閉合外周境界を生成・ハッチ</t>
        </is>
      </c>
      <c r="F257" s="2" t="n">
        <v>14</v>
      </c>
      <c r="G257" s="2" t="n">
        <v>10</v>
      </c>
      <c r="H257" s="2" t="n">
        <v>13</v>
      </c>
      <c r="I257" s="2" t="n">
        <v>15</v>
      </c>
      <c r="J257" s="5">
        <f>SUM(F257:I257)</f>
        <v/>
      </c>
      <c r="K257" s="4" t="inlineStr">
        <is>
          <t>外周抽出</t>
        </is>
      </c>
      <c r="L257" s="3" t="inlineStr">
        <is>
          <t>VitalGG</t>
        </is>
      </c>
      <c r="M257" s="3" t="inlineStr">
        <is>
          <t>@lisp 应用云</t>
        </is>
      </c>
      <c r="N257" s="6" t="inlineStr">
        <is>
          <t>開く</t>
        </is>
      </c>
    </row>
    <row r="258">
      <c r="A258" s="2">
        <f>RANK(J258,$J$2:$J$656)</f>
        <v/>
      </c>
      <c r="B258" s="3" t="inlineStr">
        <is>
          <t>設定・環境</t>
        </is>
      </c>
      <c r="C258" s="3" t="inlineStr">
        <is>
          <t>CAD病毒防御</t>
        </is>
      </c>
      <c r="D258" s="4" t="inlineStr">
        <is>
          <t>CAD病毒防御</t>
        </is>
      </c>
      <c r="E258" s="4" t="inlineStr">
        <is>
          <t>acad.fas等の既知LISPウイルスを防御</t>
        </is>
      </c>
      <c r="F258" s="2" t="n">
        <v>16</v>
      </c>
      <c r="G258" s="2" t="n">
        <v>10</v>
      </c>
      <c r="H258" s="2" t="n">
        <v>8</v>
      </c>
      <c r="I258" s="2" t="n">
        <v>17</v>
      </c>
      <c r="J258" s="5">
        <f>SUM(F258:I258)</f>
        <v/>
      </c>
      <c r="K258" s="4" t="inlineStr">
        <is>
          <t>ウイルス対策（標準SECURELOADで部分代替）</t>
        </is>
      </c>
      <c r="L258" s="3" t="inlineStr">
        <is>
          <t>VitalGG</t>
        </is>
      </c>
      <c r="M258" s="3" t="inlineStr">
        <is>
          <t>@lisp 应用云</t>
        </is>
      </c>
      <c r="N258" s="6" t="inlineStr">
        <is>
          <t>開く</t>
        </is>
      </c>
    </row>
    <row r="259">
      <c r="A259" s="2">
        <f>RANK(J259,$J$2:$J$656)</f>
        <v/>
      </c>
      <c r="B259" s="3" t="inlineStr">
        <is>
          <t>作図</t>
        </is>
      </c>
      <c r="C259" s="3" t="inlineStr">
        <is>
          <t>cv</t>
        </is>
      </c>
      <c r="D259" s="4" t="inlineStr">
        <is>
          <t>CV(COPYM) 超级多重复制</t>
        </is>
      </c>
      <c r="E259" s="4" t="inlineStr">
        <is>
          <t>等間隔・分割等オプション付き多重複写</t>
        </is>
      </c>
      <c r="F259" s="2" t="n">
        <v>10</v>
      </c>
      <c r="G259" s="2" t="n">
        <v>10</v>
      </c>
      <c r="H259" s="2" t="n">
        <v>13</v>
      </c>
      <c r="I259" s="2" t="n">
        <v>18</v>
      </c>
      <c r="J259" s="5">
        <f>SUM(F259:I259)</f>
        <v/>
      </c>
      <c r="K259" s="4" t="inlineStr">
        <is>
          <t>COPY配列オプションで近い</t>
        </is>
      </c>
      <c r="L259" s="3" t="inlineStr">
        <is>
          <t>CCLISP</t>
        </is>
      </c>
      <c r="M259" s="3" t="inlineStr">
        <is>
          <t>GitHub: zhugecaomao/AutoLISP</t>
        </is>
      </c>
      <c r="N259" s="6" t="inlineStr">
        <is>
          <t>開く</t>
        </is>
      </c>
    </row>
    <row r="260">
      <c r="A260" s="2">
        <f>RANK(J260,$J$2:$J$656)</f>
        <v/>
      </c>
      <c r="B260" s="3" t="inlineStr">
        <is>
          <t>文字・テキスト</t>
        </is>
      </c>
      <c r="C260" s="3" t="inlineStr">
        <is>
          <t>JK_TextStyleFix</t>
        </is>
      </c>
      <c r="D260" s="4" t="inlineStr">
        <is>
          <t>JK_TextStyleFix 文字样式修改</t>
        </is>
      </c>
      <c r="E260" s="4" t="inlineStr">
        <is>
          <t>全文字スタイルのSHX・高さ・幅を一括変更</t>
        </is>
      </c>
      <c r="F260" s="2" t="n">
        <v>12</v>
      </c>
      <c r="G260" s="2" t="n">
        <v>6</v>
      </c>
      <c r="H260" s="2" t="n">
        <v>14</v>
      </c>
      <c r="I260" s="2" t="n">
        <v>19</v>
      </c>
      <c r="J260" s="5">
        <f>SUM(F260:I260)</f>
        <v/>
      </c>
      <c r="K260" s="4" t="inlineStr">
        <is>
          <t>スタイル一括修正</t>
        </is>
      </c>
      <c r="L260" s="3" t="inlineStr">
        <is>
          <t>ixsouler</t>
        </is>
      </c>
      <c r="M260" s="3" t="inlineStr">
        <is>
          <t>GitHub: ixsouler/JK_Toolbox</t>
        </is>
      </c>
      <c r="N260" s="6" t="inlineStr">
        <is>
          <t>開く</t>
        </is>
      </c>
    </row>
    <row r="261">
      <c r="A261" s="2">
        <f>RANK(J261,$J$2:$J$656)</f>
        <v/>
      </c>
      <c r="B261" s="3" t="inlineStr">
        <is>
          <t>座標・測量・土木</t>
        </is>
      </c>
      <c r="C261" s="3" t="inlineStr">
        <is>
          <t>-</t>
        </is>
      </c>
      <c r="D261" s="4" t="inlineStr">
        <is>
          <t>kx-road 道路设计辅助</t>
        </is>
      </c>
      <c r="E261" s="4" t="inlineStr">
        <is>
          <t>道路設計の作図補助ツール</t>
        </is>
      </c>
      <c r="F261" s="2" t="n">
        <v>18</v>
      </c>
      <c r="G261" s="2" t="n">
        <v>12</v>
      </c>
      <c r="H261" s="2" t="n">
        <v>15</v>
      </c>
      <c r="I261" s="2" t="n">
        <v>6</v>
      </c>
      <c r="J261" s="5">
        <f>SUM(F261:I261)</f>
        <v/>
      </c>
      <c r="K261" s="4" t="inlineStr">
        <is>
          <t>道路設計専用</t>
        </is>
      </c>
      <c r="L261" s="3" t="inlineStr">
        <is>
          <t>spp_wall</t>
        </is>
      </c>
      <c r="M261" s="3" t="inlineStr">
        <is>
          <t>明经CAD社区</t>
        </is>
      </c>
      <c r="N261" s="6" t="inlineStr">
        <is>
          <t>開く</t>
        </is>
      </c>
    </row>
    <row r="262">
      <c r="A262" s="2">
        <f>RANK(J262,$J$2:$J$656)</f>
        <v/>
      </c>
      <c r="B262" s="3" t="inlineStr">
        <is>
          <t>座標・測量・土木</t>
        </is>
      </c>
      <c r="C262" s="3" t="inlineStr">
        <is>
          <t>-</t>
        </is>
      </c>
      <c r="D262" s="4" t="inlineStr">
        <is>
          <t>KX道路工具箱V5.1</t>
        </is>
      </c>
      <c r="E262" s="4" t="inlineStr">
        <is>
          <t>道路設計の作図補助（無料）</t>
        </is>
      </c>
      <c r="F262" s="2" t="n">
        <v>18</v>
      </c>
      <c r="G262" s="2" t="n">
        <v>12</v>
      </c>
      <c r="H262" s="2" t="n">
        <v>15</v>
      </c>
      <c r="I262" s="2" t="n">
        <v>6</v>
      </c>
      <c r="J262" s="5">
        <f>SUM(F262:I262)</f>
        <v/>
      </c>
      <c r="K262" s="4" t="inlineStr">
        <is>
          <t>道路設計</t>
        </is>
      </c>
      <c r="L262" s="3" t="inlineStr">
        <is>
          <t>spp_wall</t>
        </is>
      </c>
      <c r="M262" s="3" t="inlineStr">
        <is>
          <t>明经CAD社区</t>
        </is>
      </c>
      <c r="N262" s="6" t="inlineStr">
        <is>
          <t>開く</t>
        </is>
      </c>
    </row>
    <row r="263">
      <c r="A263" s="2">
        <f>RANK(J263,$J$2:$J$656)</f>
        <v/>
      </c>
      <c r="B263" s="3" t="inlineStr">
        <is>
          <t>文字・テキスト</t>
        </is>
      </c>
      <c r="C263" s="3" t="inlineStr">
        <is>
          <t>KAI</t>
        </is>
      </c>
      <c r="D263" s="4" t="inlineStr">
        <is>
          <t>ZW工具 KAI 按空格拆分文字</t>
        </is>
      </c>
      <c r="E263" s="4" t="inlineStr">
        <is>
          <t>空白区切りの文字を個別文字に分割</t>
        </is>
      </c>
      <c r="F263" s="2" t="n">
        <v>16</v>
      </c>
      <c r="G263" s="2" t="n">
        <v>8</v>
      </c>
      <c r="H263" s="2" t="n">
        <v>12</v>
      </c>
      <c r="I263" s="2" t="n">
        <v>15</v>
      </c>
      <c r="J263" s="5">
        <f>SUM(F263:I263)</f>
        <v/>
      </c>
      <c r="K263" s="4" t="inlineStr">
        <is>
          <t>文字分割</t>
        </is>
      </c>
      <c r="L263" s="3" t="inlineStr">
        <is>
          <t>y1991427360s</t>
        </is>
      </c>
      <c r="M263" s="3" t="inlineStr">
        <is>
          <t>GitHub: y1991427360s/zwcad-autolisp-tools</t>
        </is>
      </c>
      <c r="N263" s="6" t="inlineStr">
        <is>
          <t>開く</t>
        </is>
      </c>
    </row>
    <row r="264">
      <c r="A264" s="2">
        <f>RANK(J264,$J$2:$J$656)</f>
        <v/>
      </c>
      <c r="B264" s="3" t="inlineStr">
        <is>
          <t>文字・テキスト</t>
        </is>
      </c>
      <c r="C264" s="3" t="inlineStr">
        <is>
          <t>ZHENG</t>
        </is>
      </c>
      <c r="D264" s="4" t="inlineStr">
        <is>
          <t>ZW工具 ZHENG 文字居中到线/矩形</t>
        </is>
      </c>
      <c r="E264" s="4" t="inlineStr">
        <is>
          <t>文字を線の中点・矩形中心へ水平中央寄せ</t>
        </is>
      </c>
      <c r="F264" s="2" t="n">
        <v>14</v>
      </c>
      <c r="G264" s="2" t="n">
        <v>8</v>
      </c>
      <c r="H264" s="2" t="n">
        <v>13</v>
      </c>
      <c r="I264" s="2" t="n">
        <v>16</v>
      </c>
      <c r="J264" s="5">
        <f>SUM(F264:I264)</f>
        <v/>
      </c>
      <c r="K264" s="4" t="inlineStr">
        <is>
          <t>中央寄せ</t>
        </is>
      </c>
      <c r="L264" s="3" t="inlineStr">
        <is>
          <t>y1991427360s</t>
        </is>
      </c>
      <c r="M264" s="3" t="inlineStr">
        <is>
          <t>GitHub: y1991427360s/zwcad-autolisp-tools</t>
        </is>
      </c>
      <c r="N264" s="6" t="inlineStr">
        <is>
          <t>開く</t>
        </is>
      </c>
    </row>
    <row r="265">
      <c r="A265" s="2">
        <f>RANK(J265,$J$2:$J$656)</f>
        <v/>
      </c>
      <c r="B265" s="3" t="inlineStr">
        <is>
          <t>座標・測量・土木</t>
        </is>
      </c>
      <c r="C265" s="3" t="inlineStr">
        <is>
          <t>-</t>
        </is>
      </c>
      <c r="D265" s="4" t="inlineStr">
        <is>
          <t>动态桩号标注</t>
        </is>
      </c>
      <c r="E265" s="4" t="inlineStr">
        <is>
          <t>道路の測点（桩号）を動的注記</t>
        </is>
      </c>
      <c r="F265" s="2" t="n">
        <v>18</v>
      </c>
      <c r="G265" s="2" t="n">
        <v>14</v>
      </c>
      <c r="H265" s="2" t="n">
        <v>13</v>
      </c>
      <c r="I265" s="2" t="n">
        <v>6</v>
      </c>
      <c r="J265" s="5">
        <f>SUM(F265:I265)</f>
        <v/>
      </c>
      <c r="K265" s="4" t="inlineStr">
        <is>
          <t>測点注記</t>
        </is>
      </c>
      <c r="L265" s="3" t="inlineStr">
        <is>
          <t>newbuser</t>
        </is>
      </c>
      <c r="M265" s="3" t="inlineStr">
        <is>
          <t>明经CAD社区</t>
        </is>
      </c>
      <c r="N265" s="6" t="inlineStr">
        <is>
          <t>開く</t>
        </is>
      </c>
    </row>
    <row r="266">
      <c r="A266" s="2">
        <f>RANK(J266,$J$2:$J$656)</f>
        <v/>
      </c>
      <c r="B266" s="3" t="inlineStr">
        <is>
          <t>作図</t>
        </is>
      </c>
      <c r="C266" s="3" t="inlineStr">
        <is>
          <t>-</t>
        </is>
      </c>
      <c r="D266" s="4" t="inlineStr">
        <is>
          <t>动态线形比例3.0</t>
        </is>
      </c>
      <c r="E266" s="4" t="inlineStr">
        <is>
          <t>線種尺度を動的に調整</t>
        </is>
      </c>
      <c r="F266" s="2" t="n">
        <v>12</v>
      </c>
      <c r="G266" s="2" t="n">
        <v>14</v>
      </c>
      <c r="H266" s="2" t="n">
        <v>10</v>
      </c>
      <c r="I266" s="2" t="n">
        <v>15</v>
      </c>
      <c r="J266" s="5">
        <f>SUM(F266:I266)</f>
        <v/>
      </c>
      <c r="K266" s="4" t="inlineStr">
        <is>
          <t>動的LTSCALE</t>
        </is>
      </c>
      <c r="L266" s="3" t="inlineStr">
        <is>
          <t>1028695446</t>
        </is>
      </c>
      <c r="M266" s="3" t="inlineStr">
        <is>
          <t>明经CAD社区</t>
        </is>
      </c>
      <c r="N266" s="6" t="inlineStr">
        <is>
          <t>開く</t>
        </is>
      </c>
    </row>
    <row r="267">
      <c r="A267" s="2">
        <f>RANK(J267,$J$2:$J$656)</f>
        <v/>
      </c>
      <c r="B267" s="3" t="inlineStr">
        <is>
          <t>その他</t>
        </is>
      </c>
      <c r="C267" s="3" t="inlineStr">
        <is>
          <t>-</t>
        </is>
      </c>
      <c r="D267" s="4" t="inlineStr">
        <is>
          <t>区域删除（支持孤岛）</t>
        </is>
      </c>
      <c r="E267" s="4" t="inlineStr">
        <is>
          <t>閉領域内の図形を島処理付きで削除</t>
        </is>
      </c>
      <c r="F267" s="2" t="n">
        <v>14</v>
      </c>
      <c r="G267" s="2" t="n">
        <v>10</v>
      </c>
      <c r="H267" s="2" t="n">
        <v>12</v>
      </c>
      <c r="I267" s="2" t="n">
        <v>15</v>
      </c>
      <c r="J267" s="5">
        <f>SUM(F267:I267)</f>
        <v/>
      </c>
      <c r="K267" s="4" t="inlineStr">
        <is>
          <t>領域内削除</t>
        </is>
      </c>
      <c r="L267" s="3" t="inlineStr"/>
      <c r="M267" s="3" t="inlineStr">
        <is>
          <t>晓东CAD家园</t>
        </is>
      </c>
      <c r="N267" s="6" t="inlineStr">
        <is>
          <t>開く</t>
        </is>
      </c>
    </row>
    <row r="268">
      <c r="A268" s="2">
        <f>RANK(J268,$J$2:$J$656)</f>
        <v/>
      </c>
      <c r="B268" s="3" t="inlineStr">
        <is>
          <t>印刷・レイアウト・図枠</t>
        </is>
      </c>
      <c r="C268" s="3" t="inlineStr">
        <is>
          <t>-</t>
        </is>
      </c>
      <c r="D268" s="4" t="inlineStr">
        <is>
          <t>合并布局</t>
        </is>
      </c>
      <c r="E268" s="4" t="inlineStr">
        <is>
          <t>複数図面のレイアウトを1図面に統合</t>
        </is>
      </c>
      <c r="F268" s="2" t="n">
        <v>16</v>
      </c>
      <c r="G268" s="2" t="n">
        <v>10</v>
      </c>
      <c r="H268" s="2" t="n">
        <v>12</v>
      </c>
      <c r="I268" s="2" t="n">
        <v>13</v>
      </c>
      <c r="J268" s="5">
        <f>SUM(F268:I268)</f>
        <v/>
      </c>
      <c r="K268" s="4" t="inlineStr">
        <is>
          <t>レイアウト統合</t>
        </is>
      </c>
      <c r="L268" s="3" t="inlineStr"/>
      <c r="M268" s="3" t="inlineStr">
        <is>
          <t>晓东CAD家园</t>
        </is>
      </c>
      <c r="N268" s="6" t="inlineStr">
        <is>
          <t>開く</t>
        </is>
      </c>
    </row>
    <row r="269">
      <c r="A269" s="2">
        <f>RANK(J269,$J$2:$J$656)</f>
        <v/>
      </c>
      <c r="B269" s="3" t="inlineStr">
        <is>
          <t>表・Excel連携</t>
        </is>
      </c>
      <c r="C269" s="3" t="inlineStr">
        <is>
          <t>圆心半径</t>
        </is>
      </c>
      <c r="D269" s="4" t="inlineStr">
        <is>
          <t>圆心半径统计 (@lisp统计表格)</t>
        </is>
      </c>
      <c r="E269" s="4" t="inlineStr">
        <is>
          <t>円の中心座標・半径を表に出力</t>
        </is>
      </c>
      <c r="F269" s="2" t="n">
        <v>18</v>
      </c>
      <c r="G269" s="2" t="n">
        <v>8</v>
      </c>
      <c r="H269" s="2" t="n">
        <v>13</v>
      </c>
      <c r="I269" s="2" t="n">
        <v>12</v>
      </c>
      <c r="J269" s="5">
        <f>SUM(F269:I269)</f>
        <v/>
      </c>
      <c r="K269" s="4" t="inlineStr">
        <is>
          <t>穴座標表の作成</t>
        </is>
      </c>
      <c r="L269" s="3" t="inlineStr">
        <is>
          <t>VitalGG</t>
        </is>
      </c>
      <c r="M269" s="3" t="inlineStr">
        <is>
          <t>@lisp 应用云</t>
        </is>
      </c>
      <c r="N269" s="6" t="inlineStr">
        <is>
          <t>開く</t>
        </is>
      </c>
    </row>
    <row r="270">
      <c r="A270" s="2">
        <f>RANK(J270,$J$2:$J$656)</f>
        <v/>
      </c>
      <c r="B270" s="3" t="inlineStr">
        <is>
          <t>線・ポリライン編集</t>
        </is>
      </c>
      <c r="C270" s="3" t="inlineStr">
        <is>
          <t>PLD</t>
        </is>
      </c>
      <c r="D270" s="4" t="inlineStr">
        <is>
          <t>多段线减点_v1.8</t>
        </is>
      </c>
      <c r="E270" s="4" t="inlineStr">
        <is>
          <t>ポリラインの頂点を間引き</t>
        </is>
      </c>
      <c r="F270" s="2" t="n">
        <v>16</v>
      </c>
      <c r="G270" s="2" t="n">
        <v>8</v>
      </c>
      <c r="H270" s="2" t="n">
        <v>12</v>
      </c>
      <c r="I270" s="2" t="n">
        <v>15</v>
      </c>
      <c r="J270" s="5">
        <f>SUM(F270:I270)</f>
        <v/>
      </c>
      <c r="K270" s="4" t="inlineStr">
        <is>
          <t>頂点間引き</t>
        </is>
      </c>
      <c r="L270" s="3" t="inlineStr">
        <is>
          <t>kucha007</t>
        </is>
      </c>
      <c r="M270" s="3" t="inlineStr">
        <is>
          <t>明经CAD社区</t>
        </is>
      </c>
      <c r="N270" s="6" t="inlineStr">
        <is>
          <t>開く</t>
        </is>
      </c>
    </row>
    <row r="271">
      <c r="A271" s="2">
        <f>RANK(J271,$J$2:$J$656)</f>
        <v/>
      </c>
      <c r="B271" s="3" t="inlineStr">
        <is>
          <t>作図</t>
        </is>
      </c>
      <c r="C271" s="3" t="inlineStr">
        <is>
          <t>对齐排列</t>
        </is>
      </c>
      <c r="D271" s="4" t="inlineStr">
        <is>
          <t>对齐排列</t>
        </is>
      </c>
      <c r="E271" s="4" t="inlineStr">
        <is>
          <t>図形の整列配置・図枠の並べ替え</t>
        </is>
      </c>
      <c r="F271" s="2" t="n">
        <v>12</v>
      </c>
      <c r="G271" s="2" t="n">
        <v>8</v>
      </c>
      <c r="H271" s="2" t="n">
        <v>13</v>
      </c>
      <c r="I271" s="2" t="n">
        <v>18</v>
      </c>
      <c r="J271" s="5">
        <f>SUM(F271:I271)</f>
        <v/>
      </c>
      <c r="K271" s="4" t="inlineStr">
        <is>
          <t>整列配置</t>
        </is>
      </c>
      <c r="L271" s="3" t="inlineStr">
        <is>
          <t>start4444</t>
        </is>
      </c>
      <c r="M271" s="3" t="inlineStr">
        <is>
          <t>@lisp 应用云</t>
        </is>
      </c>
      <c r="N271" s="6" t="inlineStr">
        <is>
          <t>開く</t>
        </is>
      </c>
    </row>
    <row r="272">
      <c r="A272" s="2">
        <f>RANK(J272,$J$2:$J$656)</f>
        <v/>
      </c>
      <c r="B272" s="3" t="inlineStr">
        <is>
          <t>ブロック・属性</t>
        </is>
      </c>
      <c r="C272" s="3" t="inlineStr">
        <is>
          <t>@block:match-att-style</t>
        </is>
      </c>
      <c r="D272" s="4" t="inlineStr">
        <is>
          <t>属性样式刷 (@lisp Block)</t>
        </is>
      </c>
      <c r="E272" s="4" t="inlineStr">
        <is>
          <t>属性の書式を同名ブロックの同名属性へ反映</t>
        </is>
      </c>
      <c r="F272" s="2" t="n">
        <v>14</v>
      </c>
      <c r="G272" s="2" t="n">
        <v>12</v>
      </c>
      <c r="H272" s="2" t="n">
        <v>11</v>
      </c>
      <c r="I272" s="2" t="n">
        <v>14</v>
      </c>
      <c r="J272" s="5">
        <f>SUM(F272:I272)</f>
        <v/>
      </c>
      <c r="K272" s="4" t="inlineStr">
        <is>
          <t>BATTMANの同期と部分重複</t>
        </is>
      </c>
      <c r="L272" s="3" t="inlineStr">
        <is>
          <t>VitalGG</t>
        </is>
      </c>
      <c r="M272" s="3" t="inlineStr">
        <is>
          <t>@lisp 应用云</t>
        </is>
      </c>
      <c r="N272" s="6" t="inlineStr">
        <is>
          <t>開く</t>
        </is>
      </c>
    </row>
    <row r="273">
      <c r="A273" s="2">
        <f>RANK(J273,$J$2:$J$656)</f>
        <v/>
      </c>
      <c r="B273" s="3" t="inlineStr">
        <is>
          <t>作図</t>
        </is>
      </c>
      <c r="C273" s="3" t="inlineStr">
        <is>
          <t>-</t>
        </is>
      </c>
      <c r="D273" s="4" t="inlineStr">
        <is>
          <t>批量插入PDF文件到cad</t>
        </is>
      </c>
      <c r="E273" s="4" t="inlineStr">
        <is>
          <t>複数PDFを一括でCADに取込</t>
        </is>
      </c>
      <c r="F273" s="2" t="n">
        <v>15</v>
      </c>
      <c r="G273" s="2" t="n">
        <v>8</v>
      </c>
      <c r="H273" s="2" t="n">
        <v>14</v>
      </c>
      <c r="I273" s="2" t="n">
        <v>14</v>
      </c>
      <c r="J273" s="5">
        <f>SUM(F273:I273)</f>
        <v/>
      </c>
      <c r="K273" s="4" t="inlineStr">
        <is>
          <t>PDFIMPORT一括化</t>
        </is>
      </c>
      <c r="L273" s="3" t="inlineStr">
        <is>
          <t>jun353835273</t>
        </is>
      </c>
      <c r="M273" s="3" t="inlineStr">
        <is>
          <t>明经CAD社区</t>
        </is>
      </c>
      <c r="N273" s="6" t="inlineStr">
        <is>
          <t>開く</t>
        </is>
      </c>
    </row>
    <row r="274">
      <c r="A274" s="2">
        <f>RANK(J274,$J$2:$J$656)</f>
        <v/>
      </c>
      <c r="B274" s="3" t="inlineStr">
        <is>
          <t>線・ポリライン編集</t>
        </is>
      </c>
      <c r="C274" s="3" t="inlineStr">
        <is>
          <t>-</t>
        </is>
      </c>
      <c r="D274" s="4" t="inlineStr">
        <is>
          <t>框选一次性倒R角</t>
        </is>
      </c>
      <c r="E274" s="4" t="inlineStr">
        <is>
          <t>範囲選択で全角部を一括フィレット</t>
        </is>
      </c>
      <c r="F274" s="2" t="n">
        <v>14</v>
      </c>
      <c r="G274" s="2" t="n">
        <v>8</v>
      </c>
      <c r="H274" s="2" t="n">
        <v>14</v>
      </c>
      <c r="I274" s="2" t="n">
        <v>15</v>
      </c>
      <c r="J274" s="5">
        <f>SUM(F274:I274)</f>
        <v/>
      </c>
      <c r="K274" s="4" t="inlineStr">
        <is>
          <t>一括フィレット</t>
        </is>
      </c>
      <c r="L274" s="3" t="inlineStr">
        <is>
          <t>aaacjh</t>
        </is>
      </c>
      <c r="M274" s="3" t="inlineStr">
        <is>
          <t>明经CAD社区</t>
        </is>
      </c>
      <c r="N274" s="6" t="inlineStr">
        <is>
          <t>開く</t>
        </is>
      </c>
    </row>
    <row r="275">
      <c r="A275" s="2">
        <f>RANK(J275,$J$2:$J$656)</f>
        <v/>
      </c>
      <c r="B275" s="3" t="inlineStr">
        <is>
          <t>寸法</t>
        </is>
      </c>
      <c r="C275" s="3" t="inlineStr">
        <is>
          <t>-</t>
        </is>
      </c>
      <c r="D275" s="4" t="inlineStr">
        <is>
          <t>模仿天正逐点标注</t>
        </is>
      </c>
      <c r="E275" s="4" t="inlineStr">
        <is>
          <t>点を順にクリックして連続寸法</t>
        </is>
      </c>
      <c r="F275" s="2" t="n">
        <v>12</v>
      </c>
      <c r="G275" s="2" t="n">
        <v>8</v>
      </c>
      <c r="H275" s="2" t="n">
        <v>15</v>
      </c>
      <c r="I275" s="2" t="n">
        <v>16</v>
      </c>
      <c r="J275" s="5">
        <f>SUM(F275:I275)</f>
        <v/>
      </c>
      <c r="K275" s="4" t="inlineStr">
        <is>
          <t>DIMCONTINUE強化</t>
        </is>
      </c>
      <c r="L275" s="3" t="inlineStr">
        <is>
          <t>wowan1314</t>
        </is>
      </c>
      <c r="M275" s="3" t="inlineStr">
        <is>
          <t>明经CAD社区</t>
        </is>
      </c>
      <c r="N275" s="6" t="inlineStr">
        <is>
          <t>開く</t>
        </is>
      </c>
    </row>
    <row r="276">
      <c r="A276" s="2">
        <f>RANK(J276,$J$2:$J$656)</f>
        <v/>
      </c>
      <c r="B276" s="3" t="inlineStr">
        <is>
          <t>構造・鉄骨・機械</t>
        </is>
      </c>
      <c r="C276" s="3" t="inlineStr">
        <is>
          <t>墙生插筋点/统计板型</t>
        </is>
      </c>
      <c r="D276" s="4" t="inlineStr">
        <is>
          <t>装配建筑</t>
        </is>
      </c>
      <c r="E276" s="4" t="inlineStr">
        <is>
          <t>PC壁の差し筋作図・部材番号・梁板型集計</t>
        </is>
      </c>
      <c r="F276" s="2" t="n">
        <v>20</v>
      </c>
      <c r="G276" s="2" t="n">
        <v>12</v>
      </c>
      <c r="H276" s="2" t="n">
        <v>15</v>
      </c>
      <c r="I276" s="2" t="n">
        <v>4</v>
      </c>
      <c r="J276" s="5">
        <f>SUM(F276:I276)</f>
        <v/>
      </c>
      <c r="K276" s="4" t="inlineStr">
        <is>
          <t>PC建築専用</t>
        </is>
      </c>
      <c r="L276" s="3" t="inlineStr">
        <is>
          <t>VitalGG</t>
        </is>
      </c>
      <c r="M276" s="3" t="inlineStr">
        <is>
          <t>@lisp 应用云</t>
        </is>
      </c>
      <c r="N276" s="6" t="inlineStr">
        <is>
          <t>開く</t>
        </is>
      </c>
    </row>
    <row r="277">
      <c r="A277" s="2">
        <f>RANK(J277,$J$2:$J$656)</f>
        <v/>
      </c>
      <c r="B277" s="3" t="inlineStr">
        <is>
          <t>寸法</t>
        </is>
      </c>
      <c r="C277" s="3" t="inlineStr">
        <is>
          <t>选线标斜率</t>
        </is>
      </c>
      <c r="D277" s="4" t="inlineStr">
        <is>
          <t>选线标斜率 (@lisp标注)</t>
        </is>
      </c>
      <c r="E277" s="4" t="inlineStr">
        <is>
          <t>線を選んで勾配(1:N)を自動記入</t>
        </is>
      </c>
      <c r="F277" s="2" t="n">
        <v>18</v>
      </c>
      <c r="G277" s="2" t="n">
        <v>9</v>
      </c>
      <c r="H277" s="2" t="n">
        <v>12</v>
      </c>
      <c r="I277" s="2" t="n">
        <v>12</v>
      </c>
      <c r="J277" s="5">
        <f>SUM(F277:I277)</f>
        <v/>
      </c>
      <c r="K277" s="4" t="inlineStr">
        <is>
          <t>勾配記入の自動化</t>
        </is>
      </c>
      <c r="L277" s="3" t="inlineStr">
        <is>
          <t>VitalGG</t>
        </is>
      </c>
      <c r="M277" s="3" t="inlineStr">
        <is>
          <t>@lisp 应用云</t>
        </is>
      </c>
      <c r="N277" s="6" t="inlineStr">
        <is>
          <t>開く</t>
        </is>
      </c>
    </row>
    <row r="278">
      <c r="A278" s="2">
        <f>RANK(J278,$J$2:$J$656)</f>
        <v/>
      </c>
      <c r="B278" s="3" t="inlineStr">
        <is>
          <t>建築</t>
        </is>
      </c>
      <c r="C278" s="3" t="inlineStr">
        <is>
          <t>门窗统计表</t>
        </is>
      </c>
      <c r="D278" s="4" t="inlineStr">
        <is>
          <t>门窗统计表 (@建筑)</t>
        </is>
      </c>
      <c r="E278" s="4" t="inlineStr">
        <is>
          <t>建具を型番別に集計し表を作成</t>
        </is>
      </c>
      <c r="F278" s="2" t="n">
        <v>17</v>
      </c>
      <c r="G278" s="2" t="n">
        <v>8</v>
      </c>
      <c r="H278" s="2" t="n">
        <v>17</v>
      </c>
      <c r="I278" s="2" t="n">
        <v>9</v>
      </c>
      <c r="J278" s="5">
        <f>SUM(F278:I278)</f>
        <v/>
      </c>
      <c r="K278" s="4" t="inlineStr">
        <is>
          <t>建具表の自動化</t>
        </is>
      </c>
      <c r="L278" s="3" t="inlineStr">
        <is>
          <t>VitalGG</t>
        </is>
      </c>
      <c r="M278" s="3" t="inlineStr">
        <is>
          <t>@lisp 应用云</t>
        </is>
      </c>
      <c r="N278" s="6" t="inlineStr">
        <is>
          <t>開く</t>
        </is>
      </c>
    </row>
    <row r="279">
      <c r="A279" s="2">
        <f>RANK(J279,$J$2:$J$656)</f>
        <v/>
      </c>
      <c r="B279" s="3" t="inlineStr">
        <is>
          <t>ハッチ・面積・長さ集計</t>
        </is>
      </c>
      <c r="C279" s="3" t="inlineStr">
        <is>
          <t>-</t>
        </is>
      </c>
      <c r="D279" s="4" t="inlineStr">
        <is>
          <t>面积标注程序（收集）</t>
        </is>
      </c>
      <c r="E279" s="4" t="inlineStr">
        <is>
          <t>閉領域の面積を図中に記入</t>
        </is>
      </c>
      <c r="F279" s="2" t="n">
        <v>12</v>
      </c>
      <c r="G279" s="2" t="n">
        <v>6</v>
      </c>
      <c r="H279" s="2" t="n">
        <v>16</v>
      </c>
      <c r="I279" s="2" t="n">
        <v>17</v>
      </c>
      <c r="J279" s="5">
        <f>SUM(F279:I279)</f>
        <v/>
      </c>
      <c r="K279" s="4" t="inlineStr">
        <is>
          <t>面積注記</t>
        </is>
      </c>
      <c r="L279" s="3" t="inlineStr">
        <is>
          <t>sy100</t>
        </is>
      </c>
      <c r="M279" s="3" t="inlineStr">
        <is>
          <t>明经CAD社区</t>
        </is>
      </c>
      <c r="N279" s="6" t="inlineStr">
        <is>
          <t>開く</t>
        </is>
      </c>
    </row>
    <row r="280">
      <c r="A280" s="2">
        <f>RANK(J280,$J$2:$J$656)</f>
        <v/>
      </c>
      <c r="B280" s="3" t="inlineStr">
        <is>
          <t>引出線・注記</t>
        </is>
      </c>
      <c r="C280" s="3" t="inlineStr">
        <is>
          <t>ct</t>
        </is>
      </c>
      <c r="D280" s="4" t="inlineStr">
        <is>
          <t>ct 写带圆圈数字</t>
        </is>
      </c>
      <c r="E280" s="4" t="inlineStr">
        <is>
          <t>丸数字を連番で配置</t>
        </is>
      </c>
      <c r="F280" s="2" t="n">
        <v>14</v>
      </c>
      <c r="G280" s="2" t="n">
        <v>6</v>
      </c>
      <c r="H280" s="2" t="n">
        <v>14</v>
      </c>
      <c r="I280" s="2" t="n">
        <v>16</v>
      </c>
      <c r="J280" s="5">
        <f>SUM(F280:I280)</f>
        <v/>
      </c>
      <c r="K280" s="4" t="inlineStr">
        <is>
          <t>丸番号連番</t>
        </is>
      </c>
      <c r="L280" s="3" t="inlineStr"/>
      <c r="M280" s="3" t="inlineStr">
        <is>
          <t>GitHub: zhugecaomao/AutoLISP</t>
        </is>
      </c>
      <c r="N280" s="6" t="inlineStr">
        <is>
          <t>開く</t>
        </is>
      </c>
    </row>
    <row r="281">
      <c r="A281" s="2">
        <f>RANK(J281,$J$2:$J$656)</f>
        <v/>
      </c>
      <c r="B281" s="3" t="inlineStr">
        <is>
          <t>設定・環境</t>
        </is>
      </c>
      <c r="C281" s="3" t="inlineStr">
        <is>
          <t>LP侧边栏</t>
        </is>
      </c>
      <c r="D281" s="4" t="inlineStr">
        <is>
          <t>LP侧边栏 / @侧边栏</t>
        </is>
      </c>
      <c r="E281" s="4" t="inlineStr">
        <is>
          <t>自作コマンドを登録できるサイドバー</t>
        </is>
      </c>
      <c r="F281" s="2" t="n">
        <v>12</v>
      </c>
      <c r="G281" s="2" t="n">
        <v>10</v>
      </c>
      <c r="H281" s="2" t="n">
        <v>12</v>
      </c>
      <c r="I281" s="2" t="n">
        <v>16</v>
      </c>
      <c r="J281" s="5">
        <f>SUM(F281:I281)</f>
        <v/>
      </c>
      <c r="K281" s="4" t="inlineStr">
        <is>
          <t>ツールパレット代替</t>
        </is>
      </c>
      <c r="L281" s="3" t="inlineStr">
        <is>
          <t>海角天涯</t>
        </is>
      </c>
      <c r="M281" s="3" t="inlineStr">
        <is>
          <t>@lisp 应用云</t>
        </is>
      </c>
      <c r="N281" s="6" t="inlineStr">
        <is>
          <t>開く</t>
        </is>
      </c>
    </row>
    <row r="282">
      <c r="A282" s="2">
        <f>RANK(J282,$J$2:$J$656)</f>
        <v/>
      </c>
      <c r="B282" s="3" t="inlineStr">
        <is>
          <t>作図</t>
        </is>
      </c>
      <c r="C282" s="3" t="inlineStr">
        <is>
          <t>批量插入/批量光栅</t>
        </is>
      </c>
      <c r="D282" s="4" t="inlineStr">
        <is>
          <t>ole图像</t>
        </is>
      </c>
      <c r="E282" s="4" t="inlineStr">
        <is>
          <t>画像ファイルをOLE/ラスタで一括挿入</t>
        </is>
      </c>
      <c r="F282" s="2" t="n">
        <v>16</v>
      </c>
      <c r="G282" s="2" t="n">
        <v>8</v>
      </c>
      <c r="H282" s="2" t="n">
        <v>12</v>
      </c>
      <c r="I282" s="2" t="n">
        <v>14</v>
      </c>
      <c r="J282" s="5">
        <f>SUM(F282:I282)</f>
        <v/>
      </c>
      <c r="K282" s="4" t="inlineStr">
        <is>
          <t>画像一括挿入</t>
        </is>
      </c>
      <c r="L282" s="3" t="inlineStr">
        <is>
          <t>VitalGG</t>
        </is>
      </c>
      <c r="M282" s="3" t="inlineStr">
        <is>
          <t>@lisp 应用云</t>
        </is>
      </c>
      <c r="N282" s="6" t="inlineStr">
        <is>
          <t>開く</t>
        </is>
      </c>
    </row>
    <row r="283">
      <c r="A283" s="2">
        <f>RANK(J283,$J$2:$J$656)</f>
        <v/>
      </c>
      <c r="B283" s="3" t="inlineStr">
        <is>
          <t>建築</t>
        </is>
      </c>
      <c r="C283" s="3" t="inlineStr">
        <is>
          <t>-</t>
        </is>
      </c>
      <c r="D283" s="4" t="inlineStr">
        <is>
          <t>RSArch 审图工具</t>
        </is>
      </c>
      <c r="E283" s="4" t="inlineStr">
        <is>
          <t>建築図面審査（チェック）ツール</t>
        </is>
      </c>
      <c r="F283" s="2" t="n">
        <v>18</v>
      </c>
      <c r="G283" s="2" t="n">
        <v>12</v>
      </c>
      <c r="H283" s="2" t="n">
        <v>12</v>
      </c>
      <c r="I283" s="2" t="n">
        <v>8</v>
      </c>
      <c r="J283" s="5">
        <f>SUM(F283:I283)</f>
        <v/>
      </c>
      <c r="K283" s="4" t="inlineStr">
        <is>
          <t>審図補助</t>
        </is>
      </c>
      <c r="L283" s="3" t="inlineStr">
        <is>
          <t>arcers</t>
        </is>
      </c>
      <c r="M283" s="3" t="inlineStr">
        <is>
          <t>明经CAD社区</t>
        </is>
      </c>
      <c r="N283" s="6" t="inlineStr">
        <is>
          <t>開く</t>
        </is>
      </c>
    </row>
    <row r="284">
      <c r="A284" s="2">
        <f>RANK(J284,$J$2:$J$656)</f>
        <v/>
      </c>
      <c r="B284" s="3" t="inlineStr">
        <is>
          <t>建築</t>
        </is>
      </c>
      <c r="C284" s="3" t="inlineStr">
        <is>
          <t>MD/CY/JL/SYH</t>
        </is>
      </c>
      <c r="D284" s="4" t="inlineStr">
        <is>
          <t>RuiCAD 门板抽屉五金孔位</t>
        </is>
      </c>
      <c r="E284" s="4" t="inlineStr">
        <is>
          <t>扉・引出し・丁番・32mm系統穴を作図</t>
        </is>
      </c>
      <c r="F284" s="2" t="n">
        <v>18</v>
      </c>
      <c r="G284" s="2" t="n">
        <v>12</v>
      </c>
      <c r="H284" s="2" t="n">
        <v>15</v>
      </c>
      <c r="I284" s="2" t="n">
        <v>5</v>
      </c>
      <c r="J284" s="5">
        <f>SUM(F284:I284)</f>
        <v/>
      </c>
      <c r="K284" s="4" t="inlineStr">
        <is>
          <t>家具金物作図</t>
        </is>
      </c>
      <c r="L284" s="3" t="inlineStr">
        <is>
          <t>sschiplee</t>
        </is>
      </c>
      <c r="M284" s="3" t="inlineStr">
        <is>
          <t>GitHub: sschiplee/RuiCAD</t>
        </is>
      </c>
      <c r="N284" s="6" t="inlineStr">
        <is>
          <t>開く</t>
        </is>
      </c>
    </row>
    <row r="285">
      <c r="A285" s="2">
        <f>RANK(J285,$J$2:$J$656)</f>
        <v/>
      </c>
      <c r="B285" s="3" t="inlineStr">
        <is>
          <t>線・ポリライン編集</t>
        </is>
      </c>
      <c r="C285" s="3" t="inlineStr">
        <is>
          <t>-</t>
        </is>
      </c>
      <c r="D285" s="4" t="inlineStr">
        <is>
          <t>取封闭轮廓</t>
        </is>
      </c>
      <c r="E285" s="4" t="inlineStr">
        <is>
          <t>図形中の閉領域輪郭を抽出</t>
        </is>
      </c>
      <c r="F285" s="2" t="n">
        <v>14</v>
      </c>
      <c r="G285" s="2" t="n">
        <v>10</v>
      </c>
      <c r="H285" s="2" t="n">
        <v>12</v>
      </c>
      <c r="I285" s="2" t="n">
        <v>14</v>
      </c>
      <c r="J285" s="5">
        <f>SUM(F285:I285)</f>
        <v/>
      </c>
      <c r="K285" s="4" t="inlineStr">
        <is>
          <t>閉領域抽出</t>
        </is>
      </c>
      <c r="L285" s="3" t="inlineStr">
        <is>
          <t>xj6019</t>
        </is>
      </c>
      <c r="M285" s="3" t="inlineStr">
        <is>
          <t>明经CAD社区</t>
        </is>
      </c>
      <c r="N285" s="6" t="inlineStr">
        <is>
          <t>開く</t>
        </is>
      </c>
    </row>
    <row r="286">
      <c r="A286" s="2">
        <f>RANK(J286,$J$2:$J$656)</f>
        <v/>
      </c>
      <c r="B286" s="3" t="inlineStr">
        <is>
          <t>座標・測量・土木</t>
        </is>
      </c>
      <c r="C286" s="3" t="inlineStr">
        <is>
          <t>-</t>
        </is>
      </c>
      <c r="D286" s="4" t="inlineStr">
        <is>
          <t>坐标王5.0</t>
        </is>
      </c>
      <c r="E286" s="4" t="inlineStr">
        <is>
          <t>座標注記・杭番号・座標抽出・地籍測量</t>
        </is>
      </c>
      <c r="F286" s="2" t="n">
        <v>16</v>
      </c>
      <c r="G286" s="2" t="n">
        <v>8</v>
      </c>
      <c r="H286" s="2" t="n">
        <v>16</v>
      </c>
      <c r="I286" s="2" t="n">
        <v>10</v>
      </c>
      <c r="J286" s="5">
        <f>SUM(F286:I286)</f>
        <v/>
      </c>
      <c r="K286" s="4" t="inlineStr">
        <is>
          <t>測量座標ツール</t>
        </is>
      </c>
      <c r="L286" s="3" t="inlineStr">
        <is>
          <t>明粉</t>
        </is>
      </c>
      <c r="M286" s="3" t="inlineStr">
        <is>
          <t>明经CAD社区</t>
        </is>
      </c>
      <c r="N286" s="6" t="inlineStr">
        <is>
          <t>開く</t>
        </is>
      </c>
    </row>
    <row r="287">
      <c r="A287" s="2">
        <f>RANK(J287,$J$2:$J$656)</f>
        <v/>
      </c>
      <c r="B287" s="3" t="inlineStr">
        <is>
          <t>線・ポリライン編集</t>
        </is>
      </c>
      <c r="C287" s="3" t="inlineStr">
        <is>
          <t>-</t>
        </is>
      </c>
      <c r="D287" s="4" t="inlineStr">
        <is>
          <t>多段线顶点过滤/删除（圆弧可）</t>
        </is>
      </c>
      <c r="E287" s="4" t="inlineStr">
        <is>
          <t>円弧付きPLの頂点を条件削除</t>
        </is>
      </c>
      <c r="F287" s="2" t="n">
        <v>16</v>
      </c>
      <c r="G287" s="2" t="n">
        <v>8</v>
      </c>
      <c r="H287" s="2" t="n">
        <v>12</v>
      </c>
      <c r="I287" s="2" t="n">
        <v>14</v>
      </c>
      <c r="J287" s="5">
        <f>SUM(F287:I287)</f>
        <v/>
      </c>
      <c r="K287" s="4" t="inlineStr">
        <is>
          <t>頂点整理</t>
        </is>
      </c>
      <c r="L287" s="3" t="inlineStr">
        <is>
          <t>天天问</t>
        </is>
      </c>
      <c r="M287" s="3" t="inlineStr">
        <is>
          <t>明经CAD社区</t>
        </is>
      </c>
      <c r="N287" s="6" t="inlineStr">
        <is>
          <t>開く</t>
        </is>
      </c>
    </row>
    <row r="288">
      <c r="A288" s="2">
        <f>RANK(J288,$J$2:$J$656)</f>
        <v/>
      </c>
      <c r="B288" s="3" t="inlineStr">
        <is>
          <t>寸法</t>
        </is>
      </c>
      <c r="C288" s="3" t="inlineStr">
        <is>
          <t>-</t>
        </is>
      </c>
      <c r="D288" s="4" t="inlineStr">
        <is>
          <t>多边形自动标注+界线定位</t>
        </is>
      </c>
      <c r="E288" s="4" t="inlineStr">
        <is>
          <t>多角形の辺を自動寸法記入</t>
        </is>
      </c>
      <c r="F288" s="2" t="n">
        <v>16</v>
      </c>
      <c r="G288" s="2" t="n">
        <v>8</v>
      </c>
      <c r="H288" s="2" t="n">
        <v>14</v>
      </c>
      <c r="I288" s="2" t="n">
        <v>12</v>
      </c>
      <c r="J288" s="5">
        <f>SUM(F288:I288)</f>
        <v/>
      </c>
      <c r="K288" s="4" t="inlineStr">
        <is>
          <t>多角形寸法</t>
        </is>
      </c>
      <c r="L288" s="3" t="inlineStr">
        <is>
          <t>baogeu88</t>
        </is>
      </c>
      <c r="M288" s="3" t="inlineStr">
        <is>
          <t>明经CAD社区</t>
        </is>
      </c>
      <c r="N288" s="6" t="inlineStr">
        <is>
          <t>開く</t>
        </is>
      </c>
    </row>
    <row r="289">
      <c r="A289" s="2">
        <f>RANK(J289,$J$2:$J$656)</f>
        <v/>
      </c>
      <c r="B289" s="3" t="inlineStr">
        <is>
          <t>引出線・注記</t>
        </is>
      </c>
      <c r="C289" s="3" t="inlineStr">
        <is>
          <t>-</t>
        </is>
      </c>
      <c r="D289" s="4" t="inlineStr">
        <is>
          <t>多重引线编辑（长度角度箭头）</t>
        </is>
      </c>
      <c r="E289" s="4" t="inlineStr">
        <is>
          <t>マルチ引出線の長さ・角度・矢印を一括編集</t>
        </is>
      </c>
      <c r="F289" s="2" t="n">
        <v>14</v>
      </c>
      <c r="G289" s="2" t="n">
        <v>10</v>
      </c>
      <c r="H289" s="2" t="n">
        <v>12</v>
      </c>
      <c r="I289" s="2" t="n">
        <v>14</v>
      </c>
      <c r="J289" s="5">
        <f>SUM(F289:I289)</f>
        <v/>
      </c>
      <c r="K289" s="4" t="inlineStr">
        <is>
          <t>MLEADER一括編集</t>
        </is>
      </c>
      <c r="L289" s="3" t="inlineStr"/>
      <c r="M289" s="3" t="inlineStr">
        <is>
          <t>晓东CAD家园</t>
        </is>
      </c>
      <c r="N289" s="6" t="inlineStr">
        <is>
          <t>開く</t>
        </is>
      </c>
    </row>
    <row r="290">
      <c r="A290" s="2">
        <f>RANK(J290,$J$2:$J$656)</f>
        <v/>
      </c>
      <c r="B290" s="3" t="inlineStr">
        <is>
          <t>寸法</t>
        </is>
      </c>
      <c r="C290" s="3" t="inlineStr">
        <is>
          <t>尺寸偏差</t>
        </is>
      </c>
      <c r="D290" s="4" t="inlineStr">
        <is>
          <t>尺寸偏差 (@lisp标注)</t>
        </is>
      </c>
      <c r="E290" s="4" t="inlineStr">
        <is>
          <t>選択寸法の値を一律に増減</t>
        </is>
      </c>
      <c r="F290" s="2" t="n">
        <v>18</v>
      </c>
      <c r="G290" s="2" t="n">
        <v>10</v>
      </c>
      <c r="H290" s="2" t="n">
        <v>10</v>
      </c>
      <c r="I290" s="2" t="n">
        <v>12</v>
      </c>
      <c r="J290" s="5">
        <f>SUM(F290:I290)</f>
        <v/>
      </c>
      <c r="K290" s="4" t="inlineStr">
        <is>
          <t>寸法上書き一括調整</t>
        </is>
      </c>
      <c r="L290" s="3" t="inlineStr">
        <is>
          <t>VitalGG</t>
        </is>
      </c>
      <c r="M290" s="3" t="inlineStr">
        <is>
          <t>@lisp 应用云</t>
        </is>
      </c>
      <c r="N290" s="6" t="inlineStr">
        <is>
          <t>開く</t>
        </is>
      </c>
    </row>
    <row r="291">
      <c r="A291" s="2">
        <f>RANK(J291,$J$2:$J$656)</f>
        <v/>
      </c>
      <c r="B291" s="3" t="inlineStr">
        <is>
          <t>線・ポリライン編集</t>
        </is>
      </c>
      <c r="C291" s="3" t="inlineStr">
        <is>
          <t>ZDDX</t>
        </is>
      </c>
      <c r="D291" s="4" t="inlineStr">
        <is>
          <t>展多段线_v1.0</t>
        </is>
      </c>
      <c r="E291" s="4" t="inlineStr">
        <is>
          <t>ポリラインを直線に展開</t>
        </is>
      </c>
      <c r="F291" s="2" t="n">
        <v>18</v>
      </c>
      <c r="G291" s="2" t="n">
        <v>12</v>
      </c>
      <c r="H291" s="2" t="n">
        <v>10</v>
      </c>
      <c r="I291" s="2" t="n">
        <v>10</v>
      </c>
      <c r="J291" s="5">
        <f>SUM(F291:I291)</f>
        <v/>
      </c>
      <c r="K291" s="4" t="inlineStr">
        <is>
          <t>展開</t>
        </is>
      </c>
      <c r="L291" s="3" t="inlineStr">
        <is>
          <t>kucha007</t>
        </is>
      </c>
      <c r="M291" s="3" t="inlineStr">
        <is>
          <t>明经CAD社区</t>
        </is>
      </c>
      <c r="N291" s="6" t="inlineStr">
        <is>
          <t>開く</t>
        </is>
      </c>
    </row>
    <row r="292">
      <c r="A292" s="2">
        <f>RANK(J292,$J$2:$J$656)</f>
        <v/>
      </c>
      <c r="B292" s="3" t="inlineStr">
        <is>
          <t>座標・測量・土木</t>
        </is>
      </c>
      <c r="C292" s="3" t="inlineStr">
        <is>
          <t>平滑路口</t>
        </is>
      </c>
      <c r="D292" s="4" t="inlineStr">
        <is>
          <t>平滑路口 (@lisp curve)</t>
        </is>
      </c>
      <c r="E292" s="4" t="inlineStr">
        <is>
          <t>道路角を指定半径で一括フィレット</t>
        </is>
      </c>
      <c r="F292" s="2" t="n">
        <v>15</v>
      </c>
      <c r="G292" s="2" t="n">
        <v>12</v>
      </c>
      <c r="H292" s="2" t="n">
        <v>13</v>
      </c>
      <c r="I292" s="2" t="n">
        <v>10</v>
      </c>
      <c r="J292" s="5">
        <f>SUM(F292:I292)</f>
        <v/>
      </c>
      <c r="K292" s="4" t="inlineStr">
        <is>
          <t>道路角の一括R付け</t>
        </is>
      </c>
      <c r="L292" s="3" t="inlineStr">
        <is>
          <t>VitalGG</t>
        </is>
      </c>
      <c r="M292" s="3" t="inlineStr">
        <is>
          <t>@lisp 应用云</t>
        </is>
      </c>
      <c r="N292" s="6" t="inlineStr">
        <is>
          <t>開く</t>
        </is>
      </c>
    </row>
    <row r="293">
      <c r="A293" s="2">
        <f>RANK(J293,$J$2:$J$656)</f>
        <v/>
      </c>
      <c r="B293" s="3" t="inlineStr">
        <is>
          <t>作図</t>
        </is>
      </c>
      <c r="C293" s="3" t="inlineStr">
        <is>
          <t>-</t>
        </is>
      </c>
      <c r="D293" s="4" t="inlineStr">
        <is>
          <t>批量插入图像（表格式排列）</t>
        </is>
      </c>
      <c r="E293" s="4" t="inlineStr">
        <is>
          <t>画像を表形式に並べて一括挿入</t>
        </is>
      </c>
      <c r="F293" s="2" t="n">
        <v>16</v>
      </c>
      <c r="G293" s="2" t="n">
        <v>10</v>
      </c>
      <c r="H293" s="2" t="n">
        <v>12</v>
      </c>
      <c r="I293" s="2" t="n">
        <v>12</v>
      </c>
      <c r="J293" s="5">
        <f>SUM(F293:I293)</f>
        <v/>
      </c>
      <c r="K293" s="4" t="inlineStr">
        <is>
          <t>画像一覧配置</t>
        </is>
      </c>
      <c r="L293" s="3" t="inlineStr"/>
      <c r="M293" s="3" t="inlineStr">
        <is>
          <t>晓东CAD家园</t>
        </is>
      </c>
      <c r="N293" s="6" t="inlineStr">
        <is>
          <t>開く</t>
        </is>
      </c>
    </row>
    <row r="294">
      <c r="A294" s="2">
        <f>RANK(J294,$J$2:$J$656)</f>
        <v/>
      </c>
      <c r="B294" s="3" t="inlineStr">
        <is>
          <t>文字・テキスト</t>
        </is>
      </c>
      <c r="C294" s="3" t="inlineStr">
        <is>
          <t>批量精度</t>
        </is>
      </c>
      <c r="D294" s="4" t="inlineStr">
        <is>
          <t>批量精度 (@lisp数学)</t>
        </is>
      </c>
      <c r="E294" s="4" t="inlineStr">
        <is>
          <t>文字数値の小数桁を一括統一</t>
        </is>
      </c>
      <c r="F294" s="2" t="n">
        <v>17</v>
      </c>
      <c r="G294" s="2" t="n">
        <v>7</v>
      </c>
      <c r="H294" s="2" t="n">
        <v>11</v>
      </c>
      <c r="I294" s="2" t="n">
        <v>15</v>
      </c>
      <c r="J294" s="5">
        <f>SUM(F294:I294)</f>
        <v/>
      </c>
      <c r="K294" s="4" t="inlineStr">
        <is>
          <t>数値丸めの一括化</t>
        </is>
      </c>
      <c r="L294" s="3" t="inlineStr">
        <is>
          <t>VitalGG</t>
        </is>
      </c>
      <c r="M294" s="3" t="inlineStr">
        <is>
          <t>@lisp 应用云</t>
        </is>
      </c>
      <c r="N294" s="6" t="inlineStr">
        <is>
          <t>開く</t>
        </is>
      </c>
    </row>
    <row r="295">
      <c r="A295" s="2">
        <f>RANK(J295,$J$2:$J$656)</f>
        <v/>
      </c>
      <c r="B295" s="3" t="inlineStr">
        <is>
          <t>線・ポリライン編集</t>
        </is>
      </c>
      <c r="C295" s="3" t="inlineStr">
        <is>
          <t>-</t>
        </is>
      </c>
      <c r="D295" s="4" t="inlineStr">
        <is>
          <t>改造FILLET支持框选</t>
        </is>
      </c>
      <c r="E295" s="4" t="inlineStr">
        <is>
          <t>フィレットを範囲選択で一括適用</t>
        </is>
      </c>
      <c r="F295" s="2" t="n">
        <v>14</v>
      </c>
      <c r="G295" s="2" t="n">
        <v>8</v>
      </c>
      <c r="H295" s="2" t="n">
        <v>13</v>
      </c>
      <c r="I295" s="2" t="n">
        <v>15</v>
      </c>
      <c r="J295" s="5">
        <f>SUM(F295:I295)</f>
        <v/>
      </c>
      <c r="K295" s="4" t="inlineStr">
        <is>
          <t>一括フィレット</t>
        </is>
      </c>
      <c r="L295" s="3" t="inlineStr">
        <is>
          <t>liu22737</t>
        </is>
      </c>
      <c r="M295" s="3" t="inlineStr">
        <is>
          <t>明经CAD社区</t>
        </is>
      </c>
      <c r="N295" s="6" t="inlineStr">
        <is>
          <t>開く</t>
        </is>
      </c>
    </row>
    <row r="296">
      <c r="A296" s="2">
        <f>RANK(J296,$J$2:$J$656)</f>
        <v/>
      </c>
      <c r="B296" s="3" t="inlineStr">
        <is>
          <t>設定・環境</t>
        </is>
      </c>
      <c r="C296" s="3" t="inlineStr">
        <is>
          <t>-</t>
        </is>
      </c>
      <c r="D296" s="4" t="inlineStr">
        <is>
          <t>海龙工具箱 制图规范定制（有料）</t>
        </is>
      </c>
      <c r="E296" s="4" t="inlineStr">
        <is>
          <t>社内製図規準（層・線種・文字）を設定し適用（有料）</t>
        </is>
      </c>
      <c r="F296" s="2" t="n">
        <v>14</v>
      </c>
      <c r="G296" s="2" t="n">
        <v>10</v>
      </c>
      <c r="H296" s="2" t="n">
        <v>14</v>
      </c>
      <c r="I296" s="2" t="n">
        <v>12</v>
      </c>
      <c r="J296" s="5">
        <f>SUM(F296:I296)</f>
        <v/>
      </c>
      <c r="K296" s="4" t="inlineStr">
        <is>
          <t>製図規準の自動適用</t>
        </is>
      </c>
      <c r="L296" s="3" t="inlineStr">
        <is>
          <t>海龙</t>
        </is>
      </c>
      <c r="M296" s="3" t="inlineStr">
        <is>
          <t>海龙工具箱</t>
        </is>
      </c>
      <c r="N296" s="6" t="inlineStr">
        <is>
          <t>開く</t>
        </is>
      </c>
    </row>
    <row r="297">
      <c r="A297" s="2">
        <f>RANK(J297,$J$2:$J$656)</f>
        <v/>
      </c>
      <c r="B297" s="3" t="inlineStr">
        <is>
          <t>建築</t>
        </is>
      </c>
      <c r="C297" s="3" t="inlineStr">
        <is>
          <t>-</t>
        </is>
      </c>
      <c r="D297" s="4" t="inlineStr">
        <is>
          <t>海龙工具箱 立面快速绘制（有料）</t>
        </is>
      </c>
      <c r="E297" s="4" t="inlineStr">
        <is>
          <t>内装立面図を高速作図（有料）</t>
        </is>
      </c>
      <c r="F297" s="2" t="n">
        <v>16</v>
      </c>
      <c r="G297" s="2" t="n">
        <v>10</v>
      </c>
      <c r="H297" s="2" t="n">
        <v>16</v>
      </c>
      <c r="I297" s="2" t="n">
        <v>8</v>
      </c>
      <c r="J297" s="5">
        <f>SUM(F297:I297)</f>
        <v/>
      </c>
      <c r="K297" s="4" t="inlineStr">
        <is>
          <t>内装立面の高速作図</t>
        </is>
      </c>
      <c r="L297" s="3" t="inlineStr">
        <is>
          <t>海龙</t>
        </is>
      </c>
      <c r="M297" s="3" t="inlineStr">
        <is>
          <t>海龙工具箱</t>
        </is>
      </c>
      <c r="N297" s="6" t="inlineStr">
        <is>
          <t>開く</t>
        </is>
      </c>
    </row>
    <row r="298">
      <c r="A298" s="2">
        <f>RANK(J298,$J$2:$J$656)</f>
        <v/>
      </c>
      <c r="B298" s="3" t="inlineStr">
        <is>
          <t>建築</t>
        </is>
      </c>
      <c r="C298" s="3" t="inlineStr">
        <is>
          <t>-</t>
        </is>
      </c>
      <c r="D298" s="4" t="inlineStr">
        <is>
          <t>源泉设计 楼梯/扶梯平立剖</t>
        </is>
      </c>
      <c r="E298" s="4" t="inlineStr">
        <is>
          <t>階段・エスカレーターの平立断面を作図</t>
        </is>
      </c>
      <c r="F298" s="2" t="n">
        <v>18</v>
      </c>
      <c r="G298" s="2" t="n">
        <v>10</v>
      </c>
      <c r="H298" s="2" t="n">
        <v>15</v>
      </c>
      <c r="I298" s="2" t="n">
        <v>7</v>
      </c>
      <c r="J298" s="5">
        <f>SUM(F298:I298)</f>
        <v/>
      </c>
      <c r="K298" s="4" t="inlineStr">
        <is>
          <t>階段作図</t>
        </is>
      </c>
      <c r="L298" s="3" t="inlineStr">
        <is>
          <t>源泉</t>
        </is>
      </c>
      <c r="M298" s="3" t="inlineStr">
        <is>
          <t>源泉设计</t>
        </is>
      </c>
      <c r="N298" s="6" t="inlineStr">
        <is>
          <t>開く</t>
        </is>
      </c>
    </row>
    <row r="299">
      <c r="A299" s="2">
        <f>RANK(J299,$J$2:$J$656)</f>
        <v/>
      </c>
      <c r="B299" s="3" t="inlineStr">
        <is>
          <t>設備</t>
        </is>
      </c>
      <c r="C299" s="3" t="inlineStr">
        <is>
          <t>DUCT/PIPE</t>
        </is>
      </c>
      <c r="D299" s="4" t="inlineStr">
        <is>
          <t>管道求解工具 (psk-tools)</t>
        </is>
      </c>
      <c r="E299" s="4" t="inlineStr">
        <is>
          <t>送排風・防排煙ダクト/配管を系統別に作図</t>
        </is>
      </c>
      <c r="F299" s="2" t="n">
        <v>18</v>
      </c>
      <c r="G299" s="2" t="n">
        <v>10</v>
      </c>
      <c r="H299" s="2" t="n">
        <v>16</v>
      </c>
      <c r="I299" s="2" t="n">
        <v>6</v>
      </c>
      <c r="J299" s="5">
        <f>SUM(F299:I299)</f>
        <v/>
      </c>
      <c r="K299" s="4" t="inlineStr">
        <is>
          <t>ダクト系統作図</t>
        </is>
      </c>
      <c r="L299" s="3" t="inlineStr">
        <is>
          <t>vectra</t>
        </is>
      </c>
      <c r="M299" s="3" t="inlineStr">
        <is>
          <t>@lisp 应用云</t>
        </is>
      </c>
      <c r="N299" s="6" t="inlineStr">
        <is>
          <t>開く</t>
        </is>
      </c>
    </row>
    <row r="300">
      <c r="A300" s="2">
        <f>RANK(J300,$J$2:$J$656)</f>
        <v/>
      </c>
      <c r="B300" s="3" t="inlineStr">
        <is>
          <t>設備</t>
        </is>
      </c>
      <c r="C300" s="3" t="inlineStr">
        <is>
          <t>-</t>
        </is>
      </c>
      <c r="D300" s="4" t="inlineStr">
        <is>
          <t>类似天正电气均匀布灯</t>
        </is>
      </c>
      <c r="E300" s="4" t="inlineStr">
        <is>
          <t>範囲に照明器具を均等配置</t>
        </is>
      </c>
      <c r="F300" s="2" t="n">
        <v>18</v>
      </c>
      <c r="G300" s="2" t="n">
        <v>10</v>
      </c>
      <c r="H300" s="2" t="n">
        <v>15</v>
      </c>
      <c r="I300" s="2" t="n">
        <v>7</v>
      </c>
      <c r="J300" s="5">
        <f>SUM(F300:I300)</f>
        <v/>
      </c>
      <c r="K300" s="4" t="inlineStr">
        <is>
          <t>照明均等配置</t>
        </is>
      </c>
      <c r="L300" s="3" t="inlineStr">
        <is>
          <t>jadekylin</t>
        </is>
      </c>
      <c r="M300" s="3" t="inlineStr">
        <is>
          <t>明经CAD社区</t>
        </is>
      </c>
      <c r="N300" s="6" t="inlineStr">
        <is>
          <t>開く</t>
        </is>
      </c>
    </row>
    <row r="301">
      <c r="A301" s="2">
        <f>RANK(J301,$J$2:$J$656)</f>
        <v/>
      </c>
      <c r="B301" s="3" t="inlineStr">
        <is>
          <t>表・Excel連携</t>
        </is>
      </c>
      <c r="C301" s="3" t="inlineStr">
        <is>
          <t>统计表格</t>
        </is>
      </c>
      <c r="D301" s="4" t="inlineStr">
        <is>
          <t>统计表格</t>
        </is>
      </c>
      <c r="E301" s="4" t="inlineStr">
        <is>
          <t>図元を集計して表を作図</t>
        </is>
      </c>
      <c r="F301" s="2" t="n">
        <v>12</v>
      </c>
      <c r="G301" s="2" t="n">
        <v>8</v>
      </c>
      <c r="H301" s="2" t="n">
        <v>14</v>
      </c>
      <c r="I301" s="2" t="n">
        <v>16</v>
      </c>
      <c r="J301" s="5">
        <f>SUM(F301:I301)</f>
        <v/>
      </c>
      <c r="K301" s="4" t="inlineStr">
        <is>
          <t>集計→表</t>
        </is>
      </c>
      <c r="L301" s="3" t="inlineStr">
        <is>
          <t>VitalGG</t>
        </is>
      </c>
      <c r="M301" s="3" t="inlineStr">
        <is>
          <t>@lisp 应用云</t>
        </is>
      </c>
      <c r="N301" s="6" t="inlineStr">
        <is>
          <t>開く</t>
        </is>
      </c>
    </row>
    <row r="302">
      <c r="A302" s="2">
        <f>RANK(J302,$J$2:$J$656)</f>
        <v/>
      </c>
      <c r="B302" s="3" t="inlineStr">
        <is>
          <t>選択・絞り込み</t>
        </is>
      </c>
      <c r="C302" s="3" t="inlineStr">
        <is>
          <t>-</t>
        </is>
      </c>
      <c r="D302" s="4" t="inlineStr">
        <is>
          <t>过滤选择V3.0（按层选择）</t>
        </is>
      </c>
      <c r="E302" s="4" t="inlineStr">
        <is>
          <t>画層・ブロック名ワイルドカードで選択</t>
        </is>
      </c>
      <c r="F302" s="2" t="n">
        <v>10</v>
      </c>
      <c r="G302" s="2" t="n">
        <v>8</v>
      </c>
      <c r="H302" s="2" t="n">
        <v>14</v>
      </c>
      <c r="I302" s="2" t="n">
        <v>18</v>
      </c>
      <c r="J302" s="5">
        <f>SUM(F302:I302)</f>
        <v/>
      </c>
      <c r="K302" s="4" t="inlineStr">
        <is>
          <t>層指定選択</t>
        </is>
      </c>
      <c r="L302" s="3" t="inlineStr">
        <is>
          <t>1028695446</t>
        </is>
      </c>
      <c r="M302" s="3" t="inlineStr">
        <is>
          <t>明经CAD社区</t>
        </is>
      </c>
      <c r="N302" s="6" t="inlineStr">
        <is>
          <t>開く</t>
        </is>
      </c>
    </row>
    <row r="303">
      <c r="A303" s="2">
        <f>RANK(J303,$J$2:$J$656)</f>
        <v/>
      </c>
      <c r="B303" s="3" t="inlineStr">
        <is>
          <t>表・Excel連携</t>
        </is>
      </c>
      <c r="C303" s="3" t="inlineStr">
        <is>
          <t>-</t>
        </is>
      </c>
      <c r="D303" s="4" t="inlineStr">
        <is>
          <t>Excel 表格转 CAD 表格</t>
        </is>
      </c>
      <c r="E303" s="4" t="inlineStr">
        <is>
          <t>Excel表をCADのTABLEに変換</t>
        </is>
      </c>
      <c r="F303" s="2" t="n">
        <v>10</v>
      </c>
      <c r="G303" s="2" t="n">
        <v>6</v>
      </c>
      <c r="H303" s="2" t="n">
        <v>15</v>
      </c>
      <c r="I303" s="2" t="n">
        <v>18</v>
      </c>
      <c r="J303" s="5">
        <f>SUM(F303:I303)</f>
        <v/>
      </c>
      <c r="K303" s="4" t="inlineStr">
        <is>
          <t>データリンクで部分代替</t>
        </is>
      </c>
      <c r="L303" s="3" t="inlineStr">
        <is>
          <t>橡皮</t>
        </is>
      </c>
      <c r="M303" s="3" t="inlineStr">
        <is>
          <t>明经CAD社区</t>
        </is>
      </c>
      <c r="N303" s="6" t="inlineStr">
        <is>
          <t>開く</t>
        </is>
      </c>
    </row>
    <row r="304">
      <c r="A304" s="2">
        <f>RANK(J304,$J$2:$J$656)</f>
        <v/>
      </c>
      <c r="B304" s="3" t="inlineStr">
        <is>
          <t>LISP開発用の部品</t>
        </is>
      </c>
      <c r="C304" s="3" t="inlineStr">
        <is>
          <t>-</t>
        </is>
      </c>
      <c r="D304" s="4" t="inlineStr">
        <is>
          <t>fun:search / fun:help</t>
        </is>
      </c>
      <c r="E304" s="4" t="inlineStr">
        <is>
          <t>クラウド関数ライブラリの検索・ヘルプ・ソース表示</t>
        </is>
      </c>
      <c r="F304" s="2" t="n">
        <v>16</v>
      </c>
      <c r="G304" s="2" t="n">
        <v>17</v>
      </c>
      <c r="H304" s="2" t="n">
        <v>5</v>
      </c>
      <c r="I304" s="2" t="n">
        <v>11</v>
      </c>
      <c r="J304" s="5">
        <f>SUM(F304:I304)</f>
        <v/>
      </c>
      <c r="K304" s="4" t="inlineStr">
        <is>
          <t>関数をクラウドから都度ロード</t>
        </is>
      </c>
      <c r="L304" s="3" t="inlineStr">
        <is>
          <t>VitalGG</t>
        </is>
      </c>
      <c r="M304" s="3" t="inlineStr">
        <is>
          <t>atlisp.cn</t>
        </is>
      </c>
      <c r="N304" s="6" t="inlineStr">
        <is>
          <t>開く</t>
        </is>
      </c>
    </row>
    <row r="305">
      <c r="A305" s="2">
        <f>RANK(J305,$J$2:$J$656)</f>
        <v/>
      </c>
      <c r="B305" s="3" t="inlineStr">
        <is>
          <t>LISP開発用の部品</t>
        </is>
      </c>
      <c r="C305" s="3" t="inlineStr">
        <is>
          <t>ListDCLeditor</t>
        </is>
      </c>
      <c r="D305" s="4" t="inlineStr">
        <is>
          <t>ListDCLeditor（飞诗）</t>
        </is>
      </c>
      <c r="E305" s="4" t="inlineStr">
        <is>
          <t>DCL対話框のグラフィカル編集器</t>
        </is>
      </c>
      <c r="F305" s="2" t="n">
        <v>20</v>
      </c>
      <c r="G305" s="2" t="n">
        <v>15</v>
      </c>
      <c r="H305" s="2" t="n">
        <v>6</v>
      </c>
      <c r="I305" s="2" t="n">
        <v>8</v>
      </c>
      <c r="J305" s="5">
        <f>SUM(F305:I305)</f>
        <v/>
      </c>
      <c r="K305" s="4" t="inlineStr">
        <is>
          <t>DCLのGUIエディタ</t>
        </is>
      </c>
      <c r="L305" s="3" t="inlineStr">
        <is>
          <t>飞诗(fsxm)</t>
        </is>
      </c>
      <c r="M305" s="3" t="inlineStr">
        <is>
          <t>@lisp 应用云</t>
        </is>
      </c>
      <c r="N305" s="6" t="inlineStr">
        <is>
          <t>開く</t>
        </is>
      </c>
    </row>
    <row r="306">
      <c r="A306" s="2">
        <f>RANK(J306,$J$2:$J$656)</f>
        <v/>
      </c>
      <c r="B306" s="3" t="inlineStr">
        <is>
          <t>設備</t>
        </is>
      </c>
      <c r="C306" s="3" t="inlineStr">
        <is>
          <t>PTB</t>
        </is>
      </c>
      <c r="D306" s="4" t="inlineStr">
        <is>
          <t>ZYFTools PL线转桥架</t>
        </is>
      </c>
      <c r="E306" s="4" t="inlineStr">
        <is>
          <t>ポリラインをケーブルラック図形に変換</t>
        </is>
      </c>
      <c r="F306" s="2" t="n">
        <v>18</v>
      </c>
      <c r="G306" s="2" t="n">
        <v>10</v>
      </c>
      <c r="H306" s="2" t="n">
        <v>15</v>
      </c>
      <c r="I306" s="2" t="n">
        <v>6</v>
      </c>
      <c r="J306" s="5">
        <f>SUM(F306:I306)</f>
        <v/>
      </c>
      <c r="K306" s="4" t="inlineStr">
        <is>
          <t>ラック作図</t>
        </is>
      </c>
      <c r="L306" s="3" t="inlineStr">
        <is>
          <t>WuwuZhang0019</t>
        </is>
      </c>
      <c r="M306" s="3" t="inlineStr">
        <is>
          <t>GitHub: WuwuZhang0019/CADTools</t>
        </is>
      </c>
      <c r="N306" s="6" t="inlineStr">
        <is>
          <t>開く</t>
        </is>
      </c>
    </row>
    <row r="307">
      <c r="A307" s="2">
        <f>RANK(J307,$J$2:$J$656)</f>
        <v/>
      </c>
      <c r="B307" s="3" t="inlineStr">
        <is>
          <t>座標・測量・土木</t>
        </is>
      </c>
      <c r="C307" s="3" t="inlineStr">
        <is>
          <t>zzArea2Table</t>
        </is>
      </c>
      <c r="D307" s="4" t="inlineStr">
        <is>
          <t>zzArea 面积统计列表</t>
        </is>
      </c>
      <c r="E307" s="4" t="inlineStr">
        <is>
          <t>閉領域面積を図中・表・ファイルに出力</t>
        </is>
      </c>
      <c r="F307" s="2" t="n">
        <v>14</v>
      </c>
      <c r="G307" s="2" t="n">
        <v>8</v>
      </c>
      <c r="H307" s="2" t="n">
        <v>15</v>
      </c>
      <c r="I307" s="2" t="n">
        <v>12</v>
      </c>
      <c r="J307" s="5">
        <f>SUM(F307:I307)</f>
        <v/>
      </c>
      <c r="K307" s="4" t="inlineStr">
        <is>
          <t>面積表出力</t>
        </is>
      </c>
      <c r="L307" s="3" t="inlineStr">
        <is>
          <t>Qin-Dong</t>
        </is>
      </c>
      <c r="M307" s="3" t="inlineStr">
        <is>
          <t>GitHub: Qin-Dong/Construction-Surveying-Toolkit-For-AutoCAD</t>
        </is>
      </c>
      <c r="N307" s="6" t="inlineStr">
        <is>
          <t>開く</t>
        </is>
      </c>
    </row>
    <row r="308">
      <c r="A308" s="2">
        <f>RANK(J308,$J$2:$J$656)</f>
        <v/>
      </c>
      <c r="B308" s="3" t="inlineStr">
        <is>
          <t>文字・テキスト</t>
        </is>
      </c>
      <c r="C308" s="3" t="inlineStr">
        <is>
          <t>-</t>
        </is>
      </c>
      <c r="D308" s="4" t="inlineStr">
        <is>
          <t>单行文本合并和拆分</t>
        </is>
      </c>
      <c r="E308" s="4" t="inlineStr">
        <is>
          <t>単線文字の結合・分割</t>
        </is>
      </c>
      <c r="F308" s="2" t="n">
        <v>12</v>
      </c>
      <c r="G308" s="2" t="n">
        <v>6</v>
      </c>
      <c r="H308" s="2" t="n">
        <v>13</v>
      </c>
      <c r="I308" s="2" t="n">
        <v>18</v>
      </c>
      <c r="J308" s="5">
        <f>SUM(F308:I308)</f>
        <v/>
      </c>
      <c r="K308" s="4" t="inlineStr">
        <is>
          <t>文字結合分割</t>
        </is>
      </c>
      <c r="L308" s="3" t="inlineStr">
        <is>
          <t>zsw23</t>
        </is>
      </c>
      <c r="M308" s="3" t="inlineStr">
        <is>
          <t>明经CAD社区</t>
        </is>
      </c>
      <c r="N308" s="6" t="inlineStr">
        <is>
          <t>開く</t>
        </is>
      </c>
    </row>
    <row r="309">
      <c r="A309" s="2">
        <f>RANK(J309,$J$2:$J$656)</f>
        <v/>
      </c>
      <c r="B309" s="3" t="inlineStr">
        <is>
          <t>文字・テキスト</t>
        </is>
      </c>
      <c r="C309" s="3" t="inlineStr">
        <is>
          <t>-</t>
        </is>
      </c>
      <c r="D309" s="4" t="inlineStr">
        <is>
          <t>多行文字格式清除</t>
        </is>
      </c>
      <c r="E309" s="4" t="inlineStr">
        <is>
          <t>MTEXTの書式コードを一括除去</t>
        </is>
      </c>
      <c r="F309" s="2" t="n">
        <v>12</v>
      </c>
      <c r="G309" s="2" t="n">
        <v>6</v>
      </c>
      <c r="H309" s="2" t="n">
        <v>13</v>
      </c>
      <c r="I309" s="2" t="n">
        <v>18</v>
      </c>
      <c r="J309" s="5">
        <f>SUM(F309:I309)</f>
        <v/>
      </c>
      <c r="K309" s="4" t="inlineStr">
        <is>
          <t>書式除去</t>
        </is>
      </c>
      <c r="L309" s="3" t="inlineStr">
        <is>
          <t>1028695446</t>
        </is>
      </c>
      <c r="M309" s="3" t="inlineStr">
        <is>
          <t>明经CAD社区</t>
        </is>
      </c>
      <c r="N309" s="6" t="inlineStr">
        <is>
          <t>開く</t>
        </is>
      </c>
    </row>
    <row r="310">
      <c r="A310" s="2">
        <f>RANK(J310,$J$2:$J$656)</f>
        <v/>
      </c>
      <c r="B310" s="3" t="inlineStr">
        <is>
          <t>表・Excel連携</t>
        </is>
      </c>
      <c r="C310" s="3" t="inlineStr">
        <is>
          <t>AT/AI</t>
        </is>
      </c>
      <c r="D310" s="4" t="inlineStr">
        <is>
          <t>属性值导入导出XLS</t>
        </is>
      </c>
      <c r="E310" s="4" t="inlineStr">
        <is>
          <t>ブロック属性値をExcelへ出力・取込</t>
        </is>
      </c>
      <c r="F310" s="2" t="n">
        <v>10</v>
      </c>
      <c r="G310" s="2" t="n">
        <v>6</v>
      </c>
      <c r="H310" s="2" t="n">
        <v>16</v>
      </c>
      <c r="I310" s="2" t="n">
        <v>17</v>
      </c>
      <c r="J310" s="5">
        <f>SUM(F310:I310)</f>
        <v/>
      </c>
      <c r="K310" s="4" t="inlineStr">
        <is>
          <t>ATTOUT/INで代替</t>
        </is>
      </c>
      <c r="L310" s="3" t="inlineStr">
        <is>
          <t>1028695446</t>
        </is>
      </c>
      <c r="M310" s="3" t="inlineStr">
        <is>
          <t>明经CAD社区</t>
        </is>
      </c>
      <c r="N310" s="6" t="inlineStr">
        <is>
          <t>開く</t>
        </is>
      </c>
    </row>
    <row r="311">
      <c r="A311" s="2">
        <f>RANK(J311,$J$2:$J$656)</f>
        <v/>
      </c>
      <c r="B311" s="3" t="inlineStr">
        <is>
          <t>文字・テキスト</t>
        </is>
      </c>
      <c r="C311" s="3" t="inlineStr">
        <is>
          <t>-</t>
        </is>
      </c>
      <c r="D311" s="4" t="inlineStr">
        <is>
          <t>批量文字样式管理工具</t>
        </is>
      </c>
      <c r="E311" s="4" t="inlineStr">
        <is>
          <t>文字スタイルの一括管理</t>
        </is>
      </c>
      <c r="F311" s="2" t="n">
        <v>12</v>
      </c>
      <c r="G311" s="2" t="n">
        <v>6</v>
      </c>
      <c r="H311" s="2" t="n">
        <v>13</v>
      </c>
      <c r="I311" s="2" t="n">
        <v>18</v>
      </c>
      <c r="J311" s="5">
        <f>SUM(F311:I311)</f>
        <v/>
      </c>
      <c r="K311" s="4" t="inlineStr">
        <is>
          <t>スタイル一括管理</t>
        </is>
      </c>
      <c r="L311" s="3" t="inlineStr">
        <is>
          <t>guangdonglbq</t>
        </is>
      </c>
      <c r="M311" s="3" t="inlineStr">
        <is>
          <t>明经CAD社区</t>
        </is>
      </c>
      <c r="N311" s="6" t="inlineStr">
        <is>
          <t>開く</t>
        </is>
      </c>
    </row>
    <row r="312">
      <c r="A312" s="2">
        <f>RANK(J312,$J$2:$J$656)</f>
        <v/>
      </c>
      <c r="B312" s="3" t="inlineStr">
        <is>
          <t>作図</t>
        </is>
      </c>
      <c r="C312" s="3" t="inlineStr">
        <is>
          <t>插编号1~20</t>
        </is>
      </c>
      <c r="D312" s="4" t="inlineStr">
        <is>
          <t>插编号 (@lisp数学)</t>
        </is>
      </c>
      <c r="E312" s="4" t="inlineStr">
        <is>
          <t>連番数字を連続クリックで配置</t>
        </is>
      </c>
      <c r="F312" s="2" t="n">
        <v>14</v>
      </c>
      <c r="G312" s="2" t="n">
        <v>6</v>
      </c>
      <c r="H312" s="2" t="n">
        <v>12</v>
      </c>
      <c r="I312" s="2" t="n">
        <v>17</v>
      </c>
      <c r="J312" s="5">
        <f>SUM(F312:I312)</f>
        <v/>
      </c>
      <c r="K312" s="4" t="inlineStr">
        <is>
          <t>連番配置の定番</t>
        </is>
      </c>
      <c r="L312" s="3" t="inlineStr">
        <is>
          <t>VitalGG</t>
        </is>
      </c>
      <c r="M312" s="3" t="inlineStr">
        <is>
          <t>@lisp 应用云</t>
        </is>
      </c>
      <c r="N312" s="6" t="inlineStr">
        <is>
          <t>開く</t>
        </is>
      </c>
    </row>
    <row r="313">
      <c r="A313" s="2">
        <f>RANK(J313,$J$2:$J$656)</f>
        <v/>
      </c>
      <c r="B313" s="3" t="inlineStr">
        <is>
          <t>ブロック・属性</t>
        </is>
      </c>
      <c r="C313" s="3" t="inlineStr">
        <is>
          <t>-</t>
        </is>
      </c>
      <c r="D313" s="4" t="inlineStr">
        <is>
          <t>新版刷块程序</t>
        </is>
      </c>
      <c r="E313" s="4" t="inlineStr">
        <is>
          <t>既存ブロックを別ブロックで刷り替え</t>
        </is>
      </c>
      <c r="F313" s="2" t="n">
        <v>10</v>
      </c>
      <c r="G313" s="2" t="n">
        <v>8</v>
      </c>
      <c r="H313" s="2" t="n">
        <v>14</v>
      </c>
      <c r="I313" s="2" t="n">
        <v>17</v>
      </c>
      <c r="J313" s="5">
        <f>SUM(F313:I313)</f>
        <v/>
      </c>
      <c r="K313" s="4" t="inlineStr">
        <is>
          <t>BLOCKREPLACE的</t>
        </is>
      </c>
      <c r="L313" s="3" t="inlineStr">
        <is>
          <t>duanshui83</t>
        </is>
      </c>
      <c r="M313" s="3" t="inlineStr">
        <is>
          <t>明经CAD社区</t>
        </is>
      </c>
      <c r="N313" s="6" t="inlineStr">
        <is>
          <t>開く</t>
        </is>
      </c>
    </row>
    <row r="314">
      <c r="A314" s="2">
        <f>RANK(J314,$J$2:$J$656)</f>
        <v/>
      </c>
      <c r="B314" s="3" t="inlineStr">
        <is>
          <t>設備</t>
        </is>
      </c>
      <c r="C314" s="3" t="inlineStr">
        <is>
          <t>-</t>
        </is>
      </c>
      <c r="D314" s="4" t="inlineStr">
        <is>
          <t>穿管线/穿桥架线长度计算（VBA）</t>
        </is>
      </c>
      <c r="E314" s="4" t="inlineStr">
        <is>
          <t>電線管・ケーブルラック内配線長を計算</t>
        </is>
      </c>
      <c r="F314" s="2" t="n">
        <v>18</v>
      </c>
      <c r="G314" s="2" t="n">
        <v>10</v>
      </c>
      <c r="H314" s="2" t="n">
        <v>15</v>
      </c>
      <c r="I314" s="2" t="n">
        <v>6</v>
      </c>
      <c r="J314" s="5">
        <f>SUM(F314:I314)</f>
        <v/>
      </c>
      <c r="K314" s="4" t="inlineStr">
        <is>
          <t>配線長計算</t>
        </is>
      </c>
      <c r="L314" s="3" t="inlineStr">
        <is>
          <t>cctv2cctv</t>
        </is>
      </c>
      <c r="M314" s="3" t="inlineStr">
        <is>
          <t>明经CAD社区</t>
        </is>
      </c>
      <c r="N314" s="6" t="inlineStr">
        <is>
          <t>開く</t>
        </is>
      </c>
    </row>
    <row r="315">
      <c r="A315" s="2">
        <f>RANK(J315,$J$2:$J$656)</f>
        <v/>
      </c>
      <c r="B315" s="3" t="inlineStr">
        <is>
          <t>ブロック・属性</t>
        </is>
      </c>
      <c r="C315" s="3" t="inlineStr">
        <is>
          <t>@block:count-nested</t>
        </is>
      </c>
      <c r="D315" s="4" t="inlineStr">
        <is>
          <t>统计嵌套块 (@lisp Block)</t>
        </is>
      </c>
      <c r="E315" s="4" t="inlineStr">
        <is>
          <t>入れ子を含むブロック参照数を集計</t>
        </is>
      </c>
      <c r="F315" s="2" t="n">
        <v>12</v>
      </c>
      <c r="G315" s="2" t="n">
        <v>10</v>
      </c>
      <c r="H315" s="2" t="n">
        <v>12</v>
      </c>
      <c r="I315" s="2" t="n">
        <v>15</v>
      </c>
      <c r="J315" s="5">
        <f>SUM(F315:I315)</f>
        <v/>
      </c>
      <c r="K315" s="4" t="inlineStr">
        <is>
          <t>COUNTは入れ子非対応</t>
        </is>
      </c>
      <c r="L315" s="3" t="inlineStr">
        <is>
          <t>VitalGG</t>
        </is>
      </c>
      <c r="M315" s="3" t="inlineStr">
        <is>
          <t>@lisp 应用云</t>
        </is>
      </c>
      <c r="N315" s="6" t="inlineStr">
        <is>
          <t>開く</t>
        </is>
      </c>
    </row>
    <row r="316">
      <c r="A316" s="2">
        <f>RANK(J316,$J$2:$J$656)</f>
        <v/>
      </c>
      <c r="B316" s="3" t="inlineStr">
        <is>
          <t>ブロック・属性</t>
        </is>
      </c>
      <c r="C316" s="3" t="inlineStr">
        <is>
          <t>Burst</t>
        </is>
      </c>
      <c r="D316" s="4" t="inlineStr">
        <is>
          <t>Burst升级版（修复byblock）</t>
        </is>
      </c>
      <c r="E316" s="4" t="inlineStr">
        <is>
          <t>BYBLOCK色を正しく保つBURST</t>
        </is>
      </c>
      <c r="F316" s="2" t="n">
        <v>14</v>
      </c>
      <c r="G316" s="2" t="n">
        <v>10</v>
      </c>
      <c r="H316" s="2" t="n">
        <v>10</v>
      </c>
      <c r="I316" s="2" t="n">
        <v>14</v>
      </c>
      <c r="J316" s="5">
        <f>SUM(F316:I316)</f>
        <v/>
      </c>
      <c r="K316" s="4" t="inlineStr">
        <is>
          <t>BURST改良</t>
        </is>
      </c>
      <c r="L316" s="3" t="inlineStr">
        <is>
          <t>kucha007</t>
        </is>
      </c>
      <c r="M316" s="3" t="inlineStr">
        <is>
          <t>明经CAD社区</t>
        </is>
      </c>
      <c r="N316" s="6" t="inlineStr">
        <is>
          <t>開く</t>
        </is>
      </c>
    </row>
    <row r="317">
      <c r="A317" s="2">
        <f>RANK(J317,$J$2:$J$656)</f>
        <v/>
      </c>
      <c r="B317" s="3" t="inlineStr">
        <is>
          <t>設定・環境</t>
        </is>
      </c>
      <c r="C317" s="3" t="inlineStr">
        <is>
          <t>xvg</t>
        </is>
      </c>
      <c r="D317" s="4" t="inlineStr">
        <is>
          <t>CAD_XDedit 扩展数据编辑</t>
        </is>
      </c>
      <c r="E317" s="4" t="inlineStr">
        <is>
          <t>マウスホバーでXDATA表示・クリックで編集</t>
        </is>
      </c>
      <c r="F317" s="2" t="n">
        <v>18</v>
      </c>
      <c r="G317" s="2" t="n">
        <v>16</v>
      </c>
      <c r="H317" s="2" t="n">
        <v>6</v>
      </c>
      <c r="I317" s="2" t="n">
        <v>8</v>
      </c>
      <c r="J317" s="5">
        <f>SUM(F317:I317)</f>
        <v/>
      </c>
      <c r="K317" s="4" t="inlineStr">
        <is>
          <t>XDATAのホバー表示</t>
        </is>
      </c>
      <c r="L317" s="3" t="inlineStr">
        <is>
          <t>1-1-2</t>
        </is>
      </c>
      <c r="M317" s="3" t="inlineStr">
        <is>
          <t>GitHub: 1-1-2/CAD_XDedit</t>
        </is>
      </c>
      <c r="N317" s="6" t="inlineStr">
        <is>
          <t>開く</t>
        </is>
      </c>
    </row>
    <row r="318">
      <c r="A318" s="2">
        <f>RANK(J318,$J$2:$J$656)</f>
        <v/>
      </c>
      <c r="B318" s="3" t="inlineStr">
        <is>
          <t>表・Excel連携</t>
        </is>
      </c>
      <c r="C318" s="3" t="inlineStr">
        <is>
          <t>-</t>
        </is>
      </c>
      <c r="D318" s="4" t="inlineStr">
        <is>
          <t>MagicTable 明经免费版</t>
        </is>
      </c>
      <c r="E318" s="4" t="inlineStr">
        <is>
          <t>CAD表とExcel連携強化</t>
        </is>
      </c>
      <c r="F318" s="2" t="n">
        <v>10</v>
      </c>
      <c r="G318" s="2" t="n">
        <v>8</v>
      </c>
      <c r="H318" s="2" t="n">
        <v>14</v>
      </c>
      <c r="I318" s="2" t="n">
        <v>16</v>
      </c>
      <c r="J318" s="5">
        <f>SUM(F318:I318)</f>
        <v/>
      </c>
      <c r="K318" s="4" t="inlineStr">
        <is>
          <t>表操作強化</t>
        </is>
      </c>
      <c r="L318" s="3" t="inlineStr">
        <is>
          <t>ProgramFancier</t>
        </is>
      </c>
      <c r="M318" s="3" t="inlineStr">
        <is>
          <t>明经CAD社区</t>
        </is>
      </c>
      <c r="N318" s="6" t="inlineStr">
        <is>
          <t>開く</t>
        </is>
      </c>
    </row>
    <row r="319">
      <c r="A319" s="2">
        <f>RANK(J319,$J$2:$J$656)</f>
        <v/>
      </c>
      <c r="B319" s="3" t="inlineStr">
        <is>
          <t>文字・テキスト</t>
        </is>
      </c>
      <c r="C319" s="3" t="inlineStr">
        <is>
          <t>MTEXTSUB</t>
        </is>
      </c>
      <c r="D319" s="4" t="inlineStr">
        <is>
          <t>MTEXTSUB 多行文字下标拆分</t>
        </is>
      </c>
      <c r="E319" s="4" t="inlineStr">
        <is>
          <t>~~区切り部を下付き小文字に変換</t>
        </is>
      </c>
      <c r="F319" s="2" t="n">
        <v>16</v>
      </c>
      <c r="G319" s="2" t="n">
        <v>14</v>
      </c>
      <c r="H319" s="2" t="n">
        <v>8</v>
      </c>
      <c r="I319" s="2" t="n">
        <v>10</v>
      </c>
      <c r="J319" s="5">
        <f>SUM(F319:I319)</f>
        <v/>
      </c>
      <c r="K319" s="4" t="inlineStr">
        <is>
          <t>下付き記法の変換</t>
        </is>
      </c>
      <c r="L319" s="3" t="inlineStr">
        <is>
          <t>shui-tiao</t>
        </is>
      </c>
      <c r="M319" s="3" t="inlineStr">
        <is>
          <t>GitHub: shui-tiao/AutoCAD-Lisp-Tools</t>
        </is>
      </c>
      <c r="N319" s="6" t="inlineStr">
        <is>
          <t>開く</t>
        </is>
      </c>
    </row>
    <row r="320">
      <c r="A320" s="2">
        <f>RANK(J320,$J$2:$J$656)</f>
        <v/>
      </c>
      <c r="B320" s="3" t="inlineStr">
        <is>
          <t>その他</t>
        </is>
      </c>
      <c r="C320" s="3" t="inlineStr">
        <is>
          <t>-</t>
        </is>
      </c>
      <c r="D320" s="4" t="inlineStr">
        <is>
          <t>tbTools(AutoCAD工具箱)</t>
        </is>
      </c>
      <c r="E320" s="4" t="inlineStr">
        <is>
          <t>サイドメニュー・一括印刷・通り芯定規・快速選択</t>
        </is>
      </c>
      <c r="F320" s="2" t="n">
        <v>10</v>
      </c>
      <c r="G320" s="2" t="n">
        <v>8</v>
      </c>
      <c r="H320" s="2" t="n">
        <v>14</v>
      </c>
      <c r="I320" s="2" t="n">
        <v>16</v>
      </c>
      <c r="J320" s="5">
        <f>SUM(F320:I320)</f>
        <v/>
      </c>
      <c r="K320" s="4" t="inlineStr">
        <is>
          <t>総合ツール箱</t>
        </is>
      </c>
      <c r="L320" s="3" t="inlineStr">
        <is>
          <t>TB</t>
        </is>
      </c>
      <c r="M320" s="3" t="inlineStr">
        <is>
          <t>晓东CAD家园</t>
        </is>
      </c>
      <c r="N320" s="6" t="inlineStr">
        <is>
          <t>開く</t>
        </is>
      </c>
    </row>
    <row r="321">
      <c r="A321" s="2">
        <f>RANK(J321,$J$2:$J$656)</f>
        <v/>
      </c>
      <c r="B321" s="3" t="inlineStr">
        <is>
          <t>LISP開発用の部品</t>
        </is>
      </c>
      <c r="C321" s="3" t="inlineStr">
        <is>
          <t>-</t>
        </is>
      </c>
      <c r="D321" s="4" t="inlineStr">
        <is>
          <t>VLisp开发小助手（不死猫）</t>
        </is>
      </c>
      <c r="E321" s="4" t="inlineStr">
        <is>
          <t>オブジェクト照会・修正とコード自動生成</t>
        </is>
      </c>
      <c r="F321" s="2" t="n">
        <v>18</v>
      </c>
      <c r="G321" s="2" t="n">
        <v>16</v>
      </c>
      <c r="H321" s="2" t="n">
        <v>6</v>
      </c>
      <c r="I321" s="2" t="n">
        <v>8</v>
      </c>
      <c r="J321" s="5">
        <f>SUM(F321:I321)</f>
        <v/>
      </c>
      <c r="K321" s="4" t="inlineStr">
        <is>
          <t>開発補助ツール</t>
        </is>
      </c>
      <c r="L321" s="3" t="inlineStr">
        <is>
          <t>nonsmall</t>
        </is>
      </c>
      <c r="M321" s="3" t="inlineStr">
        <is>
          <t>明经CAD社区</t>
        </is>
      </c>
      <c r="N321" s="6" t="inlineStr">
        <is>
          <t>開く</t>
        </is>
      </c>
    </row>
    <row r="322">
      <c r="A322" s="2">
        <f>RANK(J322,$J$2:$J$656)</f>
        <v/>
      </c>
      <c r="B322" s="3" t="inlineStr">
        <is>
          <t>外部参照・図面管理・一括処理</t>
        </is>
      </c>
      <c r="C322" s="3" t="inlineStr">
        <is>
          <t>JSSS</t>
        </is>
      </c>
      <c r="D322" s="4" t="inlineStr">
        <is>
          <t>ZYFTools CAD急速瘦身</t>
        </is>
      </c>
      <c r="E322" s="4" t="inlineStr">
        <is>
          <t>図面の冗長データを削除し軽量化</t>
        </is>
      </c>
      <c r="F322" s="2" t="n">
        <v>12</v>
      </c>
      <c r="G322" s="2" t="n">
        <v>8</v>
      </c>
      <c r="H322" s="2" t="n">
        <v>12</v>
      </c>
      <c r="I322" s="2" t="n">
        <v>16</v>
      </c>
      <c r="J322" s="5">
        <f>SUM(F322:I322)</f>
        <v/>
      </c>
      <c r="K322" s="4" t="inlineStr">
        <is>
          <t>PURGE強化</t>
        </is>
      </c>
      <c r="L322" s="3" t="inlineStr">
        <is>
          <t>WuwuZhang0019</t>
        </is>
      </c>
      <c r="M322" s="3" t="inlineStr">
        <is>
          <t>GitHub: WuwuZhang0019/CADTools</t>
        </is>
      </c>
      <c r="N322" s="6" t="inlineStr">
        <is>
          <t>開く</t>
        </is>
      </c>
    </row>
    <row r="323">
      <c r="A323" s="2">
        <f>RANK(J323,$J$2:$J$656)</f>
        <v/>
      </c>
      <c r="B323" s="3" t="inlineStr">
        <is>
          <t>設備</t>
        </is>
      </c>
      <c r="C323" s="3" t="inlineStr">
        <is>
          <t>MEE</t>
        </is>
      </c>
      <c r="D323" s="4" t="inlineStr">
        <is>
          <t>ZYFTools 布置地面疏散指示</t>
        </is>
      </c>
      <c r="E323" s="4" t="inlineStr">
        <is>
          <t>避難誘導標識を床に配置</t>
        </is>
      </c>
      <c r="F323" s="2" t="n">
        <v>18</v>
      </c>
      <c r="G323" s="2" t="n">
        <v>10</v>
      </c>
      <c r="H323" s="2" t="n">
        <v>15</v>
      </c>
      <c r="I323" s="2" t="n">
        <v>5</v>
      </c>
      <c r="J323" s="5">
        <f>SUM(F323:I323)</f>
        <v/>
      </c>
      <c r="K323" s="4" t="inlineStr">
        <is>
          <t>誘導灯配置</t>
        </is>
      </c>
      <c r="L323" s="3" t="inlineStr">
        <is>
          <t>WuwuZhang0019</t>
        </is>
      </c>
      <c r="M323" s="3" t="inlineStr">
        <is>
          <t>GitHub: WuwuZhang0019/CADTools</t>
        </is>
      </c>
      <c r="N323" s="6" t="inlineStr">
        <is>
          <t>開く</t>
        </is>
      </c>
    </row>
    <row r="324">
      <c r="A324" s="2">
        <f>RANK(J324,$J$2:$J$656)</f>
        <v/>
      </c>
      <c r="B324" s="3" t="inlineStr">
        <is>
          <t>寸法</t>
        </is>
      </c>
      <c r="C324" s="3" t="inlineStr">
        <is>
          <t>-</t>
        </is>
      </c>
      <c r="D324" s="4" t="inlineStr">
        <is>
          <t>动态标注尝试（源码）</t>
        </is>
      </c>
      <c r="E324" s="4" t="inlineStr">
        <is>
          <t>ドラッグで動的に寸法を配置</t>
        </is>
      </c>
      <c r="F324" s="2" t="n">
        <v>10</v>
      </c>
      <c r="G324" s="2" t="n">
        <v>14</v>
      </c>
      <c r="H324" s="2" t="n">
        <v>10</v>
      </c>
      <c r="I324" s="2" t="n">
        <v>14</v>
      </c>
      <c r="J324" s="5">
        <f>SUM(F324:I324)</f>
        <v/>
      </c>
      <c r="K324" s="4" t="inlineStr">
        <is>
          <t>動的寸法</t>
        </is>
      </c>
      <c r="L324" s="3" t="inlineStr">
        <is>
          <t>liu22737</t>
        </is>
      </c>
      <c r="M324" s="3" t="inlineStr">
        <is>
          <t>明经CAD社区</t>
        </is>
      </c>
      <c r="N324" s="6" t="inlineStr">
        <is>
          <t>開く</t>
        </is>
      </c>
    </row>
    <row r="325">
      <c r="A325" s="2">
        <f>RANK(J325,$J$2:$J$656)</f>
        <v/>
      </c>
      <c r="B325" s="3" t="inlineStr">
        <is>
          <t>作図</t>
        </is>
      </c>
      <c r="C325" s="3" t="inlineStr">
        <is>
          <t>-</t>
        </is>
      </c>
      <c r="D325" s="4" t="inlineStr">
        <is>
          <t>参数化填充工具</t>
        </is>
      </c>
      <c r="E325" s="4" t="inlineStr">
        <is>
          <t>パラメトリックなハッチ作図</t>
        </is>
      </c>
      <c r="F325" s="2" t="n">
        <v>14</v>
      </c>
      <c r="G325" s="2" t="n">
        <v>12</v>
      </c>
      <c r="H325" s="2" t="n">
        <v>10</v>
      </c>
      <c r="I325" s="2" t="n">
        <v>12</v>
      </c>
      <c r="J325" s="5">
        <f>SUM(F325:I325)</f>
        <v/>
      </c>
      <c r="K325" s="4" t="inlineStr">
        <is>
          <t>パラメトリックハッチ</t>
        </is>
      </c>
      <c r="L325" s="3" t="inlineStr">
        <is>
          <t>比n还多</t>
        </is>
      </c>
      <c r="M325" s="3" t="inlineStr">
        <is>
          <t>明经CAD社区</t>
        </is>
      </c>
      <c r="N325" s="6" t="inlineStr">
        <is>
          <t>開く</t>
        </is>
      </c>
    </row>
    <row r="326">
      <c r="A326" s="2">
        <f>RANK(J326,$J$2:$J$656)</f>
        <v/>
      </c>
      <c r="B326" s="3" t="inlineStr">
        <is>
          <t>寸法</t>
        </is>
      </c>
      <c r="C326" s="3" t="inlineStr">
        <is>
          <t>-</t>
        </is>
      </c>
      <c r="D326" s="4" t="inlineStr">
        <is>
          <t>圆孔坐标标注与注解</t>
        </is>
      </c>
      <c r="E326" s="4" t="inlineStr">
        <is>
          <t>円穴の座標を注記・注釈</t>
        </is>
      </c>
      <c r="F326" s="2" t="n">
        <v>16</v>
      </c>
      <c r="G326" s="2" t="n">
        <v>8</v>
      </c>
      <c r="H326" s="2" t="n">
        <v>14</v>
      </c>
      <c r="I326" s="2" t="n">
        <v>10</v>
      </c>
      <c r="J326" s="5">
        <f>SUM(F326:I326)</f>
        <v/>
      </c>
      <c r="K326" s="4" t="inlineStr">
        <is>
          <t>穴座標注記</t>
        </is>
      </c>
      <c r="L326" s="3" t="inlineStr">
        <is>
          <t>wyj7485</t>
        </is>
      </c>
      <c r="M326" s="3" t="inlineStr">
        <is>
          <t>明经CAD社区</t>
        </is>
      </c>
      <c r="N326" s="6" t="inlineStr">
        <is>
          <t>開く</t>
        </is>
      </c>
    </row>
    <row r="327">
      <c r="A327" s="2">
        <f>RANK(J327,$J$2:$J$656)</f>
        <v/>
      </c>
      <c r="B327" s="3" t="inlineStr">
        <is>
          <t>線・ポリライン編集</t>
        </is>
      </c>
      <c r="C327" s="3" t="inlineStr">
        <is>
          <t>AF</t>
        </is>
      </c>
      <c r="D327" s="4" t="inlineStr">
        <is>
          <t>圆弧半径规整_v1.7</t>
        </is>
      </c>
      <c r="E327" s="4" t="inlineStr">
        <is>
          <t>始終点を保ったまま円弧半径を整数化</t>
        </is>
      </c>
      <c r="F327" s="2" t="n">
        <v>18</v>
      </c>
      <c r="G327" s="2" t="n">
        <v>12</v>
      </c>
      <c r="H327" s="2" t="n">
        <v>8</v>
      </c>
      <c r="I327" s="2" t="n">
        <v>10</v>
      </c>
      <c r="J327" s="5">
        <f>SUM(F327:I327)</f>
        <v/>
      </c>
      <c r="K327" s="4" t="inlineStr">
        <is>
          <t>半径整理</t>
        </is>
      </c>
      <c r="L327" s="3" t="inlineStr">
        <is>
          <t>kucha007</t>
        </is>
      </c>
      <c r="M327" s="3" t="inlineStr">
        <is>
          <t>明经CAD社区</t>
        </is>
      </c>
      <c r="N327" s="6" t="inlineStr">
        <is>
          <t>開く</t>
        </is>
      </c>
    </row>
    <row r="328">
      <c r="A328" s="2">
        <f>RANK(J328,$J$2:$J$656)</f>
        <v/>
      </c>
      <c r="B328" s="3" t="inlineStr">
        <is>
          <t>座標・測量・土木</t>
        </is>
      </c>
      <c r="C328" s="3" t="inlineStr">
        <is>
          <t>坐标标注</t>
        </is>
      </c>
      <c r="D328" s="4" t="inlineStr">
        <is>
          <t>坐标标注 (@lisp标注)</t>
        </is>
      </c>
      <c r="E328" s="4" t="inlineStr">
        <is>
          <t>点の座標・標高をマルチ引出線で記入</t>
        </is>
      </c>
      <c r="F328" s="2" t="n">
        <v>14</v>
      </c>
      <c r="G328" s="2" t="n">
        <v>6</v>
      </c>
      <c r="H328" s="2" t="n">
        <v>15</v>
      </c>
      <c r="I328" s="2" t="n">
        <v>13</v>
      </c>
      <c r="J328" s="5">
        <f>SUM(F328:I328)</f>
        <v/>
      </c>
      <c r="K328" s="4" t="inlineStr">
        <is>
          <t>座標注記の定番</t>
        </is>
      </c>
      <c r="L328" s="3" t="inlineStr">
        <is>
          <t>VitalGG</t>
        </is>
      </c>
      <c r="M328" s="3" t="inlineStr">
        <is>
          <t>@lisp 应用云</t>
        </is>
      </c>
      <c r="N328" s="6" t="inlineStr">
        <is>
          <t>開く</t>
        </is>
      </c>
    </row>
    <row r="329">
      <c r="A329" s="2">
        <f>RANK(J329,$J$2:$J$656)</f>
        <v/>
      </c>
      <c r="B329" s="3" t="inlineStr">
        <is>
          <t>ブロック・属性</t>
        </is>
      </c>
      <c r="C329" s="3" t="inlineStr">
        <is>
          <t>-</t>
        </is>
      </c>
      <c r="D329" s="4" t="inlineStr">
        <is>
          <t>墨鱼 CAD 图库插件</t>
        </is>
      </c>
      <c r="E329" s="4" t="inlineStr">
        <is>
          <t>DWGサムネイル付き図庫の分類閲覧・挿入・登録</t>
        </is>
      </c>
      <c r="F329" s="2" t="n">
        <v>10</v>
      </c>
      <c r="G329" s="2" t="n">
        <v>8</v>
      </c>
      <c r="H329" s="2" t="n">
        <v>14</v>
      </c>
      <c r="I329" s="2" t="n">
        <v>16</v>
      </c>
      <c r="J329" s="5">
        <f>SUM(F329:I329)</f>
        <v/>
      </c>
      <c r="K329" s="4" t="inlineStr">
        <is>
          <t>ツールパレットで近い</t>
        </is>
      </c>
      <c r="L329" s="3" t="inlineStr">
        <is>
          <t>xiehaoing</t>
        </is>
      </c>
      <c r="M329" s="3" t="inlineStr">
        <is>
          <t>GitHub: xiehaoing/MoYu-CAD-Gallery</t>
        </is>
      </c>
      <c r="N329" s="6" t="inlineStr">
        <is>
          <t>開く</t>
        </is>
      </c>
    </row>
    <row r="330">
      <c r="A330" s="2">
        <f>RANK(J330,$J$2:$J$656)</f>
        <v/>
      </c>
      <c r="B330" s="3" t="inlineStr">
        <is>
          <t>ハッチ・面積・長さ集計</t>
        </is>
      </c>
      <c r="C330" s="3" t="inlineStr">
        <is>
          <t>多段线展开图</t>
        </is>
      </c>
      <c r="D330" s="4" t="inlineStr">
        <is>
          <t>多段线展开图</t>
        </is>
      </c>
      <c r="E330" s="4" t="inlineStr">
        <is>
          <t>ポリラインの展開図を作図</t>
        </is>
      </c>
      <c r="F330" s="2" t="n">
        <v>18</v>
      </c>
      <c r="G330" s="2" t="n">
        <v>12</v>
      </c>
      <c r="H330" s="2" t="n">
        <v>10</v>
      </c>
      <c r="I330" s="2" t="n">
        <v>8</v>
      </c>
      <c r="J330" s="5">
        <f>SUM(F330:I330)</f>
        <v/>
      </c>
      <c r="K330" s="4" t="inlineStr">
        <is>
          <t>展開図作成</t>
        </is>
      </c>
      <c r="L330" s="3" t="inlineStr">
        <is>
          <t>VitalGG</t>
        </is>
      </c>
      <c r="M330" s="3" t="inlineStr">
        <is>
          <t>@lisp 应用云</t>
        </is>
      </c>
      <c r="N330" s="6" t="inlineStr">
        <is>
          <t>開く</t>
        </is>
      </c>
    </row>
    <row r="331">
      <c r="A331" s="2">
        <f>RANK(J331,$J$2:$J$656)</f>
        <v/>
      </c>
      <c r="B331" s="3" t="inlineStr">
        <is>
          <t>外部参照・図面管理・一括処理</t>
        </is>
      </c>
      <c r="C331" s="3" t="inlineStr">
        <is>
          <t>REFM</t>
        </is>
      </c>
      <c r="D331" s="4" t="inlineStr">
        <is>
          <t>批量外部参照_v1.6</t>
        </is>
      </c>
      <c r="E331" s="4" t="inlineStr">
        <is>
          <t>複数DWGを一括でXREF添付</t>
        </is>
      </c>
      <c r="F331" s="2" t="n">
        <v>14</v>
      </c>
      <c r="G331" s="2" t="n">
        <v>8</v>
      </c>
      <c r="H331" s="2" t="n">
        <v>12</v>
      </c>
      <c r="I331" s="2" t="n">
        <v>14</v>
      </c>
      <c r="J331" s="5">
        <f>SUM(F331:I331)</f>
        <v/>
      </c>
      <c r="K331" s="4" t="inlineStr">
        <is>
          <t>XREF一括添付</t>
        </is>
      </c>
      <c r="L331" s="3" t="inlineStr">
        <is>
          <t>kucha007</t>
        </is>
      </c>
      <c r="M331" s="3" t="inlineStr">
        <is>
          <t>明经CAD社区</t>
        </is>
      </c>
      <c r="N331" s="6" t="inlineStr">
        <is>
          <t>開く</t>
        </is>
      </c>
    </row>
    <row r="332">
      <c r="A332" s="2">
        <f>RANK(J332,$J$2:$J$656)</f>
        <v/>
      </c>
      <c r="B332" s="3" t="inlineStr">
        <is>
          <t>ブロック・属性</t>
        </is>
      </c>
      <c r="C332" s="3" t="inlineStr">
        <is>
          <t>-</t>
        </is>
      </c>
      <c r="D332" s="4" t="inlineStr">
        <is>
          <t>批量标注图块名</t>
        </is>
      </c>
      <c r="E332" s="4" t="inlineStr">
        <is>
          <t>ブロック名を図面上に一括注記</t>
        </is>
      </c>
      <c r="F332" s="2" t="n">
        <v>16</v>
      </c>
      <c r="G332" s="2" t="n">
        <v>8</v>
      </c>
      <c r="H332" s="2" t="n">
        <v>10</v>
      </c>
      <c r="I332" s="2" t="n">
        <v>14</v>
      </c>
      <c r="J332" s="5">
        <f>SUM(F332:I332)</f>
        <v/>
      </c>
      <c r="K332" s="4" t="inlineStr">
        <is>
          <t>ブロック名可視化</t>
        </is>
      </c>
      <c r="L332" s="3" t="inlineStr"/>
      <c r="M332" s="3" t="inlineStr">
        <is>
          <t>晓东CAD家园</t>
        </is>
      </c>
      <c r="N332" s="6" t="inlineStr">
        <is>
          <t>開く</t>
        </is>
      </c>
    </row>
    <row r="333">
      <c r="A333" s="2">
        <f>RANK(J333,$J$2:$J$656)</f>
        <v/>
      </c>
      <c r="B333" s="3" t="inlineStr">
        <is>
          <t>文字・テキスト</t>
        </is>
      </c>
      <c r="C333" s="3" t="inlineStr">
        <is>
          <t>-</t>
        </is>
      </c>
      <c r="D333" s="4" t="inlineStr">
        <is>
          <t>框选写入文字</t>
        </is>
      </c>
      <c r="E333" s="4" t="inlineStr">
        <is>
          <t>枠を選択して中に文字を書込</t>
        </is>
      </c>
      <c r="F333" s="2" t="n">
        <v>13</v>
      </c>
      <c r="G333" s="2" t="n">
        <v>8</v>
      </c>
      <c r="H333" s="2" t="n">
        <v>12</v>
      </c>
      <c r="I333" s="2" t="n">
        <v>15</v>
      </c>
      <c r="J333" s="5">
        <f>SUM(F333:I333)</f>
        <v/>
      </c>
      <c r="K333" s="4" t="inlineStr">
        <is>
          <t>枠中央文字入力</t>
        </is>
      </c>
      <c r="L333" s="3" t="inlineStr">
        <is>
          <t>【KAIXIN】</t>
        </is>
      </c>
      <c r="M333" s="3" t="inlineStr">
        <is>
          <t>明经CAD社区</t>
        </is>
      </c>
      <c r="N333" s="6" t="inlineStr">
        <is>
          <t>開く</t>
        </is>
      </c>
    </row>
    <row r="334">
      <c r="A334" s="2">
        <f>RANK(J334,$J$2:$J$656)</f>
        <v/>
      </c>
      <c r="B334" s="3" t="inlineStr">
        <is>
          <t>構造・鉄骨・機械</t>
        </is>
      </c>
      <c r="C334" s="3" t="inlineStr">
        <is>
          <t>-</t>
        </is>
      </c>
      <c r="D334" s="4" t="inlineStr">
        <is>
          <t>燕秀工具箱 模具工具（球标编号等）</t>
        </is>
      </c>
      <c r="E334" s="4" t="inlineStr">
        <is>
          <t>金型設計：バルーン番号・部品標準・穴注記</t>
        </is>
      </c>
      <c r="F334" s="2" t="n">
        <v>16</v>
      </c>
      <c r="G334" s="2" t="n">
        <v>10</v>
      </c>
      <c r="H334" s="2" t="n">
        <v>16</v>
      </c>
      <c r="I334" s="2" t="n">
        <v>6</v>
      </c>
      <c r="J334" s="5">
        <f>SUM(F334:I334)</f>
        <v/>
      </c>
      <c r="K334" s="4" t="inlineStr">
        <is>
          <t>金型設計の定番</t>
        </is>
      </c>
      <c r="L334" s="3" t="inlineStr">
        <is>
          <t>燕秀</t>
        </is>
      </c>
      <c r="M334" s="3" t="inlineStr">
        <is>
          <t>燕秀工具箱</t>
        </is>
      </c>
      <c r="N334" s="6" t="inlineStr">
        <is>
          <t>開く</t>
        </is>
      </c>
    </row>
    <row r="335">
      <c r="A335" s="2">
        <f>RANK(J335,$J$2:$J$656)</f>
        <v/>
      </c>
      <c r="B335" s="3" t="inlineStr">
        <is>
          <t>文字・テキスト</t>
        </is>
      </c>
      <c r="C335" s="3" t="inlineStr">
        <is>
          <t>移除样式</t>
        </is>
      </c>
      <c r="D335" s="4" t="inlineStr">
        <is>
          <t>移除样式 (@lisp文本)</t>
        </is>
      </c>
      <c r="E335" s="4" t="inlineStr">
        <is>
          <t>MTEXTの書式コードを除去し改行のみ保持</t>
        </is>
      </c>
      <c r="F335" s="2" t="n">
        <v>12</v>
      </c>
      <c r="G335" s="2" t="n">
        <v>6</v>
      </c>
      <c r="H335" s="2" t="n">
        <v>12</v>
      </c>
      <c r="I335" s="2" t="n">
        <v>18</v>
      </c>
      <c r="J335" s="5">
        <f>SUM(F335:I335)</f>
        <v/>
      </c>
      <c r="K335" s="4" t="inlineStr">
        <is>
          <t>書式除去の定番</t>
        </is>
      </c>
      <c r="L335" s="3" t="inlineStr">
        <is>
          <t>VitalGG</t>
        </is>
      </c>
      <c r="M335" s="3" t="inlineStr">
        <is>
          <t>@lisp 应用云</t>
        </is>
      </c>
      <c r="N335" s="6" t="inlineStr">
        <is>
          <t>開く</t>
        </is>
      </c>
    </row>
    <row r="336">
      <c r="A336" s="2">
        <f>RANK(J336,$J$2:$J$656)</f>
        <v/>
      </c>
      <c r="B336" s="3" t="inlineStr">
        <is>
          <t>座標・測量・土木</t>
        </is>
      </c>
      <c r="C336" s="3" t="inlineStr">
        <is>
          <t>DD</t>
        </is>
      </c>
      <c r="D336" s="4" t="inlineStr">
        <is>
          <t>算坡+算高+算长+算等高线_v1.8</t>
        </is>
      </c>
      <c r="E336" s="4" t="inlineStr">
        <is>
          <t>勾配・高さ・長さ・等高線計算</t>
        </is>
      </c>
      <c r="F336" s="2" t="n">
        <v>18</v>
      </c>
      <c r="G336" s="2" t="n">
        <v>10</v>
      </c>
      <c r="H336" s="2" t="n">
        <v>12</v>
      </c>
      <c r="I336" s="2" t="n">
        <v>8</v>
      </c>
      <c r="J336" s="5">
        <f>SUM(F336:I336)</f>
        <v/>
      </c>
      <c r="K336" s="4" t="inlineStr">
        <is>
          <t>土木計算</t>
        </is>
      </c>
      <c r="L336" s="3" t="inlineStr">
        <is>
          <t>kucha007</t>
        </is>
      </c>
      <c r="M336" s="3" t="inlineStr">
        <is>
          <t>明经CAD社区</t>
        </is>
      </c>
      <c r="N336" s="6" t="inlineStr">
        <is>
          <t>開く</t>
        </is>
      </c>
    </row>
    <row r="337">
      <c r="A337" s="2">
        <f>RANK(J337,$J$2:$J$656)</f>
        <v/>
      </c>
      <c r="B337" s="3" t="inlineStr">
        <is>
          <t>線・ポリライン編集</t>
        </is>
      </c>
      <c r="C337" s="3" t="inlineStr">
        <is>
          <t>-</t>
        </is>
      </c>
      <c r="D337" s="4" t="inlineStr">
        <is>
          <t>面域转多段线</t>
        </is>
      </c>
      <c r="E337" s="4" t="inlineStr">
        <is>
          <t>リージョンをポリラインに変換</t>
        </is>
      </c>
      <c r="F337" s="2" t="n">
        <v>16</v>
      </c>
      <c r="G337" s="2" t="n">
        <v>8</v>
      </c>
      <c r="H337" s="2" t="n">
        <v>10</v>
      </c>
      <c r="I337" s="2" t="n">
        <v>14</v>
      </c>
      <c r="J337" s="5">
        <f>SUM(F337:I337)</f>
        <v/>
      </c>
      <c r="K337" s="4" t="inlineStr">
        <is>
          <t>REGION→PL</t>
        </is>
      </c>
      <c r="L337" s="3" t="inlineStr">
        <is>
          <t>1028695446</t>
        </is>
      </c>
      <c r="M337" s="3" t="inlineStr">
        <is>
          <t>明经CAD社区</t>
        </is>
      </c>
      <c r="N337" s="6" t="inlineStr">
        <is>
          <t>開く</t>
        </is>
      </c>
    </row>
    <row r="338">
      <c r="A338" s="2">
        <f>RANK(J338,$J$2:$J$656)</f>
        <v/>
      </c>
      <c r="B338" s="3" t="inlineStr">
        <is>
          <t>建築</t>
        </is>
      </c>
      <c r="C338" s="3" t="inlineStr">
        <is>
          <t>crm/bcm/mctj</t>
        </is>
      </c>
      <c r="D338" s="4" t="inlineStr">
        <is>
          <t>crm 插入门窗/门窗列表</t>
        </is>
      </c>
      <c r="E338" s="4" t="inlineStr">
        <is>
          <t>壁への建具挿入・補挿入・建具表作成</t>
        </is>
      </c>
      <c r="F338" s="2" t="n">
        <v>16</v>
      </c>
      <c r="G338" s="2" t="n">
        <v>8</v>
      </c>
      <c r="H338" s="2" t="n">
        <v>15</v>
      </c>
      <c r="I338" s="2" t="n">
        <v>8</v>
      </c>
      <c r="J338" s="5">
        <f>SUM(F338:I338)</f>
        <v/>
      </c>
      <c r="K338" s="4" t="inlineStr">
        <is>
          <t>建具挿入＋表</t>
        </is>
      </c>
      <c r="L338" s="3" t="inlineStr">
        <is>
          <t>shuixzy</t>
        </is>
      </c>
      <c r="M338" s="3" t="inlineStr">
        <is>
          <t>GitHub: shuixzy/DB_CAD_Tools</t>
        </is>
      </c>
      <c r="N338" s="6" t="inlineStr">
        <is>
          <t>開く</t>
        </is>
      </c>
    </row>
    <row r="339">
      <c r="A339" s="2">
        <f>RANK(J339,$J$2:$J$656)</f>
        <v/>
      </c>
      <c r="B339" s="3" t="inlineStr">
        <is>
          <t>LISP開発用の部品</t>
        </is>
      </c>
      <c r="C339" s="3" t="inlineStr">
        <is>
          <t>-</t>
        </is>
      </c>
      <c r="D339" s="4" t="inlineStr">
        <is>
          <t>ext: 隐藏函数</t>
        </is>
      </c>
      <c r="E339" s="4" t="inlineStr">
        <is>
          <t>AutoCAD内部隠し関数の露出・引数探査</t>
        </is>
      </c>
      <c r="F339" s="2" t="n">
        <v>18</v>
      </c>
      <c r="G339" s="2" t="n">
        <v>18</v>
      </c>
      <c r="H339" s="2" t="n">
        <v>3</v>
      </c>
      <c r="I339" s="2" t="n">
        <v>8</v>
      </c>
      <c r="J339" s="5">
        <f>SUM(F339:I339)</f>
        <v/>
      </c>
      <c r="K339" s="4" t="inlineStr">
        <is>
          <t>内部関数を探る裏技</t>
        </is>
      </c>
      <c r="L339" s="3" t="inlineStr">
        <is>
          <t>VitalGG</t>
        </is>
      </c>
      <c r="M339" s="3" t="inlineStr">
        <is>
          <t>GitHub: atlisp-org/atlisp-lib</t>
        </is>
      </c>
      <c r="N339" s="6" t="inlineStr">
        <is>
          <t>開く</t>
        </is>
      </c>
    </row>
    <row r="340">
      <c r="A340" s="2">
        <f>RANK(J340,$J$2:$J$656)</f>
        <v/>
      </c>
      <c r="B340" s="3" t="inlineStr">
        <is>
          <t>印刷・レイアウト・図枠</t>
        </is>
      </c>
      <c r="C340" s="3" t="inlineStr">
        <is>
          <t>THDZ</t>
        </is>
      </c>
      <c r="D340" s="4" t="inlineStr">
        <is>
          <t>ZYFTools 图号文字递增</t>
        </is>
      </c>
      <c r="E340" s="4" t="inlineStr">
        <is>
          <t>図番文字を規則で増分</t>
        </is>
      </c>
      <c r="F340" s="2" t="n">
        <v>12</v>
      </c>
      <c r="G340" s="2" t="n">
        <v>6</v>
      </c>
      <c r="H340" s="2" t="n">
        <v>14</v>
      </c>
      <c r="I340" s="2" t="n">
        <v>15</v>
      </c>
      <c r="J340" s="5">
        <f>SUM(F340:I340)</f>
        <v/>
      </c>
      <c r="K340" s="4" t="inlineStr">
        <is>
          <t>図番増分</t>
        </is>
      </c>
      <c r="L340" s="3" t="inlineStr">
        <is>
          <t>WuwuZhang0019</t>
        </is>
      </c>
      <c r="M340" s="3" t="inlineStr">
        <is>
          <t>GitHub: WuwuZhang0019/CADTools</t>
        </is>
      </c>
      <c r="N340" s="6" t="inlineStr">
        <is>
          <t>開く</t>
        </is>
      </c>
    </row>
    <row r="341">
      <c r="A341" s="2">
        <f>RANK(J341,$J$2:$J$656)</f>
        <v/>
      </c>
      <c r="B341" s="3" t="inlineStr">
        <is>
          <t>設備</t>
        </is>
      </c>
      <c r="C341" s="3" t="inlineStr">
        <is>
          <t>FAS</t>
        </is>
      </c>
      <c r="D341" s="4" t="inlineStr">
        <is>
          <t>ZYFTools 消防回路统计</t>
        </is>
      </c>
      <c r="E341" s="4" t="inlineStr">
        <is>
          <t>消防回路を集計</t>
        </is>
      </c>
      <c r="F341" s="2" t="n">
        <v>18</v>
      </c>
      <c r="G341" s="2" t="n">
        <v>10</v>
      </c>
      <c r="H341" s="2" t="n">
        <v>14</v>
      </c>
      <c r="I341" s="2" t="n">
        <v>5</v>
      </c>
      <c r="J341" s="5">
        <f>SUM(F341:I341)</f>
        <v/>
      </c>
      <c r="K341" s="4" t="inlineStr">
        <is>
          <t>消防回路集計</t>
        </is>
      </c>
      <c r="L341" s="3" t="inlineStr">
        <is>
          <t>WuwuZhang0019</t>
        </is>
      </c>
      <c r="M341" s="3" t="inlineStr">
        <is>
          <t>GitHub: WuwuZhang0019/CADTools</t>
        </is>
      </c>
      <c r="N341" s="6" t="inlineStr">
        <is>
          <t>開く</t>
        </is>
      </c>
    </row>
    <row r="342">
      <c r="A342" s="2">
        <f>RANK(J342,$J$2:$J$656)</f>
        <v/>
      </c>
      <c r="B342" s="3" t="inlineStr">
        <is>
          <t>設定・環境</t>
        </is>
      </c>
      <c r="C342" s="3" t="inlineStr">
        <is>
          <t>命令扩展</t>
        </is>
      </c>
      <c r="D342" s="4" t="inlineStr">
        <is>
          <t>命令扩展</t>
        </is>
      </c>
      <c r="E342" s="4" t="inlineStr">
        <is>
          <t>コマンドラインで漢字/ピンイン入力で作図</t>
        </is>
      </c>
      <c r="F342" s="2" t="n">
        <v>16</v>
      </c>
      <c r="G342" s="2" t="n">
        <v>16</v>
      </c>
      <c r="H342" s="2" t="n">
        <v>7</v>
      </c>
      <c r="I342" s="2" t="n">
        <v>8</v>
      </c>
      <c r="J342" s="5">
        <f>SUM(F342:I342)</f>
        <v/>
      </c>
      <c r="K342" s="4" t="inlineStr">
        <is>
          <t>母語コマンド入力</t>
        </is>
      </c>
      <c r="L342" s="3" t="inlineStr">
        <is>
          <t>VitalGG</t>
        </is>
      </c>
      <c r="M342" s="3" t="inlineStr">
        <is>
          <t>@lisp 应用云</t>
        </is>
      </c>
      <c r="N342" s="6" t="inlineStr">
        <is>
          <t>開く</t>
        </is>
      </c>
    </row>
    <row r="343">
      <c r="A343" s="2">
        <f>RANK(J343,$J$2:$J$656)</f>
        <v/>
      </c>
      <c r="B343" s="3" t="inlineStr">
        <is>
          <t>座標・測量・土木</t>
        </is>
      </c>
      <c r="C343" s="3" t="inlineStr">
        <is>
          <t>-</t>
        </is>
      </c>
      <c r="D343" s="4" t="inlineStr">
        <is>
          <t>基础钎探点布置图及自动编号</t>
        </is>
      </c>
      <c r="E343" s="4" t="inlineStr">
        <is>
          <t>基礎の試掘点配置と自動採番</t>
        </is>
      </c>
      <c r="F343" s="2" t="n">
        <v>18</v>
      </c>
      <c r="G343" s="2" t="n">
        <v>10</v>
      </c>
      <c r="H343" s="2" t="n">
        <v>14</v>
      </c>
      <c r="I343" s="2" t="n">
        <v>5</v>
      </c>
      <c r="J343" s="5">
        <f>SUM(F343:I343)</f>
        <v/>
      </c>
      <c r="K343" s="4" t="inlineStr">
        <is>
          <t>試掘点配置</t>
        </is>
      </c>
      <c r="L343" s="3" t="inlineStr">
        <is>
          <t>wjl1014</t>
        </is>
      </c>
      <c r="M343" s="3" t="inlineStr">
        <is>
          <t>明经CAD社区</t>
        </is>
      </c>
      <c r="N343" s="6" t="inlineStr">
        <is>
          <t>開く</t>
        </is>
      </c>
    </row>
    <row r="344">
      <c r="A344" s="2">
        <f>RANK(J344,$J$2:$J$656)</f>
        <v/>
      </c>
      <c r="B344" s="3" t="inlineStr">
        <is>
          <t>建築</t>
        </is>
      </c>
      <c r="C344" s="3" t="inlineStr">
        <is>
          <t>定位房间/未命名房间</t>
        </is>
      </c>
      <c r="D344" s="4" t="inlineStr">
        <is>
          <t>定位房间 (@建筑)</t>
        </is>
      </c>
      <c r="E344" s="4" t="inlineStr">
        <is>
          <t>室番号・室名で室を検索しズーム</t>
        </is>
      </c>
      <c r="F344" s="2" t="n">
        <v>18</v>
      </c>
      <c r="G344" s="2" t="n">
        <v>10</v>
      </c>
      <c r="H344" s="2" t="n">
        <v>10</v>
      </c>
      <c r="I344" s="2" t="n">
        <v>9</v>
      </c>
      <c r="J344" s="5">
        <f>SUM(F344:I344)</f>
        <v/>
      </c>
      <c r="K344" s="4" t="inlineStr">
        <is>
          <t>室検索</t>
        </is>
      </c>
      <c r="L344" s="3" t="inlineStr">
        <is>
          <t>VitalGG</t>
        </is>
      </c>
      <c r="M344" s="3" t="inlineStr">
        <is>
          <t>@lisp 应用云</t>
        </is>
      </c>
      <c r="N344" s="6" t="inlineStr">
        <is>
          <t>開く</t>
        </is>
      </c>
    </row>
    <row r="345">
      <c r="A345" s="2">
        <f>RANK(J345,$J$2:$J$656)</f>
        <v/>
      </c>
      <c r="B345" s="3" t="inlineStr">
        <is>
          <t>文字・テキスト</t>
        </is>
      </c>
      <c r="C345" s="3" t="inlineStr">
        <is>
          <t>小笨词库</t>
        </is>
      </c>
      <c r="D345" s="4" t="inlineStr">
        <is>
          <t>小笨词库</t>
        </is>
      </c>
      <c r="E345" s="4" t="inlineStr">
        <is>
          <t>定型文の辞書入力</t>
        </is>
      </c>
      <c r="F345" s="2" t="n">
        <v>13</v>
      </c>
      <c r="G345" s="2" t="n">
        <v>8</v>
      </c>
      <c r="H345" s="2" t="n">
        <v>12</v>
      </c>
      <c r="I345" s="2" t="n">
        <v>14</v>
      </c>
      <c r="J345" s="5">
        <f>SUM(F345:I345)</f>
        <v/>
      </c>
      <c r="K345" s="4" t="inlineStr">
        <is>
          <t>定型文入力</t>
        </is>
      </c>
      <c r="L345" s="3" t="inlineStr">
        <is>
          <t>小笨</t>
        </is>
      </c>
      <c r="M345" s="3" t="inlineStr">
        <is>
          <t>@lisp 应用云</t>
        </is>
      </c>
      <c r="N345" s="6" t="inlineStr">
        <is>
          <t>開く</t>
        </is>
      </c>
    </row>
    <row r="346">
      <c r="A346" s="2">
        <f>RANK(J346,$J$2:$J$656)</f>
        <v/>
      </c>
      <c r="B346" s="3" t="inlineStr">
        <is>
          <t>座標・測量・土木</t>
        </is>
      </c>
      <c r="C346" s="3" t="inlineStr">
        <is>
          <t>-</t>
        </is>
      </c>
      <c r="D346" s="4" t="inlineStr">
        <is>
          <t>小鸟工具箱（交通工程）</t>
        </is>
      </c>
      <c r="E346" s="4" t="inlineStr">
        <is>
          <t>交通工程（標識・標線）作図プラグイン</t>
        </is>
      </c>
      <c r="F346" s="2" t="n">
        <v>18</v>
      </c>
      <c r="G346" s="2" t="n">
        <v>10</v>
      </c>
      <c r="H346" s="2" t="n">
        <v>14</v>
      </c>
      <c r="I346" s="2" t="n">
        <v>5</v>
      </c>
      <c r="J346" s="5">
        <f>SUM(F346:I346)</f>
        <v/>
      </c>
      <c r="K346" s="4" t="inlineStr">
        <is>
          <t>交通工程専用</t>
        </is>
      </c>
      <c r="L346" s="3" t="inlineStr">
        <is>
          <t>transteel</t>
        </is>
      </c>
      <c r="M346" s="3" t="inlineStr">
        <is>
          <t>明经CAD社区</t>
        </is>
      </c>
      <c r="N346" s="6" t="inlineStr">
        <is>
          <t>開く</t>
        </is>
      </c>
    </row>
    <row r="347">
      <c r="A347" s="2">
        <f>RANK(J347,$J$2:$J$656)</f>
        <v/>
      </c>
      <c r="B347" s="3" t="inlineStr">
        <is>
          <t>表・Excel連携</t>
        </is>
      </c>
      <c r="C347" s="3" t="inlineStr">
        <is>
          <t>-</t>
        </is>
      </c>
      <c r="D347" s="4" t="inlineStr">
        <is>
          <t>批量提取块属性到EXCEL</t>
        </is>
      </c>
      <c r="E347" s="4" t="inlineStr">
        <is>
          <t>ブロック属性をExcel(XLS)へ一括抽出</t>
        </is>
      </c>
      <c r="F347" s="2" t="n">
        <v>8</v>
      </c>
      <c r="G347" s="2" t="n">
        <v>6</v>
      </c>
      <c r="H347" s="2" t="n">
        <v>16</v>
      </c>
      <c r="I347" s="2" t="n">
        <v>17</v>
      </c>
      <c r="J347" s="5">
        <f>SUM(F347:I347)</f>
        <v/>
      </c>
      <c r="K347" s="4" t="inlineStr">
        <is>
          <t>DATAEXTRACTIONで代替</t>
        </is>
      </c>
      <c r="L347" s="3" t="inlineStr"/>
      <c r="M347" s="3" t="inlineStr">
        <is>
          <t>晓东CAD家园</t>
        </is>
      </c>
      <c r="N347" s="6" t="inlineStr">
        <is>
          <t>開く</t>
        </is>
      </c>
    </row>
    <row r="348">
      <c r="A348" s="2">
        <f>RANK(J348,$J$2:$J$656)</f>
        <v/>
      </c>
      <c r="B348" s="3" t="inlineStr">
        <is>
          <t>構造・鉄骨・機械</t>
        </is>
      </c>
      <c r="C348" s="3" t="inlineStr">
        <is>
          <t>RRR</t>
        </is>
      </c>
      <c r="D348" s="4" t="inlineStr">
        <is>
          <t>法蘭螺栓鎖固順序圖</t>
        </is>
      </c>
      <c r="E348" s="4" t="inlineStr">
        <is>
          <t>フランジボルトの締付順序図を作図</t>
        </is>
      </c>
      <c r="F348" s="2" t="n">
        <v>20</v>
      </c>
      <c r="G348" s="2" t="n">
        <v>14</v>
      </c>
      <c r="H348" s="2" t="n">
        <v>10</v>
      </c>
      <c r="I348" s="2" t="n">
        <v>3</v>
      </c>
      <c r="J348" s="5">
        <f>SUM(F348:I348)</f>
        <v/>
      </c>
      <c r="K348" s="4" t="inlineStr">
        <is>
          <t>締付順序図</t>
        </is>
      </c>
      <c r="L348" s="3" t="inlineStr">
        <is>
          <t>roscoe-tw</t>
        </is>
      </c>
      <c r="M348" s="3" t="inlineStr">
        <is>
          <t>GitHub: roscoe-tw/sequence-flange-bolts-lisp</t>
        </is>
      </c>
      <c r="N348" s="6" t="inlineStr">
        <is>
          <t>開く</t>
        </is>
      </c>
    </row>
    <row r="349">
      <c r="A349" s="2">
        <f>RANK(J349,$J$2:$J$656)</f>
        <v/>
      </c>
      <c r="B349" s="3" t="inlineStr">
        <is>
          <t>座標・測量・土木</t>
        </is>
      </c>
      <c r="C349" s="3" t="inlineStr">
        <is>
          <t>网蜂坐标标注</t>
        </is>
      </c>
      <c r="D349" s="4" t="inlineStr">
        <is>
          <t>网蜂坐标标注</t>
        </is>
      </c>
      <c r="E349" s="4" t="inlineStr">
        <is>
          <t>座標注記・番号修正・多言語対応</t>
        </is>
      </c>
      <c r="F349" s="2" t="n">
        <v>14</v>
      </c>
      <c r="G349" s="2" t="n">
        <v>6</v>
      </c>
      <c r="H349" s="2" t="n">
        <v>15</v>
      </c>
      <c r="I349" s="2" t="n">
        <v>12</v>
      </c>
      <c r="J349" s="5">
        <f>SUM(F349:I349)</f>
        <v/>
      </c>
      <c r="K349" s="4" t="inlineStr">
        <is>
          <t>座標注記</t>
        </is>
      </c>
      <c r="L349" s="3" t="inlineStr">
        <is>
          <t>杨明锋</t>
        </is>
      </c>
      <c r="M349" s="3" t="inlineStr">
        <is>
          <t>@lisp 应用云</t>
        </is>
      </c>
      <c r="N349" s="6" t="inlineStr">
        <is>
          <t>開く</t>
        </is>
      </c>
    </row>
    <row r="350">
      <c r="A350" s="2">
        <f>RANK(J350,$J$2:$J$656)</f>
        <v/>
      </c>
      <c r="B350" s="3" t="inlineStr">
        <is>
          <t>印刷・レイアウト・図枠</t>
        </is>
      </c>
      <c r="C350" s="3" t="inlineStr">
        <is>
          <t>-</t>
        </is>
      </c>
      <c r="D350" s="4" t="inlineStr">
        <is>
          <t>AutoCAD-Watermark-LISP 一键水印</t>
        </is>
      </c>
      <c r="E350" s="4" t="inlineStr">
        <is>
          <t>図面に透かし文字を一括配置</t>
        </is>
      </c>
      <c r="F350" s="2" t="n">
        <v>14</v>
      </c>
      <c r="G350" s="2" t="n">
        <v>8</v>
      </c>
      <c r="H350" s="2" t="n">
        <v>10</v>
      </c>
      <c r="I350" s="2" t="n">
        <v>14</v>
      </c>
      <c r="J350" s="5">
        <f>SUM(F350:I350)</f>
        <v/>
      </c>
      <c r="K350" s="4" t="inlineStr">
        <is>
          <t>透かし配置</t>
        </is>
      </c>
      <c r="L350" s="3" t="inlineStr">
        <is>
          <t>skywa1keri7</t>
        </is>
      </c>
      <c r="M350" s="3" t="inlineStr">
        <is>
          <t>GitHub: skywa1keri7/AutoCAD-Watermark-LISP</t>
        </is>
      </c>
      <c r="N350" s="6" t="inlineStr">
        <is>
          <t>開く</t>
        </is>
      </c>
    </row>
    <row r="351">
      <c r="A351" s="2">
        <f>RANK(J351,$J$2:$J$656)</f>
        <v/>
      </c>
      <c r="B351" s="3" t="inlineStr">
        <is>
          <t>表・Excel連携</t>
        </is>
      </c>
      <c r="C351" s="3" t="inlineStr">
        <is>
          <t>-</t>
        </is>
      </c>
      <c r="D351" s="4" t="inlineStr">
        <is>
          <t>CAD EXCEL转表格插件</t>
        </is>
      </c>
      <c r="E351" s="4" t="inlineStr">
        <is>
          <t>Excel表をCADの表に変換</t>
        </is>
      </c>
      <c r="F351" s="2" t="n">
        <v>8</v>
      </c>
      <c r="G351" s="2" t="n">
        <v>6</v>
      </c>
      <c r="H351" s="2" t="n">
        <v>15</v>
      </c>
      <c r="I351" s="2" t="n">
        <v>17</v>
      </c>
      <c r="J351" s="5">
        <f>SUM(F351:I351)</f>
        <v/>
      </c>
      <c r="K351" s="4" t="inlineStr">
        <is>
          <t>データリンクで代替</t>
        </is>
      </c>
      <c r="L351" s="3" t="inlineStr"/>
      <c r="M351" s="3" t="inlineStr">
        <is>
          <t>晓东CAD家园</t>
        </is>
      </c>
      <c r="N351" s="6" t="inlineStr">
        <is>
          <t>開く</t>
        </is>
      </c>
    </row>
    <row r="352">
      <c r="A352" s="2">
        <f>RANK(J352,$J$2:$J$656)</f>
        <v/>
      </c>
      <c r="B352" s="3" t="inlineStr">
        <is>
          <t>文字・テキスト</t>
        </is>
      </c>
      <c r="C352" s="3" t="inlineStr">
        <is>
          <t>ctfs</t>
        </is>
      </c>
      <c r="D352" s="4" t="inlineStr">
        <is>
          <t>ChangeFontStyle 选字改字体</t>
        </is>
      </c>
      <c r="E352" s="4" t="inlineStr">
        <is>
          <t>図中の文字を選んでそのスタイルのフォント変更</t>
        </is>
      </c>
      <c r="F352" s="2" t="n">
        <v>10</v>
      </c>
      <c r="G352" s="2" t="n">
        <v>6</v>
      </c>
      <c r="H352" s="2" t="n">
        <v>12</v>
      </c>
      <c r="I352" s="2" t="n">
        <v>18</v>
      </c>
      <c r="J352" s="5">
        <f>SUM(F352:I352)</f>
        <v/>
      </c>
      <c r="K352" s="4" t="inlineStr">
        <is>
          <t>スタイル特定の手間省略</t>
        </is>
      </c>
      <c r="L352" s="3" t="inlineStr">
        <is>
          <t>OnRoadZy</t>
        </is>
      </c>
      <c r="M352" s="3" t="inlineStr">
        <is>
          <t>GitHub: OnRoadZy/ChangeFontStyle</t>
        </is>
      </c>
      <c r="N352" s="6" t="inlineStr">
        <is>
          <t>開く</t>
        </is>
      </c>
    </row>
    <row r="353">
      <c r="A353" s="2">
        <f>RANK(J353,$J$2:$J$656)</f>
        <v/>
      </c>
      <c r="B353" s="3" t="inlineStr">
        <is>
          <t>表・Excel連携</t>
        </is>
      </c>
      <c r="C353" s="3" t="inlineStr">
        <is>
          <t>DMCpz</t>
        </is>
      </c>
      <c r="D353" s="4" t="inlineStr">
        <is>
          <t>dmcpz 读TXT文件数据</t>
        </is>
      </c>
      <c r="E353" s="4" t="inlineStr">
        <is>
          <t>TXTデータを読み込み図枠等に記入</t>
        </is>
      </c>
      <c r="F353" s="2" t="n">
        <v>14</v>
      </c>
      <c r="G353" s="2" t="n">
        <v>8</v>
      </c>
      <c r="H353" s="2" t="n">
        <v>12</v>
      </c>
      <c r="I353" s="2" t="n">
        <v>12</v>
      </c>
      <c r="J353" s="5">
        <f>SUM(F353:I353)</f>
        <v/>
      </c>
      <c r="K353" s="4" t="inlineStr">
        <is>
          <t>外部データ記入</t>
        </is>
      </c>
      <c r="L353" s="3" t="inlineStr"/>
      <c r="M353" s="3" t="inlineStr">
        <is>
          <t>GitHub: zhugecaomao/AutoLISP</t>
        </is>
      </c>
      <c r="N353" s="6" t="inlineStr">
        <is>
          <t>開く</t>
        </is>
      </c>
    </row>
    <row r="354">
      <c r="A354" s="2">
        <f>RANK(J354,$J$2:$J$656)</f>
        <v/>
      </c>
      <c r="B354" s="3" t="inlineStr">
        <is>
          <t>作図</t>
        </is>
      </c>
      <c r="C354" s="3" t="inlineStr">
        <is>
          <t>svg2dxf</t>
        </is>
      </c>
      <c r="D354" s="4" t="inlineStr">
        <is>
          <t>svg2dxf</t>
        </is>
      </c>
      <c r="E354" s="4" t="inlineStr">
        <is>
          <t>SVGベクター形式をDXFに変換</t>
        </is>
      </c>
      <c r="F354" s="2" t="n">
        <v>16</v>
      </c>
      <c r="G354" s="2" t="n">
        <v>10</v>
      </c>
      <c r="H354" s="2" t="n">
        <v>8</v>
      </c>
      <c r="I354" s="2" t="n">
        <v>12</v>
      </c>
      <c r="J354" s="5">
        <f>SUM(F354:I354)</f>
        <v/>
      </c>
      <c r="K354" s="4" t="inlineStr">
        <is>
          <t>SVG取込</t>
        </is>
      </c>
      <c r="L354" s="3" t="inlineStr">
        <is>
          <t>VitalGG</t>
        </is>
      </c>
      <c r="M354" s="3" t="inlineStr">
        <is>
          <t>@lisp 应用云</t>
        </is>
      </c>
      <c r="N354" s="6" t="inlineStr">
        <is>
          <t>開く</t>
        </is>
      </c>
    </row>
    <row r="355">
      <c r="A355" s="2">
        <f>RANK(J355,$J$2:$J$656)</f>
        <v/>
      </c>
      <c r="B355" s="3" t="inlineStr">
        <is>
          <t>設定・環境</t>
        </is>
      </c>
      <c r="C355" s="3" t="inlineStr">
        <is>
          <t>sxdb</t>
        </is>
      </c>
      <c r="D355" s="4" t="inlineStr">
        <is>
          <t>sxdb 属性对比</t>
        </is>
      </c>
      <c r="E355" s="4" t="inlineStr">
        <is>
          <t>2図元の特性を比較表示</t>
        </is>
      </c>
      <c r="F355" s="2" t="n">
        <v>14</v>
      </c>
      <c r="G355" s="2" t="n">
        <v>10</v>
      </c>
      <c r="H355" s="2" t="n">
        <v>8</v>
      </c>
      <c r="I355" s="2" t="n">
        <v>14</v>
      </c>
      <c r="J355" s="5">
        <f>SUM(F355:I355)</f>
        <v/>
      </c>
      <c r="K355" s="4" t="inlineStr">
        <is>
          <t>特性差分表示</t>
        </is>
      </c>
      <c r="L355" s="3" t="inlineStr">
        <is>
          <t>shuixzy</t>
        </is>
      </c>
      <c r="M355" s="3" t="inlineStr">
        <is>
          <t>GitHub: shuixzy/DB_CAD_Tools</t>
        </is>
      </c>
      <c r="N355" s="6" t="inlineStr">
        <is>
          <t>開く</t>
        </is>
      </c>
    </row>
    <row r="356">
      <c r="A356" s="2">
        <f>RANK(J356,$J$2:$J$656)</f>
        <v/>
      </c>
      <c r="B356" s="3" t="inlineStr">
        <is>
          <t>LISP開発用の部品</t>
        </is>
      </c>
      <c r="C356" s="3" t="inlineStr">
        <is>
          <t>-</t>
        </is>
      </c>
      <c r="D356" s="4" t="inlineStr">
        <is>
          <t>test: 单元测试</t>
        </is>
      </c>
      <c r="E356" s="4" t="inlineStr">
        <is>
          <t>LISP用ユニットテスト（アサート・スイート）</t>
        </is>
      </c>
      <c r="F356" s="2" t="n">
        <v>15</v>
      </c>
      <c r="G356" s="2" t="n">
        <v>15</v>
      </c>
      <c r="H356" s="2" t="n">
        <v>4</v>
      </c>
      <c r="I356" s="2" t="n">
        <v>12</v>
      </c>
      <c r="J356" s="5">
        <f>SUM(F356:I356)</f>
        <v/>
      </c>
      <c r="K356" s="4" t="inlineStr">
        <is>
          <t>LISP用テスト基盤は珍しい</t>
        </is>
      </c>
      <c r="L356" s="3" t="inlineStr">
        <is>
          <t>VitalGG</t>
        </is>
      </c>
      <c r="M356" s="3" t="inlineStr">
        <is>
          <t>GitHub: atlisp-org/atlisp-lib</t>
        </is>
      </c>
      <c r="N356" s="6" t="inlineStr">
        <is>
          <t>開く</t>
        </is>
      </c>
    </row>
    <row r="357">
      <c r="A357" s="2">
        <f>RANK(J357,$J$2:$J$656)</f>
        <v/>
      </c>
      <c r="B357" s="3" t="inlineStr">
        <is>
          <t>作図</t>
        </is>
      </c>
      <c r="C357" s="3" t="inlineStr">
        <is>
          <t>XSCALE</t>
        </is>
      </c>
      <c r="D357" s="4" t="inlineStr">
        <is>
          <t>xscale XY不同比例缩放</t>
        </is>
      </c>
      <c r="E357" s="4" t="inlineStr">
        <is>
          <t>X・Y方向で異なる倍率の縮尺変更</t>
        </is>
      </c>
      <c r="F357" s="2" t="n">
        <v>16</v>
      </c>
      <c r="G357" s="2" t="n">
        <v>10</v>
      </c>
      <c r="H357" s="2" t="n">
        <v>8</v>
      </c>
      <c r="I357" s="2" t="n">
        <v>12</v>
      </c>
      <c r="J357" s="5">
        <f>SUM(F357:I357)</f>
        <v/>
      </c>
      <c r="K357" s="4" t="inlineStr">
        <is>
          <t>XY別縮尺</t>
        </is>
      </c>
      <c r="L357" s="3" t="inlineStr"/>
      <c r="M357" s="3" t="inlineStr">
        <is>
          <t>GitHub: zhugecaomao/AutoLISP</t>
        </is>
      </c>
      <c r="N357" s="6" t="inlineStr">
        <is>
          <t>開く</t>
        </is>
      </c>
    </row>
    <row r="358">
      <c r="A358" s="2">
        <f>RANK(J358,$J$2:$J$656)</f>
        <v/>
      </c>
      <c r="B358" s="3" t="inlineStr">
        <is>
          <t>印刷・レイアウト・図枠</t>
        </is>
      </c>
      <c r="C358" s="3" t="inlineStr">
        <is>
          <t>剖切符号</t>
        </is>
      </c>
      <c r="D358" s="4" t="inlineStr">
        <is>
          <t>剖切符号 (@lisp标注)</t>
        </is>
      </c>
      <c r="E358" s="4" t="inlineStr">
        <is>
          <t>断面記号を自動番号で作図</t>
        </is>
      </c>
      <c r="F358" s="2" t="n">
        <v>15</v>
      </c>
      <c r="G358" s="2" t="n">
        <v>7</v>
      </c>
      <c r="H358" s="2" t="n">
        <v>11</v>
      </c>
      <c r="I358" s="2" t="n">
        <v>13</v>
      </c>
      <c r="J358" s="5">
        <f>SUM(F358:I358)</f>
        <v/>
      </c>
      <c r="K358" s="4" t="inlineStr">
        <is>
          <t>断面記号の自動採番</t>
        </is>
      </c>
      <c r="L358" s="3" t="inlineStr">
        <is>
          <t>VitalGG</t>
        </is>
      </c>
      <c r="M358" s="3" t="inlineStr">
        <is>
          <t>@lisp 应用云</t>
        </is>
      </c>
      <c r="N358" s="6" t="inlineStr">
        <is>
          <t>開く</t>
        </is>
      </c>
    </row>
    <row r="359">
      <c r="A359" s="2">
        <f>RANK(J359,$J$2:$J$656)</f>
        <v/>
      </c>
      <c r="B359" s="3" t="inlineStr">
        <is>
          <t>ブロック・属性</t>
        </is>
      </c>
      <c r="C359" s="3" t="inlineStr">
        <is>
          <t>-</t>
        </is>
      </c>
      <c r="D359" s="4" t="inlineStr">
        <is>
          <t>图库管理V1.3</t>
        </is>
      </c>
      <c r="E359" s="4" t="inlineStr">
        <is>
          <t>ブロックライブラリの管理・挿入</t>
        </is>
      </c>
      <c r="F359" s="2" t="n">
        <v>10</v>
      </c>
      <c r="G359" s="2" t="n">
        <v>8</v>
      </c>
      <c r="H359" s="2" t="n">
        <v>12</v>
      </c>
      <c r="I359" s="2" t="n">
        <v>16</v>
      </c>
      <c r="J359" s="5">
        <f>SUM(F359:I359)</f>
        <v/>
      </c>
      <c r="K359" s="4" t="inlineStr">
        <is>
          <t>図库管理</t>
        </is>
      </c>
      <c r="L359" s="3" t="inlineStr">
        <is>
          <t>duotu007</t>
        </is>
      </c>
      <c r="M359" s="3" t="inlineStr">
        <is>
          <t>明经CAD社区</t>
        </is>
      </c>
      <c r="N359" s="6" t="inlineStr">
        <is>
          <t>開く</t>
        </is>
      </c>
    </row>
    <row r="360">
      <c r="A360" s="2">
        <f>RANK(J360,$J$2:$J$656)</f>
        <v/>
      </c>
      <c r="B360" s="3" t="inlineStr">
        <is>
          <t>座標・測量・土木</t>
        </is>
      </c>
      <c r="C360" s="3" t="inlineStr">
        <is>
          <t>-</t>
        </is>
      </c>
      <c r="D360" s="4" t="inlineStr">
        <is>
          <t>坐标标注对齐与整理</t>
        </is>
      </c>
      <c r="E360" s="4" t="inlineStr">
        <is>
          <t>座標注記の整列・整理</t>
        </is>
      </c>
      <c r="F360" s="2" t="n">
        <v>16</v>
      </c>
      <c r="G360" s="2" t="n">
        <v>8</v>
      </c>
      <c r="H360" s="2" t="n">
        <v>12</v>
      </c>
      <c r="I360" s="2" t="n">
        <v>10</v>
      </c>
      <c r="J360" s="5">
        <f>SUM(F360:I360)</f>
        <v/>
      </c>
      <c r="K360" s="4" t="inlineStr">
        <is>
          <t>注記整列</t>
        </is>
      </c>
      <c r="L360" s="3" t="inlineStr">
        <is>
          <t>飞雪神光</t>
        </is>
      </c>
      <c r="M360" s="3" t="inlineStr">
        <is>
          <t>明经CAD社区</t>
        </is>
      </c>
      <c r="N360" s="6" t="inlineStr">
        <is>
          <t>開く</t>
        </is>
      </c>
    </row>
    <row r="361">
      <c r="A361" s="2">
        <f>RANK(J361,$J$2:$J$656)</f>
        <v/>
      </c>
      <c r="B361" s="3" t="inlineStr">
        <is>
          <t>ブロック・属性</t>
        </is>
      </c>
      <c r="C361" s="3" t="inlineStr">
        <is>
          <t>@block:subst</t>
        </is>
      </c>
      <c r="D361" s="4" t="inlineStr">
        <is>
          <t>块替换 (@lisp Block)</t>
        </is>
      </c>
      <c r="E361" s="4" t="inlineStr">
        <is>
          <t>対象ブロックを別ブロックに置換</t>
        </is>
      </c>
      <c r="F361" s="2" t="n">
        <v>10</v>
      </c>
      <c r="G361" s="2" t="n">
        <v>6</v>
      </c>
      <c r="H361" s="2" t="n">
        <v>12</v>
      </c>
      <c r="I361" s="2" t="n">
        <v>18</v>
      </c>
      <c r="J361" s="5">
        <f>SUM(F361:I361)</f>
        <v/>
      </c>
      <c r="K361" s="4" t="inlineStr">
        <is>
          <t>BLOCKREPLACE相当</t>
        </is>
      </c>
      <c r="L361" s="3" t="inlineStr">
        <is>
          <t>VitalGG</t>
        </is>
      </c>
      <c r="M361" s="3" t="inlineStr">
        <is>
          <t>@lisp 应用云</t>
        </is>
      </c>
      <c r="N361" s="6" t="inlineStr">
        <is>
          <t>開く</t>
        </is>
      </c>
    </row>
    <row r="362">
      <c r="A362" s="2">
        <f>RANK(J362,$J$2:$J$656)</f>
        <v/>
      </c>
      <c r="B362" s="3" t="inlineStr">
        <is>
          <t>画層</t>
        </is>
      </c>
      <c r="C362" s="3" t="inlineStr">
        <is>
          <t>-</t>
        </is>
      </c>
      <c r="D362" s="4" t="inlineStr">
        <is>
          <t>增强选层关闭（支持嵌套块）</t>
        </is>
      </c>
      <c r="E362" s="4" t="inlineStr">
        <is>
          <t>入れ子ブロック内の図形を選んで画層非表示</t>
        </is>
      </c>
      <c r="F362" s="2" t="n">
        <v>8</v>
      </c>
      <c r="G362" s="2" t="n">
        <v>8</v>
      </c>
      <c r="H362" s="2" t="n">
        <v>12</v>
      </c>
      <c r="I362" s="2" t="n">
        <v>18</v>
      </c>
      <c r="J362" s="5">
        <f>SUM(F362:I362)</f>
        <v/>
      </c>
      <c r="K362" s="4" t="inlineStr">
        <is>
          <t>LAYOFFは入れ子対応済</t>
        </is>
      </c>
      <c r="L362" s="3" t="inlineStr"/>
      <c r="M362" s="3" t="inlineStr">
        <is>
          <t>晓东CAD家园</t>
        </is>
      </c>
      <c r="N362" s="6" t="inlineStr">
        <is>
          <t>開く</t>
        </is>
      </c>
    </row>
    <row r="363">
      <c r="A363" s="2">
        <f>RANK(J363,$J$2:$J$656)</f>
        <v/>
      </c>
      <c r="B363" s="3" t="inlineStr">
        <is>
          <t>寸法</t>
        </is>
      </c>
      <c r="C363" s="3" t="inlineStr">
        <is>
          <t>尺寸原值</t>
        </is>
      </c>
      <c r="D363" s="4" t="inlineStr">
        <is>
          <t>尺寸原值 (@lisp标注)</t>
        </is>
      </c>
      <c r="E363" s="4" t="inlineStr">
        <is>
          <t>寸法文字の上書きを解除し実測値表示</t>
        </is>
      </c>
      <c r="F363" s="2" t="n">
        <v>10</v>
      </c>
      <c r="G363" s="2" t="n">
        <v>6</v>
      </c>
      <c r="H363" s="2" t="n">
        <v>12</v>
      </c>
      <c r="I363" s="2" t="n">
        <v>18</v>
      </c>
      <c r="J363" s="5">
        <f>SUM(F363:I363)</f>
        <v/>
      </c>
      <c r="K363" s="4" t="inlineStr">
        <is>
          <t>上書き寸法の検出修正</t>
        </is>
      </c>
      <c r="L363" s="3" t="inlineStr">
        <is>
          <t>VitalGG</t>
        </is>
      </c>
      <c r="M363" s="3" t="inlineStr">
        <is>
          <t>@lisp 应用云</t>
        </is>
      </c>
      <c r="N363" s="6" t="inlineStr">
        <is>
          <t>開く</t>
        </is>
      </c>
    </row>
    <row r="364">
      <c r="A364" s="2">
        <f>RANK(J364,$J$2:$J$656)</f>
        <v/>
      </c>
      <c r="B364" s="3" t="inlineStr">
        <is>
          <t>構造・鉄骨・機械</t>
        </is>
      </c>
      <c r="C364" s="3" t="inlineStr">
        <is>
          <t>平法之拉移随心</t>
        </is>
      </c>
      <c r="D364" s="4" t="inlineStr">
        <is>
          <t>平法之拉移随心</t>
        </is>
      </c>
      <c r="E364" s="4" t="inlineStr">
        <is>
          <t>平法梁注記をドラッグで位置調整</t>
        </is>
      </c>
      <c r="F364" s="2" t="n">
        <v>18</v>
      </c>
      <c r="G364" s="2" t="n">
        <v>12</v>
      </c>
      <c r="H364" s="2" t="n">
        <v>12</v>
      </c>
      <c r="I364" s="2" t="n">
        <v>4</v>
      </c>
      <c r="J364" s="5">
        <f>SUM(F364:I364)</f>
        <v/>
      </c>
      <c r="K364" s="4" t="inlineStr">
        <is>
          <t>平法表記専用</t>
        </is>
      </c>
      <c r="L364" s="3" t="inlineStr">
        <is>
          <t>carrot1983</t>
        </is>
      </c>
      <c r="M364" s="3" t="inlineStr">
        <is>
          <t>@lisp 应用云</t>
        </is>
      </c>
      <c r="N364" s="6" t="inlineStr">
        <is>
          <t>開く</t>
        </is>
      </c>
    </row>
    <row r="365">
      <c r="A365" s="2">
        <f>RANK(J365,$J$2:$J$656)</f>
        <v/>
      </c>
      <c r="B365" s="3" t="inlineStr">
        <is>
          <t>設定・環境</t>
        </is>
      </c>
      <c r="C365" s="3" t="inlineStr">
        <is>
          <t>-</t>
        </is>
      </c>
      <c r="D365" s="4" t="inlineStr">
        <is>
          <t>插件自动加载源码</t>
        </is>
      </c>
      <c r="E365" s="4" t="inlineStr">
        <is>
          <t>フォルダ内LSP/VLX/FASを自動ロード</t>
        </is>
      </c>
      <c r="F365" s="2" t="n">
        <v>12</v>
      </c>
      <c r="G365" s="2" t="n">
        <v>8</v>
      </c>
      <c r="H365" s="2" t="n">
        <v>10</v>
      </c>
      <c r="I365" s="2" t="n">
        <v>16</v>
      </c>
      <c r="J365" s="5">
        <f>SUM(F365:I365)</f>
        <v/>
      </c>
      <c r="K365" s="4" t="inlineStr">
        <is>
          <t>自動ロード基盤</t>
        </is>
      </c>
      <c r="L365" s="3" t="inlineStr">
        <is>
          <t>cqu20104225</t>
        </is>
      </c>
      <c r="M365" s="3" t="inlineStr">
        <is>
          <t>明经CAD社区</t>
        </is>
      </c>
      <c r="N365" s="6" t="inlineStr">
        <is>
          <t>開く</t>
        </is>
      </c>
    </row>
    <row r="366">
      <c r="A366" s="2">
        <f>RANK(J366,$J$2:$J$656)</f>
        <v/>
      </c>
      <c r="B366" s="3" t="inlineStr">
        <is>
          <t>座標・測量・土木</t>
        </is>
      </c>
      <c r="C366" s="3" t="inlineStr">
        <is>
          <t>-</t>
        </is>
      </c>
      <c r="D366" s="4" t="inlineStr">
        <is>
          <t>文本坐标展点 高程编号</t>
        </is>
      </c>
      <c r="E366" s="4" t="inlineStr">
        <is>
          <t>座標テキストから点展開・標高注記</t>
        </is>
      </c>
      <c r="F366" s="2" t="n">
        <v>16</v>
      </c>
      <c r="G366" s="2" t="n">
        <v>8</v>
      </c>
      <c r="H366" s="2" t="n">
        <v>14</v>
      </c>
      <c r="I366" s="2" t="n">
        <v>8</v>
      </c>
      <c r="J366" s="5">
        <f>SUM(F366:I366)</f>
        <v/>
      </c>
      <c r="K366" s="4" t="inlineStr">
        <is>
          <t>座標展点</t>
        </is>
      </c>
      <c r="L366" s="3" t="inlineStr">
        <is>
          <t>JRYG_CAD</t>
        </is>
      </c>
      <c r="M366" s="3" t="inlineStr">
        <is>
          <t>明经CAD社区</t>
        </is>
      </c>
      <c r="N366" s="6" t="inlineStr">
        <is>
          <t>開く</t>
        </is>
      </c>
    </row>
    <row r="367">
      <c r="A367" s="2">
        <f>RANK(J367,$J$2:$J$656)</f>
        <v/>
      </c>
      <c r="B367" s="3" t="inlineStr">
        <is>
          <t>線・ポリライン編集</t>
        </is>
      </c>
      <c r="C367" s="3" t="inlineStr">
        <is>
          <t>-</t>
        </is>
      </c>
      <c r="D367" s="4" t="inlineStr">
        <is>
          <t>直线变矩形</t>
        </is>
      </c>
      <c r="E367" s="4" t="inlineStr">
        <is>
          <t>直線を幅付き矩形に変換</t>
        </is>
      </c>
      <c r="F367" s="2" t="n">
        <v>14</v>
      </c>
      <c r="G367" s="2" t="n">
        <v>10</v>
      </c>
      <c r="H367" s="2" t="n">
        <v>10</v>
      </c>
      <c r="I367" s="2" t="n">
        <v>12</v>
      </c>
      <c r="J367" s="5">
        <f>SUM(F367:I367)</f>
        <v/>
      </c>
      <c r="K367" s="4" t="inlineStr">
        <is>
          <t>線→矩形</t>
        </is>
      </c>
      <c r="L367" s="3" t="inlineStr">
        <is>
          <t>长风（尚品）</t>
        </is>
      </c>
      <c r="M367" s="3" t="inlineStr">
        <is>
          <t>明经CAD社区</t>
        </is>
      </c>
      <c r="N367" s="6" t="inlineStr">
        <is>
          <t>開く</t>
        </is>
      </c>
    </row>
    <row r="368">
      <c r="A368" s="2">
        <f>RANK(J368,$J$2:$J$656)</f>
        <v/>
      </c>
      <c r="B368" s="3" t="inlineStr">
        <is>
          <t>線・ポリライン編集</t>
        </is>
      </c>
      <c r="C368" s="3" t="inlineStr">
        <is>
          <t>-</t>
        </is>
      </c>
      <c r="D368" s="4" t="inlineStr">
        <is>
          <t>贱人工具箱 特殊复制/缩放偏移</t>
        </is>
      </c>
      <c r="E368" s="4" t="inlineStr">
        <is>
          <t>特殊な複写・尺度・オフセット</t>
        </is>
      </c>
      <c r="F368" s="2" t="n">
        <v>10</v>
      </c>
      <c r="G368" s="2" t="n">
        <v>8</v>
      </c>
      <c r="H368" s="2" t="n">
        <v>12</v>
      </c>
      <c r="I368" s="2" t="n">
        <v>16</v>
      </c>
      <c r="J368" s="5">
        <f>SUM(F368:I368)</f>
        <v/>
      </c>
      <c r="K368" s="4" t="inlineStr">
        <is>
          <t>編集強化</t>
        </is>
      </c>
      <c r="L368" s="3" t="inlineStr">
        <is>
          <t>贱人</t>
        </is>
      </c>
      <c r="M368" s="3" t="inlineStr">
        <is>
          <t>贱人工具箱</t>
        </is>
      </c>
      <c r="N368" s="6" t="inlineStr">
        <is>
          <t>開く</t>
        </is>
      </c>
    </row>
    <row r="369">
      <c r="A369" s="2">
        <f>RANK(J369,$J$2:$J$656)</f>
        <v/>
      </c>
      <c r="B369" s="3" t="inlineStr">
        <is>
          <t>ハッチ・面積・長さ集計</t>
        </is>
      </c>
      <c r="C369" s="3" t="inlineStr">
        <is>
          <t>-</t>
        </is>
      </c>
      <c r="D369" s="4" t="inlineStr">
        <is>
          <t>超级统计块（源码）</t>
        </is>
      </c>
      <c r="E369" s="4" t="inlineStr">
        <is>
          <t>ブロックを名称別に集計し表出力</t>
        </is>
      </c>
      <c r="F369" s="2" t="n">
        <v>8</v>
      </c>
      <c r="G369" s="2" t="n">
        <v>6</v>
      </c>
      <c r="H369" s="2" t="n">
        <v>14</v>
      </c>
      <c r="I369" s="2" t="n">
        <v>18</v>
      </c>
      <c r="J369" s="5">
        <f>SUM(F369:I369)</f>
        <v/>
      </c>
      <c r="K369" s="4" t="inlineStr">
        <is>
          <t>COUNTで代替進む</t>
        </is>
      </c>
      <c r="L369" s="3" t="inlineStr">
        <is>
          <t>【KAIXIN】</t>
        </is>
      </c>
      <c r="M369" s="3" t="inlineStr">
        <is>
          <t>明经CAD社区</t>
        </is>
      </c>
      <c r="N369" s="6" t="inlineStr">
        <is>
          <t>開く</t>
        </is>
      </c>
    </row>
    <row r="370">
      <c r="A370" s="2">
        <f>RANK(J370,$J$2:$J$656)</f>
        <v/>
      </c>
      <c r="B370" s="3" t="inlineStr">
        <is>
          <t>設定・環境</t>
        </is>
      </c>
      <c r="C370" s="3" t="inlineStr">
        <is>
          <t>-</t>
        </is>
      </c>
      <c r="D370" s="4" t="inlineStr">
        <is>
          <t>迷你工具箱面板G1+快捷键设置</t>
        </is>
      </c>
      <c r="E370" s="4" t="inlineStr">
        <is>
          <t>ボタンパネルと短縮キー設定</t>
        </is>
      </c>
      <c r="F370" s="2" t="n">
        <v>10</v>
      </c>
      <c r="G370" s="2" t="n">
        <v>8</v>
      </c>
      <c r="H370" s="2" t="n">
        <v>12</v>
      </c>
      <c r="I370" s="2" t="n">
        <v>16</v>
      </c>
      <c r="J370" s="5">
        <f>SUM(F370:I370)</f>
        <v/>
      </c>
      <c r="K370" s="4" t="inlineStr">
        <is>
          <t>パネル化</t>
        </is>
      </c>
      <c r="L370" s="3" t="inlineStr">
        <is>
          <t>1028695446</t>
        </is>
      </c>
      <c r="M370" s="3" t="inlineStr">
        <is>
          <t>明经CAD社区</t>
        </is>
      </c>
      <c r="N370" s="6" t="inlineStr">
        <is>
          <t>開く</t>
        </is>
      </c>
    </row>
    <row r="371">
      <c r="A371" s="2">
        <f>RANK(J371,$J$2:$J$656)</f>
        <v/>
      </c>
      <c r="B371" s="3" t="inlineStr">
        <is>
          <t>設備</t>
        </is>
      </c>
      <c r="C371" s="3" t="inlineStr">
        <is>
          <t>风机统计</t>
        </is>
      </c>
      <c r="D371" s="4" t="inlineStr">
        <is>
          <t>风机统计 (@lisp暖通)</t>
        </is>
      </c>
      <c r="E371" s="4" t="inlineStr">
        <is>
          <t>ファンコイルを集計し機器表を作成</t>
        </is>
      </c>
      <c r="F371" s="2" t="n">
        <v>17</v>
      </c>
      <c r="G371" s="2" t="n">
        <v>8</v>
      </c>
      <c r="H371" s="2" t="n">
        <v>15</v>
      </c>
      <c r="I371" s="2" t="n">
        <v>6</v>
      </c>
      <c r="J371" s="5">
        <f>SUM(F371:I371)</f>
        <v/>
      </c>
      <c r="K371" s="4" t="inlineStr">
        <is>
          <t>機器表自動化</t>
        </is>
      </c>
      <c r="L371" s="3" t="inlineStr">
        <is>
          <t>VitalGG</t>
        </is>
      </c>
      <c r="M371" s="3" t="inlineStr">
        <is>
          <t>@lisp 应用云</t>
        </is>
      </c>
      <c r="N371" s="6" t="inlineStr">
        <is>
          <t>開く</t>
        </is>
      </c>
    </row>
    <row r="372">
      <c r="A372" s="2">
        <f>RANK(J372,$J$2:$J$656)</f>
        <v/>
      </c>
      <c r="B372" s="3" t="inlineStr">
        <is>
          <t>ブロック・属性</t>
        </is>
      </c>
      <c r="C372" s="3" t="inlineStr">
        <is>
          <t>ATTDEF2TEXT</t>
        </is>
      </c>
      <c r="D372" s="4" t="inlineStr">
        <is>
          <t>ATTDEF2TEXT 属性定义转文字</t>
        </is>
      </c>
      <c r="E372" s="4" t="inlineStr">
        <is>
          <t>分解後のATTDEFを単線/多行文字に変換</t>
        </is>
      </c>
      <c r="F372" s="2" t="n">
        <v>12</v>
      </c>
      <c r="G372" s="2" t="n">
        <v>8</v>
      </c>
      <c r="H372" s="2" t="n">
        <v>10</v>
      </c>
      <c r="I372" s="2" t="n">
        <v>15</v>
      </c>
      <c r="J372" s="5">
        <f>SUM(F372:I372)</f>
        <v/>
      </c>
      <c r="K372" s="4" t="inlineStr">
        <is>
          <t>BURSTで一部代替</t>
        </is>
      </c>
      <c r="L372" s="3" t="inlineStr">
        <is>
          <t>shui-tiao</t>
        </is>
      </c>
      <c r="M372" s="3" t="inlineStr">
        <is>
          <t>GitHub: shui-tiao/AutoCAD-Lisp-Tools</t>
        </is>
      </c>
      <c r="N372" s="6" t="inlineStr">
        <is>
          <t>開く</t>
        </is>
      </c>
    </row>
    <row r="373">
      <c r="A373" s="2">
        <f>RANK(J373,$J$2:$J$656)</f>
        <v/>
      </c>
      <c r="B373" s="3" t="inlineStr">
        <is>
          <t>作図</t>
        </is>
      </c>
      <c r="C373" s="3" t="inlineStr">
        <is>
          <t>BN</t>
        </is>
      </c>
      <c r="D373" s="4" t="inlineStr">
        <is>
          <t>AutoCAD 自动编号工具</t>
        </is>
      </c>
      <c r="E373" s="4" t="inlineStr">
        <is>
          <t>接頭辞付き番号をクリックで増分配置</t>
        </is>
      </c>
      <c r="F373" s="2" t="n">
        <v>12</v>
      </c>
      <c r="G373" s="2" t="n">
        <v>4</v>
      </c>
      <c r="H373" s="2" t="n">
        <v>13</v>
      </c>
      <c r="I373" s="2" t="n">
        <v>16</v>
      </c>
      <c r="J373" s="5">
        <f>SUM(F373:I373)</f>
        <v/>
      </c>
      <c r="K373" s="4" t="inlineStr">
        <is>
          <t>連番配置</t>
        </is>
      </c>
      <c r="L373" s="3" t="inlineStr">
        <is>
          <t>FriesHour</t>
        </is>
      </c>
      <c r="M373" s="3" t="inlineStr">
        <is>
          <t>GitHub: FriesHour/AutoCAD-tool</t>
        </is>
      </c>
      <c r="N373" s="6" t="inlineStr">
        <is>
          <t>開く</t>
        </is>
      </c>
    </row>
    <row r="374">
      <c r="A374" s="2">
        <f>RANK(J374,$J$2:$J$656)</f>
        <v/>
      </c>
      <c r="B374" s="3" t="inlineStr">
        <is>
          <t>座標・測量・土木</t>
        </is>
      </c>
      <c r="C374" s="3" t="inlineStr">
        <is>
          <t>bz</t>
        </is>
      </c>
      <c r="D374" s="4" t="inlineStr">
        <is>
          <t>bzpyj 坐标标注(UCS対応)</t>
        </is>
      </c>
      <c r="E374" s="4" t="inlineStr">
        <is>
          <t>UCS下でもWCS絶対座標を注記</t>
        </is>
      </c>
      <c r="F374" s="2" t="n">
        <v>14</v>
      </c>
      <c r="G374" s="2" t="n">
        <v>6</v>
      </c>
      <c r="H374" s="2" t="n">
        <v>13</v>
      </c>
      <c r="I374" s="2" t="n">
        <v>12</v>
      </c>
      <c r="J374" s="5">
        <f>SUM(F374:I374)</f>
        <v/>
      </c>
      <c r="K374" s="4" t="inlineStr">
        <is>
          <t>UCS対応座標注記</t>
        </is>
      </c>
      <c r="L374" s="3" t="inlineStr"/>
      <c r="M374" s="3" t="inlineStr">
        <is>
          <t>GitHub: zhugecaomao/AutoLISP</t>
        </is>
      </c>
      <c r="N374" s="6" t="inlineStr">
        <is>
          <t>開く</t>
        </is>
      </c>
    </row>
    <row r="375">
      <c r="A375" s="2">
        <f>RANK(J375,$J$2:$J$656)</f>
        <v/>
      </c>
      <c r="B375" s="3" t="inlineStr">
        <is>
          <t>LISP開発用の部品</t>
        </is>
      </c>
      <c r="C375" s="3" t="inlineStr">
        <is>
          <t>-</t>
        </is>
      </c>
      <c r="D375" s="4" t="inlineStr">
        <is>
          <t>ui: 界面</t>
        </is>
      </c>
      <c r="E375" s="4" t="inlineStr">
        <is>
          <t>ボタン選択パネル・動的ドラッグ配置・動的照会</t>
        </is>
      </c>
      <c r="F375" s="2" t="n">
        <v>12</v>
      </c>
      <c r="G375" s="2" t="n">
        <v>14</v>
      </c>
      <c r="H375" s="2" t="n">
        <v>5</v>
      </c>
      <c r="I375" s="2" t="n">
        <v>14</v>
      </c>
      <c r="J375" s="5">
        <f>SUM(F375:I375)</f>
        <v/>
      </c>
      <c r="K375" s="4" t="inlineStr">
        <is>
          <t>grread動的配置UIの参考</t>
        </is>
      </c>
      <c r="L375" s="3" t="inlineStr">
        <is>
          <t>VitalGG</t>
        </is>
      </c>
      <c r="M375" s="3" t="inlineStr">
        <is>
          <t>GitHub: atlisp-org/atlisp-lib</t>
        </is>
      </c>
      <c r="N375" s="6" t="inlineStr">
        <is>
          <t>開く</t>
        </is>
      </c>
    </row>
    <row r="376">
      <c r="A376" s="2">
        <f>RANK(J376,$J$2:$J$656)</f>
        <v/>
      </c>
      <c r="B376" s="3" t="inlineStr">
        <is>
          <t>その他</t>
        </is>
      </c>
      <c r="C376" s="3" t="inlineStr">
        <is>
          <t>-</t>
        </is>
      </c>
      <c r="D376" s="4" t="inlineStr">
        <is>
          <t>《河边草》智能与批量工具集</t>
        </is>
      </c>
      <c r="E376" s="4" t="inlineStr">
        <is>
          <t>智能・一括処理の総合ツール集</t>
        </is>
      </c>
      <c r="F376" s="2" t="n">
        <v>10</v>
      </c>
      <c r="G376" s="2" t="n">
        <v>8</v>
      </c>
      <c r="H376" s="2" t="n">
        <v>12</v>
      </c>
      <c r="I376" s="2" t="n">
        <v>15</v>
      </c>
      <c r="J376" s="5">
        <f>SUM(F376:I376)</f>
        <v/>
      </c>
      <c r="K376" s="4" t="inlineStr">
        <is>
          <t>総合ツール集</t>
        </is>
      </c>
      <c r="L376" s="3" t="inlineStr">
        <is>
          <t>aaacjh</t>
        </is>
      </c>
      <c r="M376" s="3" t="inlineStr">
        <is>
          <t>明经CAD社区</t>
        </is>
      </c>
      <c r="N376" s="6" t="inlineStr">
        <is>
          <t>開く</t>
        </is>
      </c>
    </row>
    <row r="377">
      <c r="A377" s="2">
        <f>RANK(J377,$J$2:$J$656)</f>
        <v/>
      </c>
      <c r="B377" s="3" t="inlineStr">
        <is>
          <t>ブロック・属性</t>
        </is>
      </c>
      <c r="C377" s="3" t="inlineStr">
        <is>
          <t>-</t>
        </is>
      </c>
      <c r="D377" s="4" t="inlineStr">
        <is>
          <t>图块相同刷</t>
        </is>
      </c>
      <c r="E377" s="4" t="inlineStr">
        <is>
          <t>ブロックを同じものに刷り替え</t>
        </is>
      </c>
      <c r="F377" s="2" t="n">
        <v>10</v>
      </c>
      <c r="G377" s="2" t="n">
        <v>8</v>
      </c>
      <c r="H377" s="2" t="n">
        <v>12</v>
      </c>
      <c r="I377" s="2" t="n">
        <v>15</v>
      </c>
      <c r="J377" s="5">
        <f>SUM(F377:I377)</f>
        <v/>
      </c>
      <c r="K377" s="4" t="inlineStr">
        <is>
          <t>ブロック置換</t>
        </is>
      </c>
      <c r="L377" s="3" t="inlineStr"/>
      <c r="M377" s="3" t="inlineStr">
        <is>
          <t>晓东CAD家园</t>
        </is>
      </c>
      <c r="N377" s="6" t="inlineStr">
        <is>
          <t>開く</t>
        </is>
      </c>
    </row>
    <row r="378">
      <c r="A378" s="2">
        <f>RANK(J378,$J$2:$J$656)</f>
        <v/>
      </c>
      <c r="B378" s="3" t="inlineStr">
        <is>
          <t>ブロック・属性</t>
        </is>
      </c>
      <c r="C378" s="3" t="inlineStr">
        <is>
          <t>属性变文本</t>
        </is>
      </c>
      <c r="D378" s="4" t="inlineStr">
        <is>
          <t>属性变文本 (@lisp文本)</t>
        </is>
      </c>
      <c r="E378" s="4" t="inlineStr">
        <is>
          <t>分解後の属性定義を通常文字に変換</t>
        </is>
      </c>
      <c r="F378" s="2" t="n">
        <v>12</v>
      </c>
      <c r="G378" s="2" t="n">
        <v>8</v>
      </c>
      <c r="H378" s="2" t="n">
        <v>10</v>
      </c>
      <c r="I378" s="2" t="n">
        <v>15</v>
      </c>
      <c r="J378" s="5">
        <f>SUM(F378:I378)</f>
        <v/>
      </c>
      <c r="K378" s="4" t="inlineStr">
        <is>
          <t>BURSTで一部代替</t>
        </is>
      </c>
      <c r="L378" s="3" t="inlineStr">
        <is>
          <t>VitalGG</t>
        </is>
      </c>
      <c r="M378" s="3" t="inlineStr">
        <is>
          <t>@lisp 应用云</t>
        </is>
      </c>
      <c r="N378" s="6" t="inlineStr">
        <is>
          <t>開く</t>
        </is>
      </c>
    </row>
    <row r="379">
      <c r="A379" s="2">
        <f>RANK(J379,$J$2:$J$656)</f>
        <v/>
      </c>
      <c r="B379" s="3" t="inlineStr">
        <is>
          <t>作図</t>
        </is>
      </c>
      <c r="C379" s="3" t="inlineStr">
        <is>
          <t>-</t>
        </is>
      </c>
      <c r="D379" s="4" t="inlineStr">
        <is>
          <t>折断线波浪线</t>
        </is>
      </c>
      <c r="E379" s="4" t="inlineStr">
        <is>
          <t>破断線・波線を作図</t>
        </is>
      </c>
      <c r="F379" s="2" t="n">
        <v>12</v>
      </c>
      <c r="G379" s="2" t="n">
        <v>6</v>
      </c>
      <c r="H379" s="2" t="n">
        <v>12</v>
      </c>
      <c r="I379" s="2" t="n">
        <v>15</v>
      </c>
      <c r="J379" s="5">
        <f>SUM(F379:I379)</f>
        <v/>
      </c>
      <c r="K379" s="4" t="inlineStr">
        <is>
          <t>破断線</t>
        </is>
      </c>
      <c r="L379" s="3" t="inlineStr"/>
      <c r="M379" s="3" t="inlineStr">
        <is>
          <t>GitHub: zhugecaomao/AutoLISP</t>
        </is>
      </c>
      <c r="N379" s="6" t="inlineStr">
        <is>
          <t>開く</t>
        </is>
      </c>
    </row>
    <row r="380">
      <c r="A380" s="2">
        <f>RANK(J380,$J$2:$J$656)</f>
        <v/>
      </c>
      <c r="B380" s="3" t="inlineStr">
        <is>
          <t>線・ポリライン編集</t>
        </is>
      </c>
      <c r="C380" s="3" t="inlineStr">
        <is>
          <t>-</t>
        </is>
      </c>
      <c r="D380" s="4" t="inlineStr">
        <is>
          <t>曲线打断分解</t>
        </is>
      </c>
      <c r="E380" s="4" t="inlineStr">
        <is>
          <t>曲線を交点で打断・分解</t>
        </is>
      </c>
      <c r="F380" s="2" t="n">
        <v>12</v>
      </c>
      <c r="G380" s="2" t="n">
        <v>6</v>
      </c>
      <c r="H380" s="2" t="n">
        <v>12</v>
      </c>
      <c r="I380" s="2" t="n">
        <v>15</v>
      </c>
      <c r="J380" s="5">
        <f>SUM(F380:I380)</f>
        <v/>
      </c>
      <c r="K380" s="4" t="inlineStr">
        <is>
          <t>交点で一括分割</t>
        </is>
      </c>
      <c r="L380" s="3" t="inlineStr">
        <is>
          <t>橡皮</t>
        </is>
      </c>
      <c r="M380" s="3" t="inlineStr">
        <is>
          <t>明经CAD社区</t>
        </is>
      </c>
      <c r="N380" s="6" t="inlineStr">
        <is>
          <t>開く</t>
        </is>
      </c>
    </row>
    <row r="381">
      <c r="A381" s="2">
        <f>RANK(J381,$J$2:$J$656)</f>
        <v/>
      </c>
      <c r="B381" s="3" t="inlineStr">
        <is>
          <t>その他</t>
        </is>
      </c>
      <c r="C381" s="3" t="inlineStr">
        <is>
          <t>-</t>
        </is>
      </c>
      <c r="D381" s="4" t="inlineStr">
        <is>
          <t>比亚CAD 2025（永久免费）</t>
        </is>
      </c>
      <c r="E381" s="4" t="inlineStr">
        <is>
          <t>中心線・波線・局部拡大等の無料LISP集</t>
        </is>
      </c>
      <c r="F381" s="2" t="n">
        <v>10</v>
      </c>
      <c r="G381" s="2" t="n">
        <v>8</v>
      </c>
      <c r="H381" s="2" t="n">
        <v>12</v>
      </c>
      <c r="I381" s="2" t="n">
        <v>15</v>
      </c>
      <c r="J381" s="5">
        <f>SUM(F381:I381)</f>
        <v/>
      </c>
      <c r="K381" s="4" t="inlineStr">
        <is>
          <t>無料ツール集</t>
        </is>
      </c>
      <c r="L381" s="3" t="inlineStr">
        <is>
          <t>biya</t>
        </is>
      </c>
      <c r="M381" s="3" t="inlineStr">
        <is>
          <t>明经CAD社区</t>
        </is>
      </c>
      <c r="N381" s="6" t="inlineStr">
        <is>
          <t>開く</t>
        </is>
      </c>
    </row>
    <row r="382">
      <c r="A382" s="2">
        <f>RANK(J382,$J$2:$J$656)</f>
        <v/>
      </c>
      <c r="B382" s="3" t="inlineStr">
        <is>
          <t>選択・絞り込み</t>
        </is>
      </c>
      <c r="C382" s="3" t="inlineStr">
        <is>
          <t>-</t>
        </is>
      </c>
      <c r="D382" s="4" t="inlineStr">
        <is>
          <t>相同刷v3.0 (langjs)</t>
        </is>
      </c>
      <c r="E382" s="4" t="inlineStr">
        <is>
          <t>同じ特性の図形を刷り込み選択</t>
        </is>
      </c>
      <c r="F382" s="2" t="n">
        <v>8</v>
      </c>
      <c r="G382" s="2" t="n">
        <v>8</v>
      </c>
      <c r="H382" s="2" t="n">
        <v>12</v>
      </c>
      <c r="I382" s="2" t="n">
        <v>17</v>
      </c>
      <c r="J382" s="5">
        <f>SUM(F382:I382)</f>
        <v/>
      </c>
      <c r="K382" s="4" t="inlineStr">
        <is>
          <t>SELECTSIMILAR強化</t>
        </is>
      </c>
      <c r="L382" s="3" t="inlineStr">
        <is>
          <t>tianyi1230</t>
        </is>
      </c>
      <c r="M382" s="3" t="inlineStr">
        <is>
          <t>明经CAD社区</t>
        </is>
      </c>
      <c r="N382" s="6" t="inlineStr">
        <is>
          <t>開く</t>
        </is>
      </c>
    </row>
    <row r="383">
      <c r="A383" s="2">
        <f>RANK(J383,$J$2:$J$656)</f>
        <v/>
      </c>
      <c r="B383" s="3" t="inlineStr">
        <is>
          <t>構造・鉄骨・機械</t>
        </is>
      </c>
      <c r="C383" s="3" t="inlineStr">
        <is>
          <t>-</t>
        </is>
      </c>
      <c r="D383" s="4" t="inlineStr">
        <is>
          <t>精密钣金展开4.0</t>
        </is>
      </c>
      <c r="E383" s="4" t="inlineStr">
        <is>
          <t>板金の展開図（双線）作成</t>
        </is>
      </c>
      <c r="F383" s="2" t="n">
        <v>18</v>
      </c>
      <c r="G383" s="2" t="n">
        <v>10</v>
      </c>
      <c r="H383" s="2" t="n">
        <v>13</v>
      </c>
      <c r="I383" s="2" t="n">
        <v>4</v>
      </c>
      <c r="J383" s="5">
        <f>SUM(F383:I383)</f>
        <v/>
      </c>
      <c r="K383" s="4" t="inlineStr">
        <is>
          <t>板金展開</t>
        </is>
      </c>
      <c r="L383" s="3" t="inlineStr">
        <is>
          <t>aws</t>
        </is>
      </c>
      <c r="M383" s="3" t="inlineStr">
        <is>
          <t>明经CAD社区</t>
        </is>
      </c>
      <c r="N383" s="6" t="inlineStr">
        <is>
          <t>開く</t>
        </is>
      </c>
    </row>
    <row r="384">
      <c r="A384" s="2">
        <f>RANK(J384,$J$2:$J$656)</f>
        <v/>
      </c>
      <c r="B384" s="3" t="inlineStr">
        <is>
          <t>構造・鉄骨・機械</t>
        </is>
      </c>
      <c r="C384" s="3" t="inlineStr">
        <is>
          <t>统计梁截面</t>
        </is>
      </c>
      <c r="D384" s="4" t="inlineStr">
        <is>
          <t>统计梁截面 (@lisp结构)</t>
        </is>
      </c>
      <c r="E384" s="4" t="inlineStr">
        <is>
          <t>梁断面サイズを集計</t>
        </is>
      </c>
      <c r="F384" s="2" t="n">
        <v>19</v>
      </c>
      <c r="G384" s="2" t="n">
        <v>8</v>
      </c>
      <c r="H384" s="2" t="n">
        <v>12</v>
      </c>
      <c r="I384" s="2" t="n">
        <v>6</v>
      </c>
      <c r="J384" s="5">
        <f>SUM(F384:I384)</f>
        <v/>
      </c>
      <c r="K384" s="4" t="inlineStr">
        <is>
          <t>梁リスト集計</t>
        </is>
      </c>
      <c r="L384" s="3" t="inlineStr">
        <is>
          <t>VitalGG</t>
        </is>
      </c>
      <c r="M384" s="3" t="inlineStr">
        <is>
          <t>@lisp 应用云</t>
        </is>
      </c>
      <c r="N384" s="6" t="inlineStr">
        <is>
          <t>開く</t>
        </is>
      </c>
    </row>
    <row r="385">
      <c r="A385" s="2">
        <f>RANK(J385,$J$2:$J$656)</f>
        <v/>
      </c>
      <c r="B385" s="3" t="inlineStr">
        <is>
          <t>構造・鉄骨・機械</t>
        </is>
      </c>
      <c r="C385" s="3" t="inlineStr">
        <is>
          <t>-</t>
        </is>
      </c>
      <c r="D385" s="4" t="inlineStr">
        <is>
          <t>钣金展开图形卡</t>
        </is>
      </c>
      <c r="E385" s="4" t="inlineStr">
        <is>
          <t>板金展開図の作成</t>
        </is>
      </c>
      <c r="F385" s="2" t="n">
        <v>18</v>
      </c>
      <c r="G385" s="2" t="n">
        <v>10</v>
      </c>
      <c r="H385" s="2" t="n">
        <v>12</v>
      </c>
      <c r="I385" s="2" t="n">
        <v>5</v>
      </c>
      <c r="J385" s="5">
        <f>SUM(F385:I385)</f>
        <v/>
      </c>
      <c r="K385" s="4" t="inlineStr">
        <is>
          <t>板金展開</t>
        </is>
      </c>
      <c r="L385" s="3" t="inlineStr">
        <is>
          <t>瑙西卡</t>
        </is>
      </c>
      <c r="M385" s="3" t="inlineStr">
        <is>
          <t>明经CAD社区</t>
        </is>
      </c>
      <c r="N385" s="6" t="inlineStr">
        <is>
          <t>開く</t>
        </is>
      </c>
    </row>
    <row r="386">
      <c r="A386" s="2">
        <f>RANK(J386,$J$2:$J$656)</f>
        <v/>
      </c>
      <c r="B386" s="3" t="inlineStr">
        <is>
          <t>構造・鉄骨・機械</t>
        </is>
      </c>
      <c r="C386" s="3" t="inlineStr">
        <is>
          <t>铝构展开</t>
        </is>
      </c>
      <c r="D386" s="4" t="inlineStr">
        <is>
          <t>铝板展开</t>
        </is>
      </c>
      <c r="E386" s="4" t="inlineStr">
        <is>
          <t>アルミ板の展開図を生成</t>
        </is>
      </c>
      <c r="F386" s="2" t="n">
        <v>18</v>
      </c>
      <c r="G386" s="2" t="n">
        <v>10</v>
      </c>
      <c r="H386" s="2" t="n">
        <v>13</v>
      </c>
      <c r="I386" s="2" t="n">
        <v>4</v>
      </c>
      <c r="J386" s="5">
        <f>SUM(F386:I386)</f>
        <v/>
      </c>
      <c r="K386" s="4" t="inlineStr">
        <is>
          <t>板金展開</t>
        </is>
      </c>
      <c r="L386" s="3" t="inlineStr">
        <is>
          <t>VitalGG</t>
        </is>
      </c>
      <c r="M386" s="3" t="inlineStr">
        <is>
          <t>@lisp 应用云</t>
        </is>
      </c>
      <c r="N386" s="6" t="inlineStr">
        <is>
          <t>開く</t>
        </is>
      </c>
    </row>
    <row r="387">
      <c r="A387" s="2">
        <f>RANK(J387,$J$2:$J$656)</f>
        <v/>
      </c>
      <c r="B387" s="3" t="inlineStr">
        <is>
          <t>表・Excel連携</t>
        </is>
      </c>
      <c r="C387" s="3" t="inlineStr">
        <is>
          <t>-</t>
        </is>
      </c>
      <c r="D387" s="4" t="inlineStr">
        <is>
          <t>ACAD表格转EXCEL插件</t>
        </is>
      </c>
      <c r="E387" s="4" t="inlineStr">
        <is>
          <t>CADのTABLEをExcelへ書出</t>
        </is>
      </c>
      <c r="F387" s="2" t="n">
        <v>8</v>
      </c>
      <c r="G387" s="2" t="n">
        <v>6</v>
      </c>
      <c r="H387" s="2" t="n">
        <v>14</v>
      </c>
      <c r="I387" s="2" t="n">
        <v>16</v>
      </c>
      <c r="J387" s="5">
        <f>SUM(F387:I387)</f>
        <v/>
      </c>
      <c r="K387" s="4" t="inlineStr">
        <is>
          <t>TABLEEXPORTで近い</t>
        </is>
      </c>
      <c r="L387" s="3" t="inlineStr"/>
      <c r="M387" s="3" t="inlineStr">
        <is>
          <t>晓东CAD家园</t>
        </is>
      </c>
      <c r="N387" s="6" t="inlineStr">
        <is>
          <t>開く</t>
        </is>
      </c>
    </row>
    <row r="388">
      <c r="A388" s="2">
        <f>RANK(J388,$J$2:$J$656)</f>
        <v/>
      </c>
      <c r="B388" s="3" t="inlineStr">
        <is>
          <t>座標・測量・土木</t>
        </is>
      </c>
      <c r="C388" s="3" t="inlineStr">
        <is>
          <t>-</t>
        </is>
      </c>
      <c r="D388" s="4" t="inlineStr">
        <is>
          <t>cass围墙自动修剪</t>
        </is>
      </c>
      <c r="E388" s="4" t="inlineStr">
        <is>
          <t>CASSで描いた囲障を自動トリム</t>
        </is>
      </c>
      <c r="F388" s="2" t="n">
        <v>18</v>
      </c>
      <c r="G388" s="2" t="n">
        <v>10</v>
      </c>
      <c r="H388" s="2" t="n">
        <v>12</v>
      </c>
      <c r="I388" s="2" t="n">
        <v>4</v>
      </c>
      <c r="J388" s="5">
        <f>SUM(F388:I388)</f>
        <v/>
      </c>
      <c r="K388" s="4" t="inlineStr">
        <is>
          <t>CASS専用</t>
        </is>
      </c>
      <c r="L388" s="3" t="inlineStr">
        <is>
          <t>479274135</t>
        </is>
      </c>
      <c r="M388" s="3" t="inlineStr">
        <is>
          <t>明经CAD社区</t>
        </is>
      </c>
      <c r="N388" s="6" t="inlineStr">
        <is>
          <t>開く</t>
        </is>
      </c>
    </row>
    <row r="389">
      <c r="A389" s="2">
        <f>RANK(J389,$J$2:$J$656)</f>
        <v/>
      </c>
      <c r="B389" s="3" t="inlineStr">
        <is>
          <t>外部参照・図面管理・一括処理</t>
        </is>
      </c>
      <c r="C389" s="3" t="inlineStr">
        <is>
          <t>-</t>
        </is>
      </c>
      <c r="D389" s="4" t="inlineStr">
        <is>
          <t>DuoTab 多标签管理</t>
        </is>
      </c>
      <c r="E389" s="4" t="inlineStr">
        <is>
          <t>図面タブ管理・AI作図補助の強化プラグイン</t>
        </is>
      </c>
      <c r="F389" s="2" t="n">
        <v>6</v>
      </c>
      <c r="G389" s="2" t="n">
        <v>10</v>
      </c>
      <c r="H389" s="2" t="n">
        <v>10</v>
      </c>
      <c r="I389" s="2" t="n">
        <v>18</v>
      </c>
      <c r="J389" s="5">
        <f>SUM(F389:I389)</f>
        <v/>
      </c>
      <c r="K389" s="4" t="inlineStr">
        <is>
          <t>標準のファイルタブで代替</t>
        </is>
      </c>
      <c r="L389" s="3" t="inlineStr">
        <is>
          <t>oneeshine</t>
        </is>
      </c>
      <c r="M389" s="3" t="inlineStr">
        <is>
          <t>明经CAD社区</t>
        </is>
      </c>
      <c r="N389" s="6" t="inlineStr">
        <is>
          <t>開く</t>
        </is>
      </c>
    </row>
    <row r="390">
      <c r="A390" s="2">
        <f>RANK(J390,$J$2:$J$656)</f>
        <v/>
      </c>
      <c r="B390" s="3" t="inlineStr">
        <is>
          <t>建築</t>
        </is>
      </c>
      <c r="C390" s="3" t="inlineStr">
        <is>
          <t>ltpd</t>
        </is>
      </c>
      <c r="D390" s="4" t="inlineStr">
        <is>
          <t>ltpd 画楼梯梯段剖面</t>
        </is>
      </c>
      <c r="E390" s="4" t="inlineStr">
        <is>
          <t>階段の断面を作図</t>
        </is>
      </c>
      <c r="F390" s="2" t="n">
        <v>16</v>
      </c>
      <c r="G390" s="2" t="n">
        <v>8</v>
      </c>
      <c r="H390" s="2" t="n">
        <v>13</v>
      </c>
      <c r="I390" s="2" t="n">
        <v>7</v>
      </c>
      <c r="J390" s="5">
        <f>SUM(F390:I390)</f>
        <v/>
      </c>
      <c r="K390" s="4" t="inlineStr">
        <is>
          <t>階段断面作図</t>
        </is>
      </c>
      <c r="L390" s="3" t="inlineStr">
        <is>
          <t>shuixzy</t>
        </is>
      </c>
      <c r="M390" s="3" t="inlineStr">
        <is>
          <t>GitHub: shuixzy/DB_CAD_Tools</t>
        </is>
      </c>
      <c r="N390" s="6" t="inlineStr">
        <is>
          <t>開く</t>
        </is>
      </c>
    </row>
    <row r="391">
      <c r="A391" s="2">
        <f>RANK(J391,$J$2:$J$656)</f>
        <v/>
      </c>
      <c r="B391" s="3" t="inlineStr">
        <is>
          <t>座標・測量・土木</t>
        </is>
      </c>
      <c r="C391" s="3" t="inlineStr">
        <is>
          <t>rtk坐标绘制</t>
        </is>
      </c>
      <c r="D391" s="4" t="inlineStr">
        <is>
          <t>rtk坐标绘制</t>
        </is>
      </c>
      <c r="E391" s="4" t="inlineStr">
        <is>
          <t>RTK測量データファイルから点を展開</t>
        </is>
      </c>
      <c r="F391" s="2" t="n">
        <v>16</v>
      </c>
      <c r="G391" s="2" t="n">
        <v>6</v>
      </c>
      <c r="H391" s="2" t="n">
        <v>14</v>
      </c>
      <c r="I391" s="2" t="n">
        <v>8</v>
      </c>
      <c r="J391" s="5">
        <f>SUM(F391:I391)</f>
        <v/>
      </c>
      <c r="K391" s="4" t="inlineStr">
        <is>
          <t>測点展開</t>
        </is>
      </c>
      <c r="L391" s="3" t="inlineStr">
        <is>
          <t>VitalGG</t>
        </is>
      </c>
      <c r="M391" s="3" t="inlineStr">
        <is>
          <t>@lisp 应用云</t>
        </is>
      </c>
      <c r="N391" s="6" t="inlineStr">
        <is>
          <t>開く</t>
        </is>
      </c>
    </row>
    <row r="392">
      <c r="A392" s="2">
        <f>RANK(J392,$J$2:$J$656)</f>
        <v/>
      </c>
      <c r="B392" s="3" t="inlineStr">
        <is>
          <t>建築</t>
        </is>
      </c>
      <c r="C392" s="3" t="inlineStr">
        <is>
          <t>zbjs</t>
        </is>
      </c>
      <c r="D392" s="4" t="inlineStr">
        <is>
          <t>zbjs 指标计算</t>
        </is>
      </c>
      <c r="E392" s="4" t="inlineStr">
        <is>
          <t>建築面積等の規划指標を計算</t>
        </is>
      </c>
      <c r="F392" s="2" t="n">
        <v>16</v>
      </c>
      <c r="G392" s="2" t="n">
        <v>8</v>
      </c>
      <c r="H392" s="2" t="n">
        <v>13</v>
      </c>
      <c r="I392" s="2" t="n">
        <v>7</v>
      </c>
      <c r="J392" s="5">
        <f>SUM(F392:I392)</f>
        <v/>
      </c>
      <c r="K392" s="4" t="inlineStr">
        <is>
          <t>規划指標</t>
        </is>
      </c>
      <c r="L392" s="3" t="inlineStr">
        <is>
          <t>shuixzy</t>
        </is>
      </c>
      <c r="M392" s="3" t="inlineStr">
        <is>
          <t>GitHub: shuixzy/DB_CAD_Tools</t>
        </is>
      </c>
      <c r="N392" s="6" t="inlineStr">
        <is>
          <t>開く</t>
        </is>
      </c>
    </row>
    <row r="393">
      <c r="A393" s="2">
        <f>RANK(J393,$J$2:$J$656)</f>
        <v/>
      </c>
      <c r="B393" s="3" t="inlineStr">
        <is>
          <t>座標・測量・土木</t>
        </is>
      </c>
      <c r="C393" s="3" t="inlineStr">
        <is>
          <t>zzCass2CadPoint</t>
        </is>
      </c>
      <c r="D393" s="4" t="inlineStr">
        <is>
          <t>zzCass2CadPoint CASS转CAD点</t>
        </is>
      </c>
      <c r="E393" s="4" t="inlineStr">
        <is>
          <t>CASS地形図からC3D用CAD点を生成</t>
        </is>
      </c>
      <c r="F393" s="2" t="n">
        <v>18</v>
      </c>
      <c r="G393" s="2" t="n">
        <v>10</v>
      </c>
      <c r="H393" s="2" t="n">
        <v>12</v>
      </c>
      <c r="I393" s="2" t="n">
        <v>4</v>
      </c>
      <c r="J393" s="5">
        <f>SUM(F393:I393)</f>
        <v/>
      </c>
      <c r="K393" s="4" t="inlineStr">
        <is>
          <t>CASS→Civil3D</t>
        </is>
      </c>
      <c r="L393" s="3" t="inlineStr">
        <is>
          <t>Qin-Dong</t>
        </is>
      </c>
      <c r="M393" s="3" t="inlineStr">
        <is>
          <t>GitHub: Qin-Dong/Construction-Surveying-Toolkit-For-AutoCAD</t>
        </is>
      </c>
      <c r="N393" s="6" t="inlineStr">
        <is>
          <t>開く</t>
        </is>
      </c>
    </row>
    <row r="394">
      <c r="A394" s="2">
        <f>RANK(J394,$J$2:$J$656)</f>
        <v/>
      </c>
      <c r="B394" s="3" t="inlineStr">
        <is>
          <t>ハッチ・面積・長さ集計</t>
        </is>
      </c>
      <c r="C394" s="3" t="inlineStr">
        <is>
          <t>-</t>
        </is>
      </c>
      <c r="D394" s="4" t="inlineStr">
        <is>
          <t>几何计算器1.5.2</t>
        </is>
      </c>
      <c r="E394" s="4" t="inlineStr">
        <is>
          <t>面積・周長・重量・線長の計算</t>
        </is>
      </c>
      <c r="F394" s="2" t="n">
        <v>12</v>
      </c>
      <c r="G394" s="2" t="n">
        <v>8</v>
      </c>
      <c r="H394" s="2" t="n">
        <v>12</v>
      </c>
      <c r="I394" s="2" t="n">
        <v>12</v>
      </c>
      <c r="J394" s="5">
        <f>SUM(F394:I394)</f>
        <v/>
      </c>
      <c r="K394" s="4" t="inlineStr">
        <is>
          <t>幾何計算</t>
        </is>
      </c>
      <c r="L394" s="3" t="inlineStr"/>
      <c r="M394" s="3" t="inlineStr">
        <is>
          <t>明经CAD社区</t>
        </is>
      </c>
      <c r="N394" s="6" t="inlineStr">
        <is>
          <t>開く</t>
        </is>
      </c>
    </row>
    <row r="395">
      <c r="A395" s="2">
        <f>RANK(J395,$J$2:$J$656)</f>
        <v/>
      </c>
      <c r="B395" s="3" t="inlineStr">
        <is>
          <t>ブロック・属性</t>
        </is>
      </c>
      <c r="C395" s="3" t="inlineStr">
        <is>
          <t>-</t>
        </is>
      </c>
      <c r="D395" s="4" t="inlineStr">
        <is>
          <t>在位编辑 进入嵌套块</t>
        </is>
      </c>
      <c r="E395" s="4" t="inlineStr">
        <is>
          <t>入れ子ブロックを直接インプレイス編集</t>
        </is>
      </c>
      <c r="F395" s="2" t="n">
        <v>10</v>
      </c>
      <c r="G395" s="2" t="n">
        <v>8</v>
      </c>
      <c r="H395" s="2" t="n">
        <v>10</v>
      </c>
      <c r="I395" s="2" t="n">
        <v>16</v>
      </c>
      <c r="J395" s="5">
        <f>SUM(F395:I395)</f>
        <v/>
      </c>
      <c r="K395" s="4" t="inlineStr">
        <is>
          <t>REFEDITで可</t>
        </is>
      </c>
      <c r="L395" s="3" t="inlineStr">
        <is>
          <t>1028695446</t>
        </is>
      </c>
      <c r="M395" s="3" t="inlineStr">
        <is>
          <t>明经CAD社区</t>
        </is>
      </c>
      <c r="N395" s="6" t="inlineStr">
        <is>
          <t>開く</t>
        </is>
      </c>
    </row>
    <row r="396">
      <c r="A396" s="2">
        <f>RANK(J396,$J$2:$J$656)</f>
        <v/>
      </c>
      <c r="B396" s="3" t="inlineStr">
        <is>
          <t>ブロック・属性</t>
        </is>
      </c>
      <c r="C396" s="3" t="inlineStr">
        <is>
          <t>-</t>
        </is>
      </c>
      <c r="D396" s="4" t="inlineStr">
        <is>
          <t>块内层归0层</t>
        </is>
      </c>
      <c r="E396" s="4" t="inlineStr">
        <is>
          <t>ブロック内図形を0層へ</t>
        </is>
      </c>
      <c r="F396" s="2" t="n">
        <v>12</v>
      </c>
      <c r="G396" s="2" t="n">
        <v>6</v>
      </c>
      <c r="H396" s="2" t="n">
        <v>10</v>
      </c>
      <c r="I396" s="2" t="n">
        <v>16</v>
      </c>
      <c r="J396" s="5">
        <f>SUM(F396:I396)</f>
        <v/>
      </c>
      <c r="K396" s="4" t="inlineStr">
        <is>
          <t>ブロック整備</t>
        </is>
      </c>
      <c r="L396" s="3" t="inlineStr">
        <is>
          <t>sharetow</t>
        </is>
      </c>
      <c r="M396" s="3" t="inlineStr">
        <is>
          <t>明经CAD社区</t>
        </is>
      </c>
      <c r="N396" s="6" t="inlineStr">
        <is>
          <t>開く</t>
        </is>
      </c>
    </row>
    <row r="397">
      <c r="A397" s="2">
        <f>RANK(J397,$J$2:$J$656)</f>
        <v/>
      </c>
      <c r="B397" s="3" t="inlineStr">
        <is>
          <t>文字・テキスト</t>
        </is>
      </c>
      <c r="C397" s="3" t="inlineStr">
        <is>
          <t>字串编号</t>
        </is>
      </c>
      <c r="D397" s="4" t="inlineStr">
        <is>
          <t>字串编号</t>
        </is>
      </c>
      <c r="E397" s="4" t="inlineStr">
        <is>
          <t>特定文字の上に番号を表示（天正文字対応）</t>
        </is>
      </c>
      <c r="F397" s="2" t="n">
        <v>15</v>
      </c>
      <c r="G397" s="2" t="n">
        <v>10</v>
      </c>
      <c r="H397" s="2" t="n">
        <v>9</v>
      </c>
      <c r="I397" s="2" t="n">
        <v>10</v>
      </c>
      <c r="J397" s="5">
        <f>SUM(F397:I397)</f>
        <v/>
      </c>
      <c r="K397" s="4" t="inlineStr">
        <is>
          <t>文字への採番</t>
        </is>
      </c>
      <c r="L397" s="3" t="inlineStr">
        <is>
          <t>VitalGG</t>
        </is>
      </c>
      <c r="M397" s="3" t="inlineStr">
        <is>
          <t>@lisp 应用云</t>
        </is>
      </c>
      <c r="N397" s="6" t="inlineStr">
        <is>
          <t>開く</t>
        </is>
      </c>
    </row>
    <row r="398">
      <c r="A398" s="2">
        <f>RANK(J398,$J$2:$J$656)</f>
        <v/>
      </c>
      <c r="B398" s="3" t="inlineStr">
        <is>
          <t>ブロック・属性</t>
        </is>
      </c>
      <c r="C398" s="3" t="inlineStr">
        <is>
          <t>-</t>
        </is>
      </c>
      <c r="D398" s="4" t="inlineStr">
        <is>
          <t>封闭图形批量建匿名块</t>
        </is>
      </c>
      <c r="E398" s="4" t="inlineStr">
        <is>
          <t>閉図形を一括で匿名ブロック化</t>
        </is>
      </c>
      <c r="F398" s="2" t="n">
        <v>14</v>
      </c>
      <c r="G398" s="2" t="n">
        <v>10</v>
      </c>
      <c r="H398" s="2" t="n">
        <v>10</v>
      </c>
      <c r="I398" s="2" t="n">
        <v>10</v>
      </c>
      <c r="J398" s="5">
        <f>SUM(F398:I398)</f>
        <v/>
      </c>
      <c r="K398" s="4" t="inlineStr">
        <is>
          <t>匿名ブロック化</t>
        </is>
      </c>
      <c r="L398" s="3" t="inlineStr">
        <is>
          <t>htlaser</t>
        </is>
      </c>
      <c r="M398" s="3" t="inlineStr">
        <is>
          <t>明经CAD社区</t>
        </is>
      </c>
      <c r="N398" s="6" t="inlineStr">
        <is>
          <t>開く</t>
        </is>
      </c>
    </row>
    <row r="399">
      <c r="A399" s="2">
        <f>RANK(J399,$J$2:$J$656)</f>
        <v/>
      </c>
      <c r="B399" s="3" t="inlineStr">
        <is>
          <t>構造・鉄骨・機械</t>
        </is>
      </c>
      <c r="C399" s="3" t="inlineStr">
        <is>
          <t>-</t>
        </is>
      </c>
      <c r="D399" s="4" t="inlineStr">
        <is>
          <t>屠夫墙柱工具-学院派改良版</t>
        </is>
      </c>
      <c r="E399" s="4" t="inlineStr">
        <is>
          <t>RC壁柱の配筋作図・注記</t>
        </is>
      </c>
      <c r="F399" s="2" t="n">
        <v>16</v>
      </c>
      <c r="G399" s="2" t="n">
        <v>8</v>
      </c>
      <c r="H399" s="2" t="n">
        <v>15</v>
      </c>
      <c r="I399" s="2" t="n">
        <v>5</v>
      </c>
      <c r="J399" s="5">
        <f>SUM(F399:I399)</f>
        <v/>
      </c>
      <c r="K399" s="4" t="inlineStr">
        <is>
          <t>中国RC作図</t>
        </is>
      </c>
      <c r="L399" s="3" t="inlineStr">
        <is>
          <t>5948232330</t>
        </is>
      </c>
      <c r="M399" s="3" t="inlineStr">
        <is>
          <t>明经CAD社区</t>
        </is>
      </c>
      <c r="N399" s="6" t="inlineStr">
        <is>
          <t>開く</t>
        </is>
      </c>
    </row>
    <row r="400">
      <c r="A400" s="2">
        <f>RANK(J400,$J$2:$J$656)</f>
        <v/>
      </c>
      <c r="B400" s="3" t="inlineStr">
        <is>
          <t>構造・鉄骨・機械</t>
        </is>
      </c>
      <c r="C400" s="3" t="inlineStr">
        <is>
          <t>CZPALLET</t>
        </is>
      </c>
      <c r="D400" s="4" t="inlineStr">
        <is>
          <t>川字托盘参数化工具</t>
        </is>
      </c>
      <c r="E400" s="4" t="inlineStr">
        <is>
          <t>パレットの3Dモデルと三面図を寸法入力で生成</t>
        </is>
      </c>
      <c r="F400" s="2" t="n">
        <v>18</v>
      </c>
      <c r="G400" s="2" t="n">
        <v>12</v>
      </c>
      <c r="H400" s="2" t="n">
        <v>12</v>
      </c>
      <c r="I400" s="2" t="n">
        <v>2</v>
      </c>
      <c r="J400" s="5">
        <f>SUM(F400:I400)</f>
        <v/>
      </c>
      <c r="K400" s="4" t="inlineStr">
        <is>
          <t>特定製品</t>
        </is>
      </c>
      <c r="L400" s="3" t="inlineStr">
        <is>
          <t>MushGrowth</t>
        </is>
      </c>
      <c r="M400" s="3" t="inlineStr">
        <is>
          <t>GitHub: MushGrowth/AutoCAD-Chuan-Pallet-Parametric-Tool</t>
        </is>
      </c>
      <c r="N400" s="6" t="inlineStr">
        <is>
          <t>開く</t>
        </is>
      </c>
    </row>
    <row r="401">
      <c r="A401" s="2">
        <f>RANK(J401,$J$2:$J$656)</f>
        <v/>
      </c>
      <c r="B401" s="3" t="inlineStr">
        <is>
          <t>印刷・レイアウト・図枠</t>
        </is>
      </c>
      <c r="C401" s="3" t="inlineStr">
        <is>
          <t>EE/FF/DD</t>
        </is>
      </c>
      <c r="D401" s="4" t="inlineStr">
        <is>
          <t>布局批量出图</t>
        </is>
      </c>
      <c r="E401" s="4" t="inlineStr">
        <is>
          <t>レイアウトから一括出図</t>
        </is>
      </c>
      <c r="F401" s="2" t="n">
        <v>8</v>
      </c>
      <c r="G401" s="2" t="n">
        <v>6</v>
      </c>
      <c r="H401" s="2" t="n">
        <v>14</v>
      </c>
      <c r="I401" s="2" t="n">
        <v>16</v>
      </c>
      <c r="J401" s="5">
        <f>SUM(F401:I401)</f>
        <v/>
      </c>
      <c r="K401" s="4" t="inlineStr">
        <is>
          <t>PUBLISHで近い</t>
        </is>
      </c>
      <c r="L401" s="3" t="inlineStr">
        <is>
          <t>yangyangyixia</t>
        </is>
      </c>
      <c r="M401" s="3" t="inlineStr">
        <is>
          <t>明经CAD社区</t>
        </is>
      </c>
      <c r="N401" s="6" t="inlineStr">
        <is>
          <t>開く</t>
        </is>
      </c>
    </row>
    <row r="402">
      <c r="A402" s="2">
        <f>RANK(J402,$J$2:$J$656)</f>
        <v/>
      </c>
      <c r="B402" s="3" t="inlineStr">
        <is>
          <t>設定・環境</t>
        </is>
      </c>
      <c r="C402" s="3" t="inlineStr">
        <is>
          <t>-</t>
        </is>
      </c>
      <c r="D402" s="4" t="inlineStr">
        <is>
          <t>快速创建自己的线型</t>
        </is>
      </c>
      <c r="E402" s="4" t="inlineStr">
        <is>
          <t>図形から線種定義を作成</t>
        </is>
      </c>
      <c r="F402" s="2" t="n">
        <v>14</v>
      </c>
      <c r="G402" s="2" t="n">
        <v>10</v>
      </c>
      <c r="H402" s="2" t="n">
        <v>8</v>
      </c>
      <c r="I402" s="2" t="n">
        <v>12</v>
      </c>
      <c r="J402" s="5">
        <f>SUM(F402:I402)</f>
        <v/>
      </c>
      <c r="K402" s="4" t="inlineStr">
        <is>
          <t>MKLTYPE相当</t>
        </is>
      </c>
      <c r="L402" s="3" t="inlineStr">
        <is>
          <t>xiao1984</t>
        </is>
      </c>
      <c r="M402" s="3" t="inlineStr">
        <is>
          <t>明经CAD社区</t>
        </is>
      </c>
      <c r="N402" s="6" t="inlineStr">
        <is>
          <t>開く</t>
        </is>
      </c>
    </row>
    <row r="403">
      <c r="A403" s="2">
        <f>RANK(J403,$J$2:$J$656)</f>
        <v/>
      </c>
      <c r="B403" s="3" t="inlineStr">
        <is>
          <t>作図</t>
        </is>
      </c>
      <c r="C403" s="3" t="inlineStr">
        <is>
          <t>-</t>
        </is>
      </c>
      <c r="D403" s="4" t="inlineStr">
        <is>
          <t>快速拉展命令</t>
        </is>
      </c>
      <c r="E403" s="4" t="inlineStr">
        <is>
          <t>高速なストレッチ操作</t>
        </is>
      </c>
      <c r="F403" s="2" t="n">
        <v>8</v>
      </c>
      <c r="G403" s="2" t="n">
        <v>8</v>
      </c>
      <c r="H403" s="2" t="n">
        <v>12</v>
      </c>
      <c r="I403" s="2" t="n">
        <v>16</v>
      </c>
      <c r="J403" s="5">
        <f>SUM(F403:I403)</f>
        <v/>
      </c>
      <c r="K403" s="4" t="inlineStr">
        <is>
          <t>STRETCH強化</t>
        </is>
      </c>
      <c r="L403" s="3" t="inlineStr">
        <is>
          <t>hgf876</t>
        </is>
      </c>
      <c r="M403" s="3" t="inlineStr">
        <is>
          <t>明经CAD社区</t>
        </is>
      </c>
      <c r="N403" s="6" t="inlineStr">
        <is>
          <t>開く</t>
        </is>
      </c>
    </row>
    <row r="404">
      <c r="A404" s="2">
        <f>RANK(J404,$J$2:$J$656)</f>
        <v/>
      </c>
      <c r="B404" s="3" t="inlineStr">
        <is>
          <t>ブロック・属性</t>
        </is>
      </c>
      <c r="C404" s="3" t="inlineStr">
        <is>
          <t>-</t>
        </is>
      </c>
      <c r="D404" s="4" t="inlineStr">
        <is>
          <t>快速插入目录图档下图块</t>
        </is>
      </c>
      <c r="E404" s="4" t="inlineStr">
        <is>
          <t>フォルダ内DWGをブロックとして素早く挿入</t>
        </is>
      </c>
      <c r="F404" s="2" t="n">
        <v>10</v>
      </c>
      <c r="G404" s="2" t="n">
        <v>6</v>
      </c>
      <c r="H404" s="2" t="n">
        <v>12</v>
      </c>
      <c r="I404" s="2" t="n">
        <v>16</v>
      </c>
      <c r="J404" s="5">
        <f>SUM(F404:I404)</f>
        <v/>
      </c>
      <c r="K404" s="4" t="inlineStr">
        <is>
          <t>DesignCenterで代替</t>
        </is>
      </c>
      <c r="L404" s="3" t="inlineStr">
        <is>
          <t>【KAIXIN】</t>
        </is>
      </c>
      <c r="M404" s="3" t="inlineStr">
        <is>
          <t>明经CAD社区</t>
        </is>
      </c>
      <c r="N404" s="6" t="inlineStr">
        <is>
          <t>開く</t>
        </is>
      </c>
    </row>
    <row r="405">
      <c r="A405" s="2">
        <f>RANK(J405,$J$2:$J$656)</f>
        <v/>
      </c>
      <c r="B405" s="3" t="inlineStr">
        <is>
          <t>寸法</t>
        </is>
      </c>
      <c r="C405" s="3" t="inlineStr">
        <is>
          <t>-</t>
        </is>
      </c>
      <c r="D405" s="4" t="inlineStr">
        <is>
          <t>快速统计圆孔数量</t>
        </is>
      </c>
      <c r="E405" s="4" t="inlineStr">
        <is>
          <t>円穴を径別に数えて注記</t>
        </is>
      </c>
      <c r="F405" s="2" t="n">
        <v>12</v>
      </c>
      <c r="G405" s="2" t="n">
        <v>6</v>
      </c>
      <c r="H405" s="2" t="n">
        <v>14</v>
      </c>
      <c r="I405" s="2" t="n">
        <v>12</v>
      </c>
      <c r="J405" s="5">
        <f>SUM(F405:I405)</f>
        <v/>
      </c>
      <c r="K405" s="4" t="inlineStr">
        <is>
          <t>穴数集計</t>
        </is>
      </c>
      <c r="L405" s="3" t="inlineStr">
        <is>
          <t>流氓兔</t>
        </is>
      </c>
      <c r="M405" s="3" t="inlineStr">
        <is>
          <t>明经CAD社区</t>
        </is>
      </c>
      <c r="N405" s="6" t="inlineStr">
        <is>
          <t>開く</t>
        </is>
      </c>
    </row>
    <row r="406">
      <c r="A406" s="2">
        <f>RANK(J406,$J$2:$J$656)</f>
        <v/>
      </c>
      <c r="B406" s="3" t="inlineStr">
        <is>
          <t>作図</t>
        </is>
      </c>
      <c r="C406" s="3" t="inlineStr">
        <is>
          <t>-</t>
        </is>
      </c>
      <c r="D406" s="4" t="inlineStr">
        <is>
          <t>批量导入图片与影像(tif)</t>
        </is>
      </c>
      <c r="E406" s="4" t="inlineStr">
        <is>
          <t>画像・影像を一括取込</t>
        </is>
      </c>
      <c r="F406" s="2" t="n">
        <v>14</v>
      </c>
      <c r="G406" s="2" t="n">
        <v>6</v>
      </c>
      <c r="H406" s="2" t="n">
        <v>12</v>
      </c>
      <c r="I406" s="2" t="n">
        <v>12</v>
      </c>
      <c r="J406" s="5">
        <f>SUM(F406:I406)</f>
        <v/>
      </c>
      <c r="K406" s="4" t="inlineStr">
        <is>
          <t>画像一括取込</t>
        </is>
      </c>
      <c r="L406" s="3" t="inlineStr">
        <is>
          <t>wdjy808</t>
        </is>
      </c>
      <c r="M406" s="3" t="inlineStr">
        <is>
          <t>明经CAD社区</t>
        </is>
      </c>
      <c r="N406" s="6" t="inlineStr">
        <is>
          <t>開く</t>
        </is>
      </c>
    </row>
    <row r="407">
      <c r="A407" s="2">
        <f>RANK(J407,$J$2:$J$656)</f>
        <v/>
      </c>
      <c r="B407" s="3" t="inlineStr">
        <is>
          <t>ブロック・属性</t>
        </is>
      </c>
      <c r="C407" s="3" t="inlineStr">
        <is>
          <t>-</t>
        </is>
      </c>
      <c r="D407" s="4" t="inlineStr">
        <is>
          <t>改颜色插件（阿甘改）</t>
        </is>
      </c>
      <c r="E407" s="4" t="inlineStr">
        <is>
          <t>図形・ブロック内の色を変更</t>
        </is>
      </c>
      <c r="F407" s="2" t="n">
        <v>10</v>
      </c>
      <c r="G407" s="2" t="n">
        <v>6</v>
      </c>
      <c r="H407" s="2" t="n">
        <v>12</v>
      </c>
      <c r="I407" s="2" t="n">
        <v>16</v>
      </c>
      <c r="J407" s="5">
        <f>SUM(F407:I407)</f>
        <v/>
      </c>
      <c r="K407" s="4" t="inlineStr">
        <is>
          <t>ブロック内色変更</t>
        </is>
      </c>
      <c r="L407" s="3" t="inlineStr">
        <is>
          <t>sammy</t>
        </is>
      </c>
      <c r="M407" s="3" t="inlineStr">
        <is>
          <t>明经CAD社区</t>
        </is>
      </c>
      <c r="N407" s="6" t="inlineStr">
        <is>
          <t>開く</t>
        </is>
      </c>
    </row>
    <row r="408">
      <c r="A408" s="2">
        <f>RANK(J408,$J$2:$J$656)</f>
        <v/>
      </c>
      <c r="B408" s="3" t="inlineStr">
        <is>
          <t>文字・テキスト</t>
        </is>
      </c>
      <c r="C408" s="3" t="inlineStr">
        <is>
          <t>GG</t>
        </is>
      </c>
      <c r="D408" s="4" t="inlineStr">
        <is>
          <t>数据取整_v1.62</t>
        </is>
      </c>
      <c r="E408" s="4" t="inlineStr">
        <is>
          <t>数値文字を丸め</t>
        </is>
      </c>
      <c r="F408" s="2" t="n">
        <v>14</v>
      </c>
      <c r="G408" s="2" t="n">
        <v>6</v>
      </c>
      <c r="H408" s="2" t="n">
        <v>10</v>
      </c>
      <c r="I408" s="2" t="n">
        <v>14</v>
      </c>
      <c r="J408" s="5">
        <f>SUM(F408:I408)</f>
        <v/>
      </c>
      <c r="K408" s="4" t="inlineStr">
        <is>
          <t>数値丸め</t>
        </is>
      </c>
      <c r="L408" s="3" t="inlineStr">
        <is>
          <t>kucha007</t>
        </is>
      </c>
      <c r="M408" s="3" t="inlineStr">
        <is>
          <t>明经CAD社区</t>
        </is>
      </c>
      <c r="N408" s="6" t="inlineStr">
        <is>
          <t>開く</t>
        </is>
      </c>
    </row>
    <row r="409">
      <c r="A409" s="2">
        <f>RANK(J409,$J$2:$J$656)</f>
        <v/>
      </c>
      <c r="B409" s="3" t="inlineStr">
        <is>
          <t>寸法</t>
        </is>
      </c>
      <c r="C409" s="3" t="inlineStr">
        <is>
          <t>-</t>
        </is>
      </c>
      <c r="D409" s="4" t="inlineStr">
        <is>
          <t>标注刷子</t>
        </is>
      </c>
      <c r="E409" s="4" t="inlineStr">
        <is>
          <t>寸法の書式を強力にコピー</t>
        </is>
      </c>
      <c r="F409" s="2" t="n">
        <v>8</v>
      </c>
      <c r="G409" s="2" t="n">
        <v>8</v>
      </c>
      <c r="H409" s="2" t="n">
        <v>12</v>
      </c>
      <c r="I409" s="2" t="n">
        <v>16</v>
      </c>
      <c r="J409" s="5">
        <f>SUM(F409:I409)</f>
        <v/>
      </c>
      <c r="K409" s="4" t="inlineStr">
        <is>
          <t>MATCHPROP強化</t>
        </is>
      </c>
      <c r="L409" s="3" t="inlineStr">
        <is>
          <t>1993063</t>
        </is>
      </c>
      <c r="M409" s="3" t="inlineStr">
        <is>
          <t>明经CAD社区</t>
        </is>
      </c>
      <c r="N409" s="6" t="inlineStr">
        <is>
          <t>開く</t>
        </is>
      </c>
    </row>
    <row r="410">
      <c r="A410" s="2">
        <f>RANK(J410,$J$2:$J$656)</f>
        <v/>
      </c>
      <c r="B410" s="3" t="inlineStr">
        <is>
          <t>寸法</t>
        </is>
      </c>
      <c r="C410" s="3" t="inlineStr">
        <is>
          <t>标等分弧长</t>
        </is>
      </c>
      <c r="D410" s="4" t="inlineStr">
        <is>
          <t>标等分弧长 (@lisp标注)</t>
        </is>
      </c>
      <c r="E410" s="4" t="inlineStr">
        <is>
          <t>円弧をN等分し各弧長寸法を記入</t>
        </is>
      </c>
      <c r="F410" s="2" t="n">
        <v>17</v>
      </c>
      <c r="G410" s="2" t="n">
        <v>9</v>
      </c>
      <c r="H410" s="2" t="n">
        <v>8</v>
      </c>
      <c r="I410" s="2" t="n">
        <v>10</v>
      </c>
      <c r="J410" s="5">
        <f>SUM(F410:I410)</f>
        <v/>
      </c>
      <c r="K410" s="4" t="inlineStr">
        <is>
          <t>等分弧長寸法</t>
        </is>
      </c>
      <c r="L410" s="3" t="inlineStr">
        <is>
          <t>VitalGG</t>
        </is>
      </c>
      <c r="M410" s="3" t="inlineStr">
        <is>
          <t>@lisp 应用云</t>
        </is>
      </c>
      <c r="N410" s="6" t="inlineStr">
        <is>
          <t>開く</t>
        </is>
      </c>
    </row>
    <row r="411">
      <c r="A411" s="2">
        <f>RANK(J411,$J$2:$J$656)</f>
        <v/>
      </c>
      <c r="B411" s="3" t="inlineStr">
        <is>
          <t>座標・測量・土木</t>
        </is>
      </c>
      <c r="C411" s="3" t="inlineStr">
        <is>
          <t>-</t>
        </is>
      </c>
      <c r="D411" s="4" t="inlineStr">
        <is>
          <t>标高插件（轴侧可）</t>
        </is>
      </c>
      <c r="E411" s="4" t="inlineStr">
        <is>
          <t>標高記号作図（軸測図にも対応）</t>
        </is>
      </c>
      <c r="F411" s="2" t="n">
        <v>14</v>
      </c>
      <c r="G411" s="2" t="n">
        <v>8</v>
      </c>
      <c r="H411" s="2" t="n">
        <v>12</v>
      </c>
      <c r="I411" s="2" t="n">
        <v>10</v>
      </c>
      <c r="J411" s="5">
        <f>SUM(F411:I411)</f>
        <v/>
      </c>
      <c r="K411" s="4" t="inlineStr">
        <is>
          <t>標高記号</t>
        </is>
      </c>
      <c r="L411" s="3" t="inlineStr">
        <is>
          <t>liuhe</t>
        </is>
      </c>
      <c r="M411" s="3" t="inlineStr">
        <is>
          <t>明经CAD社区</t>
        </is>
      </c>
      <c r="N411" s="6" t="inlineStr">
        <is>
          <t>開く</t>
        </is>
      </c>
    </row>
    <row r="412">
      <c r="A412" s="2">
        <f>RANK(J412,$J$2:$J$656)</f>
        <v/>
      </c>
      <c r="B412" s="3" t="inlineStr">
        <is>
          <t>文字・テキスト</t>
        </is>
      </c>
      <c r="C412" s="3" t="inlineStr">
        <is>
          <t>-</t>
        </is>
      </c>
      <c r="D412" s="4" t="inlineStr">
        <is>
          <t>统一文字样式组合命令</t>
        </is>
      </c>
      <c r="E412" s="4" t="inlineStr">
        <is>
          <t>文字スタイルを一括統一</t>
        </is>
      </c>
      <c r="F412" s="2" t="n">
        <v>10</v>
      </c>
      <c r="G412" s="2" t="n">
        <v>4</v>
      </c>
      <c r="H412" s="2" t="n">
        <v>12</v>
      </c>
      <c r="I412" s="2" t="n">
        <v>18</v>
      </c>
      <c r="J412" s="5">
        <f>SUM(F412:I412)</f>
        <v/>
      </c>
      <c r="K412" s="4" t="inlineStr">
        <is>
          <t>スタイル統一</t>
        </is>
      </c>
      <c r="L412" s="3" t="inlineStr">
        <is>
          <t>yangchao2005090</t>
        </is>
      </c>
      <c r="M412" s="3" t="inlineStr">
        <is>
          <t>明经CAD社区</t>
        </is>
      </c>
      <c r="N412" s="6" t="inlineStr">
        <is>
          <t>開く</t>
        </is>
      </c>
    </row>
    <row r="413">
      <c r="A413" s="2">
        <f>RANK(J413,$J$2:$J$656)</f>
        <v/>
      </c>
      <c r="B413" s="3" t="inlineStr">
        <is>
          <t>線・ポリライン編集</t>
        </is>
      </c>
      <c r="C413" s="3" t="inlineStr">
        <is>
          <t>-</t>
        </is>
      </c>
      <c r="D413" s="4" t="inlineStr">
        <is>
          <t>苹果交点打断</t>
        </is>
      </c>
      <c r="E413" s="4" t="inlineStr">
        <is>
          <t>交点で線を一括分割</t>
        </is>
      </c>
      <c r="F413" s="2" t="n">
        <v>10</v>
      </c>
      <c r="G413" s="2" t="n">
        <v>6</v>
      </c>
      <c r="H413" s="2" t="n">
        <v>12</v>
      </c>
      <c r="I413" s="2" t="n">
        <v>16</v>
      </c>
      <c r="J413" s="5">
        <f>SUM(F413:I413)</f>
        <v/>
      </c>
      <c r="K413" s="4" t="inlineStr">
        <is>
          <t>交点一括分割</t>
        </is>
      </c>
      <c r="L413" s="3" t="inlineStr"/>
      <c r="M413" s="3" t="inlineStr">
        <is>
          <t>GitHub: zhugecaomao/AutoLISP</t>
        </is>
      </c>
      <c r="N413" s="6" t="inlineStr">
        <is>
          <t>開く</t>
        </is>
      </c>
    </row>
    <row r="414">
      <c r="A414" s="2">
        <f>RANK(J414,$J$2:$J$656)</f>
        <v/>
      </c>
      <c r="B414" s="3" t="inlineStr">
        <is>
          <t>線・ポリライン編集</t>
        </is>
      </c>
      <c r="C414" s="3" t="inlineStr">
        <is>
          <t>CC</t>
        </is>
      </c>
      <c r="D414" s="4" t="inlineStr">
        <is>
          <t>转换多段线（打断修剪不可対策）</t>
        </is>
      </c>
      <c r="E414" s="4" t="inlineStr">
        <is>
          <t>打断・トリム不可の図形をPL化</t>
        </is>
      </c>
      <c r="F414" s="2" t="n">
        <v>12</v>
      </c>
      <c r="G414" s="2" t="n">
        <v>8</v>
      </c>
      <c r="H414" s="2" t="n">
        <v>10</v>
      </c>
      <c r="I414" s="2" t="n">
        <v>14</v>
      </c>
      <c r="J414" s="5">
        <f>SUM(F414:I414)</f>
        <v/>
      </c>
      <c r="K414" s="4" t="inlineStr">
        <is>
          <t>異常図形対策</t>
        </is>
      </c>
      <c r="L414" s="3" t="inlineStr">
        <is>
          <t>kucha007</t>
        </is>
      </c>
      <c r="M414" s="3" t="inlineStr">
        <is>
          <t>明经CAD社区</t>
        </is>
      </c>
      <c r="N414" s="6" t="inlineStr">
        <is>
          <t>開く</t>
        </is>
      </c>
    </row>
    <row r="415">
      <c r="A415" s="2">
        <f>RANK(J415,$J$2:$J$656)</f>
        <v/>
      </c>
      <c r="B415" s="3" t="inlineStr">
        <is>
          <t>構造・鉄骨・機械</t>
        </is>
      </c>
      <c r="C415" s="3" t="inlineStr">
        <is>
          <t>-</t>
        </is>
      </c>
      <c r="D415" s="4" t="inlineStr">
        <is>
          <t>钢筋标注/坡度画线/钢筋量统计</t>
        </is>
      </c>
      <c r="E415" s="4" t="inlineStr">
        <is>
          <t>鉄筋注記・勾配線・鉄筋量集計</t>
        </is>
      </c>
      <c r="F415" s="2" t="n">
        <v>16</v>
      </c>
      <c r="G415" s="2" t="n">
        <v>8</v>
      </c>
      <c r="H415" s="2" t="n">
        <v>14</v>
      </c>
      <c r="I415" s="2" t="n">
        <v>6</v>
      </c>
      <c r="J415" s="5">
        <f>SUM(F415:I415)</f>
        <v/>
      </c>
      <c r="K415" s="4" t="inlineStr">
        <is>
          <t>構造作図補助</t>
        </is>
      </c>
      <c r="L415" s="3" t="inlineStr"/>
      <c r="M415" s="3" t="inlineStr">
        <is>
          <t>明经CAD社区</t>
        </is>
      </c>
      <c r="N415" s="6" t="inlineStr">
        <is>
          <t>開く</t>
        </is>
      </c>
    </row>
    <row r="416">
      <c r="A416" s="2">
        <f>RANK(J416,$J$2:$J$656)</f>
        <v/>
      </c>
      <c r="B416" s="3" t="inlineStr">
        <is>
          <t>LISP開発用の部品</t>
        </is>
      </c>
      <c r="C416" s="3" t="inlineStr">
        <is>
          <t>-</t>
        </is>
      </c>
      <c r="D416" s="4" t="inlineStr">
        <is>
          <t>飞诗 CAD程序管理大一统</t>
        </is>
      </c>
      <c r="E416" s="4" t="inlineStr">
        <is>
          <t>LISPプログラムの一元管理・配布</t>
        </is>
      </c>
      <c r="F416" s="2" t="n">
        <v>14</v>
      </c>
      <c r="G416" s="2" t="n">
        <v>12</v>
      </c>
      <c r="H416" s="2" t="n">
        <v>8</v>
      </c>
      <c r="I416" s="2" t="n">
        <v>10</v>
      </c>
      <c r="J416" s="5">
        <f>SUM(F416:I416)</f>
        <v/>
      </c>
      <c r="K416" s="4" t="inlineStr">
        <is>
          <t>プログラム管理</t>
        </is>
      </c>
      <c r="L416" s="3" t="inlineStr">
        <is>
          <t>飞诗(fsxm)</t>
        </is>
      </c>
      <c r="M416" s="3" t="inlineStr">
        <is>
          <t>明经CAD社区</t>
        </is>
      </c>
      <c r="N416" s="6" t="inlineStr">
        <is>
          <t>開く</t>
        </is>
      </c>
    </row>
    <row r="417">
      <c r="A417" s="2">
        <f>RANK(J417,$J$2:$J$656)</f>
        <v/>
      </c>
      <c r="B417" s="3" t="inlineStr">
        <is>
          <t>3D</t>
        </is>
      </c>
      <c r="C417" s="3" t="inlineStr">
        <is>
          <t>选点剖切/路径剖切</t>
        </is>
      </c>
      <c r="D417" s="4" t="inlineStr">
        <is>
          <t>@lisp 3D相关</t>
        </is>
      </c>
      <c r="E417" s="4" t="inlineStr">
        <is>
          <t>曲面を複数点平面/曲線パスで切断</t>
        </is>
      </c>
      <c r="F417" s="2" t="n">
        <v>15</v>
      </c>
      <c r="G417" s="2" t="n">
        <v>12</v>
      </c>
      <c r="H417" s="2" t="n">
        <v>8</v>
      </c>
      <c r="I417" s="2" t="n">
        <v>8</v>
      </c>
      <c r="J417" s="5">
        <f>SUM(F417:I417)</f>
        <v/>
      </c>
      <c r="K417" s="4" t="inlineStr">
        <is>
          <t>曲面切断</t>
        </is>
      </c>
      <c r="L417" s="3" t="inlineStr">
        <is>
          <t>VitalGG</t>
        </is>
      </c>
      <c r="M417" s="3" t="inlineStr">
        <is>
          <t>@lisp 应用云</t>
        </is>
      </c>
      <c r="N417" s="6" t="inlineStr">
        <is>
          <t>開く</t>
        </is>
      </c>
    </row>
    <row r="418">
      <c r="A418" s="2">
        <f>RANK(J418,$J$2:$J$656)</f>
        <v/>
      </c>
      <c r="B418" s="3" t="inlineStr">
        <is>
          <t>作図</t>
        </is>
      </c>
      <c r="C418" s="3" t="inlineStr">
        <is>
          <t>copy1</t>
        </is>
      </c>
      <c r="D418" s="4" t="inlineStr">
        <is>
          <t>copy1 按比例/不等距连续复制</t>
        </is>
      </c>
      <c r="E418" s="4" t="inlineStr">
        <is>
          <t>正交方向に不等間隔で連続複写</t>
        </is>
      </c>
      <c r="F418" s="2" t="n">
        <v>12</v>
      </c>
      <c r="G418" s="2" t="n">
        <v>8</v>
      </c>
      <c r="H418" s="2" t="n">
        <v>10</v>
      </c>
      <c r="I418" s="2" t="n">
        <v>13</v>
      </c>
      <c r="J418" s="5">
        <f>SUM(F418:I418)</f>
        <v/>
      </c>
      <c r="K418" s="4" t="inlineStr">
        <is>
          <t>不等間隔複写</t>
        </is>
      </c>
      <c r="L418" s="3" t="inlineStr"/>
      <c r="M418" s="3" t="inlineStr">
        <is>
          <t>GitHub: zhugecaomao/AutoLISP</t>
        </is>
      </c>
      <c r="N418" s="6" t="inlineStr">
        <is>
          <t>開く</t>
        </is>
      </c>
    </row>
    <row r="419">
      <c r="A419" s="2">
        <f>RANK(J419,$J$2:$J$656)</f>
        <v/>
      </c>
      <c r="B419" s="3" t="inlineStr">
        <is>
          <t>LISP開発用の部品</t>
        </is>
      </c>
      <c r="C419" s="3" t="inlineStr">
        <is>
          <t>-</t>
        </is>
      </c>
      <c r="D419" s="4" t="inlineStr">
        <is>
          <t>example: 示例</t>
        </is>
      </c>
      <c r="E419" s="4" t="inlineStr">
        <is>
          <t>コマンドリアクタ・DBX一括処理等のサンプル</t>
        </is>
      </c>
      <c r="F419" s="2" t="n">
        <v>12</v>
      </c>
      <c r="G419" s="2" t="n">
        <v>14</v>
      </c>
      <c r="H419" s="2" t="n">
        <v>5</v>
      </c>
      <c r="I419" s="2" t="n">
        <v>12</v>
      </c>
      <c r="J419" s="5">
        <f>SUM(F419:I419)</f>
        <v/>
      </c>
      <c r="K419" s="4" t="inlineStr">
        <is>
          <t>リアクタ・DBXの実例</t>
        </is>
      </c>
      <c r="L419" s="3" t="inlineStr">
        <is>
          <t>VitalGG</t>
        </is>
      </c>
      <c r="M419" s="3" t="inlineStr">
        <is>
          <t>GitHub: atlisp-org/atlisp-lib</t>
        </is>
      </c>
      <c r="N419" s="6" t="inlineStr">
        <is>
          <t>開く</t>
        </is>
      </c>
    </row>
    <row r="420">
      <c r="A420" s="2">
        <f>RANK(J420,$J$2:$J$656)</f>
        <v/>
      </c>
      <c r="B420" s="3" t="inlineStr">
        <is>
          <t>座標・測量・土木</t>
        </is>
      </c>
      <c r="C420" s="3" t="inlineStr">
        <is>
          <t>kszd</t>
        </is>
      </c>
      <c r="D420" s="4" t="inlineStr">
        <is>
          <t>kszd 快速展点</t>
        </is>
      </c>
      <c r="E420" s="4" t="inlineStr">
        <is>
          <t>測量座標データを高速に展開</t>
        </is>
      </c>
      <c r="F420" s="2" t="n">
        <v>14</v>
      </c>
      <c r="G420" s="2" t="n">
        <v>6</v>
      </c>
      <c r="H420" s="2" t="n">
        <v>15</v>
      </c>
      <c r="I420" s="2" t="n">
        <v>8</v>
      </c>
      <c r="J420" s="5">
        <f>SUM(F420:I420)</f>
        <v/>
      </c>
      <c r="K420" s="4" t="inlineStr">
        <is>
          <t>座標展点</t>
        </is>
      </c>
      <c r="L420" s="3" t="inlineStr"/>
      <c r="M420" s="3" t="inlineStr">
        <is>
          <t>GitHub: zhugecaomao/AutoLISP</t>
        </is>
      </c>
      <c r="N420" s="6" t="inlineStr">
        <is>
          <t>開く</t>
        </is>
      </c>
    </row>
    <row r="421">
      <c r="A421" s="2">
        <f>RANK(J421,$J$2:$J$656)</f>
        <v/>
      </c>
      <c r="B421" s="3" t="inlineStr">
        <is>
          <t>座標・測量・土木</t>
        </is>
      </c>
      <c r="C421" s="3" t="inlineStr">
        <is>
          <t>zdt/zdxd</t>
        </is>
      </c>
      <c r="D421" s="4" t="inlineStr">
        <is>
          <t>zdt/zdxd 坐标展点</t>
        </is>
      </c>
      <c r="E421" s="4" t="inlineStr">
        <is>
          <t>座標ファイルから点を展開</t>
        </is>
      </c>
      <c r="F421" s="2" t="n">
        <v>14</v>
      </c>
      <c r="G421" s="2" t="n">
        <v>6</v>
      </c>
      <c r="H421" s="2" t="n">
        <v>15</v>
      </c>
      <c r="I421" s="2" t="n">
        <v>8</v>
      </c>
      <c r="J421" s="5">
        <f>SUM(F421:I421)</f>
        <v/>
      </c>
      <c r="K421" s="4" t="inlineStr">
        <is>
          <t>展点</t>
        </is>
      </c>
      <c r="L421" s="3" t="inlineStr">
        <is>
          <t>Chen Yuan</t>
        </is>
      </c>
      <c r="M421" s="3" t="inlineStr">
        <is>
          <t>GitHub: zhugecaomao/AutoLISP</t>
        </is>
      </c>
      <c r="N421" s="6" t="inlineStr">
        <is>
          <t>開く</t>
        </is>
      </c>
    </row>
    <row r="422">
      <c r="A422" s="2">
        <f>RANK(J422,$J$2:$J$656)</f>
        <v/>
      </c>
      <c r="B422" s="3" t="inlineStr">
        <is>
          <t>座標・測量・土木</t>
        </is>
      </c>
      <c r="C422" s="3" t="inlineStr">
        <is>
          <t>zzFGW</t>
        </is>
      </c>
      <c r="D422" s="4" t="inlineStr">
        <is>
          <t>zzFGW 地形图坐标方格网</t>
        </is>
      </c>
      <c r="E422" s="4" t="inlineStr">
        <is>
          <t>地形図に座標方眼を作図</t>
        </is>
      </c>
      <c r="F422" s="2" t="n">
        <v>16</v>
      </c>
      <c r="G422" s="2" t="n">
        <v>8</v>
      </c>
      <c r="H422" s="2" t="n">
        <v>12</v>
      </c>
      <c r="I422" s="2" t="n">
        <v>7</v>
      </c>
      <c r="J422" s="5">
        <f>SUM(F422:I422)</f>
        <v/>
      </c>
      <c r="K422" s="4" t="inlineStr">
        <is>
          <t>座標方眼</t>
        </is>
      </c>
      <c r="L422" s="3" t="inlineStr">
        <is>
          <t>Qin-Dong</t>
        </is>
      </c>
      <c r="M422" s="3" t="inlineStr">
        <is>
          <t>GitHub: Qin-Dong/Construction-Surveying-Toolkit-For-AutoCAD</t>
        </is>
      </c>
      <c r="N422" s="6" t="inlineStr">
        <is>
          <t>開く</t>
        </is>
      </c>
    </row>
    <row r="423">
      <c r="A423" s="2">
        <f>RANK(J423,$J$2:$J$656)</f>
        <v/>
      </c>
      <c r="B423" s="3" t="inlineStr">
        <is>
          <t>線・ポリライン編集</t>
        </is>
      </c>
      <c r="C423" s="3" t="inlineStr">
        <is>
          <t>双线互连</t>
        </is>
      </c>
      <c r="D423" s="4" t="inlineStr">
        <is>
          <t>双线互连 (@lisp curve)</t>
        </is>
      </c>
      <c r="E423" s="4" t="inlineStr">
        <is>
          <t>2本の線を近い端点同士で1本に接続</t>
        </is>
      </c>
      <c r="F423" s="2" t="n">
        <v>10</v>
      </c>
      <c r="G423" s="2" t="n">
        <v>6</v>
      </c>
      <c r="H423" s="2" t="n">
        <v>10</v>
      </c>
      <c r="I423" s="2" t="n">
        <v>17</v>
      </c>
      <c r="J423" s="5">
        <f>SUM(F423:I423)</f>
        <v/>
      </c>
      <c r="K423" s="4" t="inlineStr">
        <is>
          <t>JOIN/FILLETで近い</t>
        </is>
      </c>
      <c r="L423" s="3" t="inlineStr">
        <is>
          <t>VitalGG</t>
        </is>
      </c>
      <c r="M423" s="3" t="inlineStr">
        <is>
          <t>@lisp 应用云</t>
        </is>
      </c>
      <c r="N423" s="6" t="inlineStr">
        <is>
          <t>開く</t>
        </is>
      </c>
    </row>
    <row r="424">
      <c r="A424" s="2">
        <f>RANK(J424,$J$2:$J$656)</f>
        <v/>
      </c>
      <c r="B424" s="3" t="inlineStr">
        <is>
          <t>外部参照・図面管理・一括処理</t>
        </is>
      </c>
      <c r="C424" s="3" t="inlineStr">
        <is>
          <t>清理DGN</t>
        </is>
      </c>
      <c r="D424" s="4" t="inlineStr">
        <is>
          <t>图面清理</t>
        </is>
      </c>
      <c r="E424" s="4" t="inlineStr">
        <is>
          <t>DGN由来線種ゴミ除去とPURGE・MINSERT分解</t>
        </is>
      </c>
      <c r="F424" s="2" t="n">
        <v>10</v>
      </c>
      <c r="G424" s="2" t="n">
        <v>6</v>
      </c>
      <c r="H424" s="2" t="n">
        <v>12</v>
      </c>
      <c r="I424" s="2" t="n">
        <v>15</v>
      </c>
      <c r="J424" s="5">
        <f>SUM(F424:I424)</f>
        <v/>
      </c>
      <c r="K424" s="4" t="inlineStr">
        <is>
          <t>PURGEで大部分可</t>
        </is>
      </c>
      <c r="L424" s="3" t="inlineStr">
        <is>
          <t>VitalGG</t>
        </is>
      </c>
      <c r="M424" s="3" t="inlineStr">
        <is>
          <t>@lisp 应用云</t>
        </is>
      </c>
      <c r="N424" s="6" t="inlineStr">
        <is>
          <t>開く</t>
        </is>
      </c>
    </row>
    <row r="425">
      <c r="A425" s="2">
        <f>RANK(J425,$J$2:$J$656)</f>
        <v/>
      </c>
      <c r="B425" s="3" t="inlineStr">
        <is>
          <t>構造・鉄骨・機械</t>
        </is>
      </c>
      <c r="C425" s="3" t="inlineStr">
        <is>
          <t>屠夫工具箱</t>
        </is>
      </c>
      <c r="D425" s="4" t="inlineStr">
        <is>
          <t>屠夫工具箱</t>
        </is>
      </c>
      <c r="E425" s="4" t="inlineStr">
        <is>
          <t>基礎・壁柱の注記、配筋、柱詳細図</t>
        </is>
      </c>
      <c r="F425" s="2" t="n">
        <v>15</v>
      </c>
      <c r="G425" s="2" t="n">
        <v>8</v>
      </c>
      <c r="H425" s="2" t="n">
        <v>15</v>
      </c>
      <c r="I425" s="2" t="n">
        <v>5</v>
      </c>
      <c r="J425" s="5">
        <f>SUM(F425:I425)</f>
        <v/>
      </c>
      <c r="K425" s="4" t="inlineStr">
        <is>
          <t>中国RC作図の定番</t>
        </is>
      </c>
      <c r="L425" s="3" t="inlineStr">
        <is>
          <t>VitalGG</t>
        </is>
      </c>
      <c r="M425" s="3" t="inlineStr">
        <is>
          <t>@lisp 应用云</t>
        </is>
      </c>
      <c r="N425" s="6" t="inlineStr">
        <is>
          <t>開く</t>
        </is>
      </c>
    </row>
    <row r="426">
      <c r="A426" s="2">
        <f>RANK(J426,$J$2:$J$656)</f>
        <v/>
      </c>
      <c r="B426" s="3" t="inlineStr">
        <is>
          <t>文字・テキスト</t>
        </is>
      </c>
      <c r="C426" s="3" t="inlineStr">
        <is>
          <t>沿曲线文字</t>
        </is>
      </c>
      <c r="D426" s="4" t="inlineStr">
        <is>
          <t>沿曲线文字 (@lisp文本)</t>
        </is>
      </c>
      <c r="E426" s="4" t="inlineStr">
        <is>
          <t>曲線に沿って文字を配置</t>
        </is>
      </c>
      <c r="F426" s="2" t="n">
        <v>14</v>
      </c>
      <c r="G426" s="2" t="n">
        <v>10</v>
      </c>
      <c r="H426" s="2" t="n">
        <v>7</v>
      </c>
      <c r="I426" s="2" t="n">
        <v>12</v>
      </c>
      <c r="J426" s="5">
        <f>SUM(F426:I426)</f>
        <v/>
      </c>
      <c r="K426" s="4" t="inlineStr">
        <is>
          <t>ARCTEXTは円弧のみ</t>
        </is>
      </c>
      <c r="L426" s="3" t="inlineStr">
        <is>
          <t>VitalGG</t>
        </is>
      </c>
      <c r="M426" s="3" t="inlineStr">
        <is>
          <t>@lisp 应用云</t>
        </is>
      </c>
      <c r="N426" s="6" t="inlineStr">
        <is>
          <t>開く</t>
        </is>
      </c>
    </row>
    <row r="427">
      <c r="A427" s="2">
        <f>RANK(J427,$J$2:$J$656)</f>
        <v/>
      </c>
      <c r="B427" s="3" t="inlineStr">
        <is>
          <t>建築</t>
        </is>
      </c>
      <c r="C427" s="3" t="inlineStr">
        <is>
          <t>-</t>
        </is>
      </c>
      <c r="D427" s="4" t="inlineStr">
        <is>
          <t>电扶梯参数化</t>
        </is>
      </c>
      <c r="E427" s="4" t="inlineStr">
        <is>
          <t>作業点2点と長さからエスカレーター断面を作図</t>
        </is>
      </c>
      <c r="F427" s="2" t="n">
        <v>18</v>
      </c>
      <c r="G427" s="2" t="n">
        <v>10</v>
      </c>
      <c r="H427" s="2" t="n">
        <v>12</v>
      </c>
      <c r="I427" s="2" t="n">
        <v>3</v>
      </c>
      <c r="J427" s="5">
        <f>SUM(F427:I427)</f>
        <v/>
      </c>
      <c r="K427" s="4" t="inlineStr">
        <is>
          <t>特定製品</t>
        </is>
      </c>
      <c r="L427" s="3" t="inlineStr">
        <is>
          <t>Michael-Whz</t>
        </is>
      </c>
      <c r="M427" s="3" t="inlineStr">
        <is>
          <t>GitHub: Michael-Whz/autocad-parametric-escalator</t>
        </is>
      </c>
      <c r="N427" s="6" t="inlineStr">
        <is>
          <t>開く</t>
        </is>
      </c>
    </row>
    <row r="428">
      <c r="A428" s="2">
        <f>RANK(J428,$J$2:$J$656)</f>
        <v/>
      </c>
      <c r="B428" s="3" t="inlineStr">
        <is>
          <t>選択・絞り込み</t>
        </is>
      </c>
      <c r="C428" s="3" t="inlineStr">
        <is>
          <t>选择未闭合线</t>
        </is>
      </c>
      <c r="D428" s="4" t="inlineStr">
        <is>
          <t>选择闭合/未闭合线 (@lisp选择)</t>
        </is>
      </c>
      <c r="E428" s="4" t="inlineStr">
        <is>
          <t>閉/開ポリラインを選別</t>
        </is>
      </c>
      <c r="F428" s="2" t="n">
        <v>10</v>
      </c>
      <c r="G428" s="2" t="n">
        <v>6</v>
      </c>
      <c r="H428" s="2" t="n">
        <v>10</v>
      </c>
      <c r="I428" s="2" t="n">
        <v>17</v>
      </c>
      <c r="J428" s="5">
        <f>SUM(F428:I428)</f>
        <v/>
      </c>
      <c r="K428" s="4" t="inlineStr">
        <is>
          <t>QSELECTで一部可</t>
        </is>
      </c>
      <c r="L428" s="3" t="inlineStr">
        <is>
          <t>VitalGG</t>
        </is>
      </c>
      <c r="M428" s="3" t="inlineStr">
        <is>
          <t>@lisp 应用云</t>
        </is>
      </c>
      <c r="N428" s="6" t="inlineStr">
        <is>
          <t>開く</t>
        </is>
      </c>
    </row>
    <row r="429">
      <c r="A429" s="2">
        <f>RANK(J429,$J$2:$J$656)</f>
        <v/>
      </c>
      <c r="B429" s="3" t="inlineStr">
        <is>
          <t>作図</t>
        </is>
      </c>
      <c r="C429" s="3" t="inlineStr">
        <is>
          <t>-</t>
        </is>
      </c>
      <c r="D429" s="4" t="inlineStr">
        <is>
          <t>2切点动态切弧切圆</t>
        </is>
      </c>
      <c r="E429" s="4" t="inlineStr">
        <is>
          <t>2接点で円弧・円を動的に作図</t>
        </is>
      </c>
      <c r="F429" s="2" t="n">
        <v>10</v>
      </c>
      <c r="G429" s="2" t="n">
        <v>12</v>
      </c>
      <c r="H429" s="2" t="n">
        <v>8</v>
      </c>
      <c r="I429" s="2" t="n">
        <v>12</v>
      </c>
      <c r="J429" s="5">
        <f>SUM(F429:I429)</f>
        <v/>
      </c>
      <c r="K429" s="4" t="inlineStr">
        <is>
          <t>動的接円</t>
        </is>
      </c>
      <c r="L429" s="3" t="inlineStr">
        <is>
          <t>纵横八方</t>
        </is>
      </c>
      <c r="M429" s="3" t="inlineStr">
        <is>
          <t>明经CAD社区</t>
        </is>
      </c>
      <c r="N429" s="6" t="inlineStr">
        <is>
          <t>開く</t>
        </is>
      </c>
    </row>
    <row r="430">
      <c r="A430" s="2">
        <f>RANK(J430,$J$2:$J$656)</f>
        <v/>
      </c>
      <c r="B430" s="3" t="inlineStr">
        <is>
          <t>LISP開発用の部品</t>
        </is>
      </c>
      <c r="C430" s="3" t="inlineStr">
        <is>
          <t>@validate</t>
        </is>
      </c>
      <c r="D430" s="4" t="inlineStr">
        <is>
          <t>@lisp 包验证</t>
        </is>
      </c>
      <c r="E430" s="4" t="inlineStr">
        <is>
          <t>括弧対応・未定義関数・重複定義の検査</t>
        </is>
      </c>
      <c r="F430" s="2" t="n">
        <v>16</v>
      </c>
      <c r="G430" s="2" t="n">
        <v>12</v>
      </c>
      <c r="H430" s="2" t="n">
        <v>6</v>
      </c>
      <c r="I430" s="2" t="n">
        <v>8</v>
      </c>
      <c r="J430" s="5">
        <f>SUM(F430:I430)</f>
        <v/>
      </c>
      <c r="K430" s="4" t="inlineStr">
        <is>
          <t>LISPの静的検査</t>
        </is>
      </c>
      <c r="L430" s="3" t="inlineStr">
        <is>
          <t>VitalGG</t>
        </is>
      </c>
      <c r="M430" s="3" t="inlineStr">
        <is>
          <t>GitHub: atlisp-org/packages</t>
        </is>
      </c>
      <c r="N430" s="6" t="inlineStr">
        <is>
          <t>開く</t>
        </is>
      </c>
    </row>
    <row r="431">
      <c r="A431" s="2">
        <f>RANK(J431,$J$2:$J$656)</f>
        <v/>
      </c>
      <c r="B431" s="3" t="inlineStr">
        <is>
          <t>文字・テキスト</t>
        </is>
      </c>
      <c r="C431" s="3" t="inlineStr">
        <is>
          <t>AF</t>
        </is>
      </c>
      <c r="D431" s="4" t="inlineStr">
        <is>
          <t>AF 自动提取图中字体</t>
        </is>
      </c>
      <c r="E431" s="4" t="inlineStr">
        <is>
          <t>図面中の使用フォントを抽出</t>
        </is>
      </c>
      <c r="F431" s="2" t="n">
        <v>12</v>
      </c>
      <c r="G431" s="2" t="n">
        <v>8</v>
      </c>
      <c r="H431" s="2" t="n">
        <v>8</v>
      </c>
      <c r="I431" s="2" t="n">
        <v>14</v>
      </c>
      <c r="J431" s="5">
        <f>SUM(F431:I431)</f>
        <v/>
      </c>
      <c r="K431" s="4" t="inlineStr">
        <is>
          <t>フォント一覧</t>
        </is>
      </c>
      <c r="L431" s="3" t="inlineStr"/>
      <c r="M431" s="3" t="inlineStr">
        <is>
          <t>GitHub: zhugecaomao/AutoLISP</t>
        </is>
      </c>
      <c r="N431" s="6" t="inlineStr">
        <is>
          <t>開く</t>
        </is>
      </c>
    </row>
    <row r="432">
      <c r="A432" s="2">
        <f>RANK(J432,$J$2:$J$656)</f>
        <v/>
      </c>
      <c r="B432" s="3" t="inlineStr">
        <is>
          <t>座標・測量・土木</t>
        </is>
      </c>
      <c r="C432" s="3" t="inlineStr">
        <is>
          <t>bgao</t>
        </is>
      </c>
      <c r="D432" s="4" t="inlineStr">
        <is>
          <t>BGAO 坐标标注</t>
        </is>
      </c>
      <c r="E432" s="4" t="inlineStr">
        <is>
          <t>点の座標を引出線付きで注記</t>
        </is>
      </c>
      <c r="F432" s="2" t="n">
        <v>12</v>
      </c>
      <c r="G432" s="2" t="n">
        <v>4</v>
      </c>
      <c r="H432" s="2" t="n">
        <v>14</v>
      </c>
      <c r="I432" s="2" t="n">
        <v>12</v>
      </c>
      <c r="J432" s="5">
        <f>SUM(F432:I432)</f>
        <v/>
      </c>
      <c r="K432" s="4" t="inlineStr">
        <is>
          <t>座標注記</t>
        </is>
      </c>
      <c r="L432" s="3" t="inlineStr"/>
      <c r="M432" s="3" t="inlineStr">
        <is>
          <t>GitHub: zhugecaomao/AutoLISP</t>
        </is>
      </c>
      <c r="N432" s="6" t="inlineStr">
        <is>
          <t>開く</t>
        </is>
      </c>
    </row>
    <row r="433">
      <c r="A433" s="2">
        <f>RANK(J433,$J$2:$J$656)</f>
        <v/>
      </c>
      <c r="B433" s="3" t="inlineStr">
        <is>
          <t>LISP開発用の部品</t>
        </is>
      </c>
      <c r="C433" s="3" t="inlineStr">
        <is>
          <t>-</t>
        </is>
      </c>
      <c r="D433" s="4" t="inlineStr">
        <is>
          <t>dcl: 动态DCL生成</t>
        </is>
      </c>
      <c r="E433" s="4" t="inlineStr">
        <is>
          <t>コードからDCL対話框を動的生成・編集表</t>
        </is>
      </c>
      <c r="F433" s="2" t="n">
        <v>12</v>
      </c>
      <c r="G433" s="2" t="n">
        <v>12</v>
      </c>
      <c r="H433" s="2" t="n">
        <v>5</v>
      </c>
      <c r="I433" s="2" t="n">
        <v>13</v>
      </c>
      <c r="J433" s="5">
        <f>SUM(F433:I433)</f>
        <v/>
      </c>
      <c r="K433" s="4" t="inlineStr">
        <is>
          <t>DCLを動的生成する仕組み</t>
        </is>
      </c>
      <c r="L433" s="3" t="inlineStr">
        <is>
          <t>VitalGG</t>
        </is>
      </c>
      <c r="M433" s="3" t="inlineStr">
        <is>
          <t>GitHub: atlisp-org/atlisp-lib</t>
        </is>
      </c>
      <c r="N433" s="6" t="inlineStr">
        <is>
          <t>開く</t>
        </is>
      </c>
    </row>
    <row r="434">
      <c r="A434" s="2">
        <f>RANK(J434,$J$2:$J$656)</f>
        <v/>
      </c>
      <c r="B434" s="3" t="inlineStr">
        <is>
          <t>構造・鉄骨・機械</t>
        </is>
      </c>
      <c r="C434" s="3" t="inlineStr">
        <is>
          <t>dfg</t>
        </is>
      </c>
      <c r="D434" s="4" t="inlineStr">
        <is>
          <t>dfg 创建折痕线</t>
        </is>
      </c>
      <c r="E434" s="4" t="inlineStr">
        <is>
          <t>板金の曲げ線（折れ線）を作図</t>
        </is>
      </c>
      <c r="F434" s="2" t="n">
        <v>16</v>
      </c>
      <c r="G434" s="2" t="n">
        <v>10</v>
      </c>
      <c r="H434" s="2" t="n">
        <v>12</v>
      </c>
      <c r="I434" s="2" t="n">
        <v>4</v>
      </c>
      <c r="J434" s="5">
        <f>SUM(F434:I434)</f>
        <v/>
      </c>
      <c r="K434" s="4" t="inlineStr">
        <is>
          <t>曲げ線作図</t>
        </is>
      </c>
      <c r="L434" s="3" t="inlineStr">
        <is>
          <t>jianpf</t>
        </is>
      </c>
      <c r="M434" s="3" t="inlineStr">
        <is>
          <t>GitHub: jianpf/autolisp</t>
        </is>
      </c>
      <c r="N434" s="6" t="inlineStr">
        <is>
          <t>開く</t>
        </is>
      </c>
    </row>
    <row r="435">
      <c r="A435" s="2">
        <f>RANK(J435,$J$2:$J$656)</f>
        <v/>
      </c>
      <c r="B435" s="3" t="inlineStr">
        <is>
          <t>構造・鉄骨・機械</t>
        </is>
      </c>
      <c r="C435" s="3" t="inlineStr">
        <is>
          <t>-</t>
        </is>
      </c>
      <c r="D435" s="4" t="inlineStr">
        <is>
          <t>GB螺纹标注/孔批量标注</t>
        </is>
      </c>
      <c r="E435" s="4" t="inlineStr">
        <is>
          <t>GB規格ねじ・穴径穴数の一括注記</t>
        </is>
      </c>
      <c r="F435" s="2" t="n">
        <v>14</v>
      </c>
      <c r="G435" s="2" t="n">
        <v>8</v>
      </c>
      <c r="H435" s="2" t="n">
        <v>14</v>
      </c>
      <c r="I435" s="2" t="n">
        <v>6</v>
      </c>
      <c r="J435" s="5">
        <f>SUM(F435:I435)</f>
        <v/>
      </c>
      <c r="K435" s="4" t="inlineStr">
        <is>
          <t>ねじ穴注記</t>
        </is>
      </c>
      <c r="L435" s="3" t="inlineStr">
        <is>
          <t>xiaoayemmd-hub</t>
        </is>
      </c>
      <c r="M435" s="3" t="inlineStr">
        <is>
          <t>GitHub: xiaoayemmd-hub/AutoCAD-GB-Annotation-Scripts</t>
        </is>
      </c>
      <c r="N435" s="6" t="inlineStr">
        <is>
          <t>開く</t>
        </is>
      </c>
    </row>
    <row r="436">
      <c r="A436" s="2">
        <f>RANK(J436,$J$2:$J$656)</f>
        <v/>
      </c>
      <c r="B436" s="3" t="inlineStr">
        <is>
          <t>建築</t>
        </is>
      </c>
      <c r="C436" s="3" t="inlineStr">
        <is>
          <t>FMG</t>
        </is>
      </c>
      <c r="D436" s="4" t="inlineStr">
        <is>
          <t>GXFMG 绘风玫瑰</t>
        </is>
      </c>
      <c r="E436" s="4" t="inlineStr">
        <is>
          <t>風配図（風のバラ）を作図</t>
        </is>
      </c>
      <c r="F436" s="2" t="n">
        <v>18</v>
      </c>
      <c r="G436" s="2" t="n">
        <v>10</v>
      </c>
      <c r="H436" s="2" t="n">
        <v>8</v>
      </c>
      <c r="I436" s="2" t="n">
        <v>6</v>
      </c>
      <c r="J436" s="5">
        <f>SUM(F436:I436)</f>
        <v/>
      </c>
      <c r="K436" s="4" t="inlineStr">
        <is>
          <t>風配図作図</t>
        </is>
      </c>
      <c r="L436" s="3" t="inlineStr"/>
      <c r="M436" s="3" t="inlineStr">
        <is>
          <t>GitHub: zhugecaomao/AutoLISP</t>
        </is>
      </c>
      <c r="N436" s="6" t="inlineStr">
        <is>
          <t>開く</t>
        </is>
      </c>
    </row>
    <row r="437">
      <c r="A437" s="2">
        <f>RANK(J437,$J$2:$J$656)</f>
        <v/>
      </c>
      <c r="B437" s="3" t="inlineStr">
        <is>
          <t>文字・テキスト</t>
        </is>
      </c>
      <c r="C437" s="3" t="inlineStr">
        <is>
          <t>hzbrea</t>
        </is>
      </c>
      <c r="D437" s="4" t="inlineStr">
        <is>
          <t>hzbrea 文字击碎</t>
        </is>
      </c>
      <c r="E437" s="4" t="inlineStr">
        <is>
          <t>文字列を1文字ずつ分解</t>
        </is>
      </c>
      <c r="F437" s="2" t="n">
        <v>14</v>
      </c>
      <c r="G437" s="2" t="n">
        <v>8</v>
      </c>
      <c r="H437" s="2" t="n">
        <v>8</v>
      </c>
      <c r="I437" s="2" t="n">
        <v>12</v>
      </c>
      <c r="J437" s="5">
        <f>SUM(F437:I437)</f>
        <v/>
      </c>
      <c r="K437" s="4" t="inlineStr">
        <is>
          <t>文字分割</t>
        </is>
      </c>
      <c r="L437" s="3" t="inlineStr"/>
      <c r="M437" s="3" t="inlineStr">
        <is>
          <t>GitHub: zhugecaomao/AutoLISP</t>
        </is>
      </c>
      <c r="N437" s="6" t="inlineStr">
        <is>
          <t>開く</t>
        </is>
      </c>
    </row>
    <row r="438">
      <c r="A438" s="2">
        <f>RANK(J438,$J$2:$J$656)</f>
        <v/>
      </c>
      <c r="B438" s="3" t="inlineStr">
        <is>
          <t>LISP開発用の部品</t>
        </is>
      </c>
      <c r="C438" s="3" t="inlineStr">
        <is>
          <t>-</t>
        </is>
      </c>
      <c r="D438" s="4" t="inlineStr">
        <is>
          <t>pickset: 选择集</t>
        </is>
      </c>
      <c r="E438" s="4" t="inlineStr">
        <is>
          <t>包絡矩形・クラスタ分析・重複図元削除</t>
        </is>
      </c>
      <c r="F438" s="2" t="n">
        <v>11</v>
      </c>
      <c r="G438" s="2" t="n">
        <v>12</v>
      </c>
      <c r="H438" s="2" t="n">
        <v>5</v>
      </c>
      <c r="I438" s="2" t="n">
        <v>14</v>
      </c>
      <c r="J438" s="5">
        <f>SUM(F438:I438)</f>
        <v/>
      </c>
      <c r="K438" s="4" t="inlineStr">
        <is>
          <t>図元クラスタリングが面白い</t>
        </is>
      </c>
      <c r="L438" s="3" t="inlineStr">
        <is>
          <t>VitalGG</t>
        </is>
      </c>
      <c r="M438" s="3" t="inlineStr">
        <is>
          <t>GitHub: atlisp-org/atlisp-lib</t>
        </is>
      </c>
      <c r="N438" s="6" t="inlineStr">
        <is>
          <t>開く</t>
        </is>
      </c>
    </row>
    <row r="439">
      <c r="A439" s="2">
        <f>RANK(J439,$J$2:$J$656)</f>
        <v/>
      </c>
      <c r="B439" s="3" t="inlineStr">
        <is>
          <t>LISP開発用の部品</t>
        </is>
      </c>
      <c r="C439" s="3" t="inlineStr">
        <is>
          <t>-</t>
        </is>
      </c>
      <c r="D439" s="4" t="inlineStr">
        <is>
          <t>text: 文本</t>
        </is>
      </c>
      <c r="E439" s="4" t="inlineStr">
        <is>
          <t>範囲の文字を2次元表化・Markdown→MTEXT</t>
        </is>
      </c>
      <c r="F439" s="2" t="n">
        <v>11</v>
      </c>
      <c r="G439" s="2" t="n">
        <v>13</v>
      </c>
      <c r="H439" s="2" t="n">
        <v>5</v>
      </c>
      <c r="I439" s="2" t="n">
        <v>13</v>
      </c>
      <c r="J439" s="5">
        <f>SUM(F439:I439)</f>
        <v/>
      </c>
      <c r="K439" s="4" t="inlineStr">
        <is>
          <t>文字→表データ化が有用</t>
        </is>
      </c>
      <c r="L439" s="3" t="inlineStr">
        <is>
          <t>VitalGG</t>
        </is>
      </c>
      <c r="M439" s="3" t="inlineStr">
        <is>
          <t>GitHub: atlisp-org/atlisp-lib</t>
        </is>
      </c>
      <c r="N439" s="6" t="inlineStr">
        <is>
          <t>開く</t>
        </is>
      </c>
    </row>
    <row r="440">
      <c r="A440" s="2">
        <f>RANK(J440,$J$2:$J$656)</f>
        <v/>
      </c>
      <c r="B440" s="3" t="inlineStr">
        <is>
          <t>座標・測量・土木</t>
        </is>
      </c>
      <c r="C440" s="3" t="inlineStr">
        <is>
          <t>zbbz/zbxz</t>
        </is>
      </c>
      <c r="D440" s="4" t="inlineStr">
        <is>
          <t>zbbz 坐标标注/修正</t>
        </is>
      </c>
      <c r="E440" s="4" t="inlineStr">
        <is>
          <t>座標注記と注記修正</t>
        </is>
      </c>
      <c r="F440" s="2" t="n">
        <v>12</v>
      </c>
      <c r="G440" s="2" t="n">
        <v>4</v>
      </c>
      <c r="H440" s="2" t="n">
        <v>14</v>
      </c>
      <c r="I440" s="2" t="n">
        <v>12</v>
      </c>
      <c r="J440" s="5">
        <f>SUM(F440:I440)</f>
        <v/>
      </c>
      <c r="K440" s="4" t="inlineStr">
        <is>
          <t>座標注記</t>
        </is>
      </c>
      <c r="L440" s="3" t="inlineStr">
        <is>
          <t>shuixzy</t>
        </is>
      </c>
      <c r="M440" s="3" t="inlineStr">
        <is>
          <t>GitHub: shuixzy/DB_CAD_Tools</t>
        </is>
      </c>
      <c r="N440" s="6" t="inlineStr">
        <is>
          <t>開く</t>
        </is>
      </c>
    </row>
    <row r="441">
      <c r="A441" s="2">
        <f>RANK(J441,$J$2:$J$656)</f>
        <v/>
      </c>
      <c r="B441" s="3" t="inlineStr">
        <is>
          <t>座標・測量・土木</t>
        </is>
      </c>
      <c r="C441" s="3" t="inlineStr">
        <is>
          <t>zb</t>
        </is>
      </c>
      <c r="D441" s="4" t="inlineStr">
        <is>
          <t>ZZB 坐标标注</t>
        </is>
      </c>
      <c r="E441" s="4" t="inlineStr">
        <is>
          <t>座標値を注記</t>
        </is>
      </c>
      <c r="F441" s="2" t="n">
        <v>12</v>
      </c>
      <c r="G441" s="2" t="n">
        <v>4</v>
      </c>
      <c r="H441" s="2" t="n">
        <v>14</v>
      </c>
      <c r="I441" s="2" t="n">
        <v>12</v>
      </c>
      <c r="J441" s="5">
        <f>SUM(F441:I441)</f>
        <v/>
      </c>
      <c r="K441" s="4" t="inlineStr">
        <is>
          <t>座標注記</t>
        </is>
      </c>
      <c r="L441" s="3" t="inlineStr"/>
      <c r="M441" s="3" t="inlineStr">
        <is>
          <t>GitHub: zhugecaomao/AutoLISP</t>
        </is>
      </c>
      <c r="N441" s="6" t="inlineStr">
        <is>
          <t>開く</t>
        </is>
      </c>
    </row>
    <row r="442">
      <c r="A442" s="2">
        <f>RANK(J442,$J$2:$J$656)</f>
        <v/>
      </c>
      <c r="B442" s="3" t="inlineStr">
        <is>
          <t>座標・測量・土木</t>
        </is>
      </c>
      <c r="C442" s="3" t="inlineStr">
        <is>
          <t>zzDcx</t>
        </is>
      </c>
      <c r="D442" s="4" t="inlineStr">
        <is>
          <t>zzDcx 点抽稀</t>
        </is>
      </c>
      <c r="E442" s="4" t="inlineStr">
        <is>
          <t>地形点を間引き</t>
        </is>
      </c>
      <c r="F442" s="2" t="n">
        <v>16</v>
      </c>
      <c r="G442" s="2" t="n">
        <v>10</v>
      </c>
      <c r="H442" s="2" t="n">
        <v>10</v>
      </c>
      <c r="I442" s="2" t="n">
        <v>6</v>
      </c>
      <c r="J442" s="5">
        <f>SUM(F442:I442)</f>
        <v/>
      </c>
      <c r="K442" s="4" t="inlineStr">
        <is>
          <t>点間引き</t>
        </is>
      </c>
      <c r="L442" s="3" t="inlineStr">
        <is>
          <t>Qin-Dong</t>
        </is>
      </c>
      <c r="M442" s="3" t="inlineStr">
        <is>
          <t>GitHub: Qin-Dong/Construction-Surveying-Toolkit-For-AutoCAD</t>
        </is>
      </c>
      <c r="N442" s="6" t="inlineStr">
        <is>
          <t>開く</t>
        </is>
      </c>
    </row>
    <row r="443">
      <c r="A443" s="2">
        <f>RANK(J443,$J$2:$J$656)</f>
        <v/>
      </c>
      <c r="B443" s="3" t="inlineStr">
        <is>
          <t>座標・測量・土木</t>
        </is>
      </c>
      <c r="C443" s="3" t="inlineStr">
        <is>
          <t>zzQydx</t>
        </is>
      </c>
      <c r="D443" s="4" t="inlineStr">
        <is>
          <t>zzQydx 区域内地形点提取</t>
        </is>
      </c>
      <c r="E443" s="4" t="inlineStr">
        <is>
          <t>指定範囲内の地形点を抽出・範囲外削除</t>
        </is>
      </c>
      <c r="F443" s="2" t="n">
        <v>15</v>
      </c>
      <c r="G443" s="2" t="n">
        <v>8</v>
      </c>
      <c r="H443" s="2" t="n">
        <v>12</v>
      </c>
      <c r="I443" s="2" t="n">
        <v>7</v>
      </c>
      <c r="J443" s="5">
        <f>SUM(F443:I443)</f>
        <v/>
      </c>
      <c r="K443" s="4" t="inlineStr">
        <is>
          <t>範囲点抽出</t>
        </is>
      </c>
      <c r="L443" s="3" t="inlineStr">
        <is>
          <t>Qin-Dong</t>
        </is>
      </c>
      <c r="M443" s="3" t="inlineStr">
        <is>
          <t>GitHub: Qin-Dong/Construction-Surveying-Toolkit-For-AutoCAD</t>
        </is>
      </c>
      <c r="N443" s="6" t="inlineStr">
        <is>
          <t>開く</t>
        </is>
      </c>
    </row>
    <row r="444">
      <c r="A444" s="2">
        <f>RANK(J444,$J$2:$J$656)</f>
        <v/>
      </c>
      <c r="B444" s="3" t="inlineStr">
        <is>
          <t>その他</t>
        </is>
      </c>
      <c r="C444" s="3" t="inlineStr">
        <is>
          <t>-</t>
        </is>
      </c>
      <c r="D444" s="4" t="inlineStr">
        <is>
          <t>专删除工具</t>
        </is>
      </c>
      <c r="E444" s="4" t="inlineStr">
        <is>
          <t>条件指定の専用削除ツール（ヘルプ対話框付）</t>
        </is>
      </c>
      <c r="F444" s="2" t="n">
        <v>10</v>
      </c>
      <c r="G444" s="2" t="n">
        <v>6</v>
      </c>
      <c r="H444" s="2" t="n">
        <v>10</v>
      </c>
      <c r="I444" s="2" t="n">
        <v>16</v>
      </c>
      <c r="J444" s="5">
        <f>SUM(F444:I444)</f>
        <v/>
      </c>
      <c r="K444" s="4" t="inlineStr">
        <is>
          <t>条件削除</t>
        </is>
      </c>
      <c r="L444" s="3" t="inlineStr">
        <is>
          <t>【KAIXIN】</t>
        </is>
      </c>
      <c r="M444" s="3" t="inlineStr">
        <is>
          <t>明经CAD社区</t>
        </is>
      </c>
      <c r="N444" s="6" t="inlineStr">
        <is>
          <t>開く</t>
        </is>
      </c>
    </row>
    <row r="445">
      <c r="A445" s="2">
        <f>RANK(J445,$J$2:$J$656)</f>
        <v/>
      </c>
      <c r="B445" s="3" t="inlineStr">
        <is>
          <t>座標・測量・土木</t>
        </is>
      </c>
      <c r="C445" s="3" t="inlineStr">
        <is>
          <t>-</t>
        </is>
      </c>
      <c r="D445" s="4" t="inlineStr">
        <is>
          <t>依仁测绘工具V3.0</t>
        </is>
      </c>
      <c r="E445" s="4" t="inlineStr">
        <is>
          <t>測量作図ツール集</t>
        </is>
      </c>
      <c r="F445" s="2" t="n">
        <v>14</v>
      </c>
      <c r="G445" s="2" t="n">
        <v>8</v>
      </c>
      <c r="H445" s="2" t="n">
        <v>14</v>
      </c>
      <c r="I445" s="2" t="n">
        <v>6</v>
      </c>
      <c r="J445" s="5">
        <f>SUM(F445:I445)</f>
        <v/>
      </c>
      <c r="K445" s="4" t="inlineStr">
        <is>
          <t>測量ツール</t>
        </is>
      </c>
      <c r="L445" s="3" t="inlineStr">
        <is>
          <t>依仁</t>
        </is>
      </c>
      <c r="M445" s="3" t="inlineStr">
        <is>
          <t>晓东CAD家园</t>
        </is>
      </c>
      <c r="N445" s="6" t="inlineStr">
        <is>
          <t>開く</t>
        </is>
      </c>
    </row>
    <row r="446">
      <c r="A446" s="2">
        <f>RANK(J446,$J$2:$J$656)</f>
        <v/>
      </c>
      <c r="B446" s="3" t="inlineStr">
        <is>
          <t>ブロック・属性</t>
        </is>
      </c>
      <c r="C446" s="3" t="inlineStr">
        <is>
          <t>@block:tchpr2insert</t>
        </is>
      </c>
      <c r="D446" s="4" t="inlineStr">
        <is>
          <t>保护转块 (@lisp Block)</t>
        </is>
      </c>
      <c r="E446" s="4" t="inlineStr">
        <is>
          <t>天正の保護ブロックを通常ブロック化</t>
        </is>
      </c>
      <c r="F446" s="2" t="n">
        <v>20</v>
      </c>
      <c r="G446" s="2" t="n">
        <v>10</v>
      </c>
      <c r="H446" s="2" t="n">
        <v>7</v>
      </c>
      <c r="I446" s="2" t="n">
        <v>5</v>
      </c>
      <c r="J446" s="5">
        <f>SUM(F446:I446)</f>
        <v/>
      </c>
      <c r="K446" s="4" t="inlineStr">
        <is>
          <t>天正専用</t>
        </is>
      </c>
      <c r="L446" s="3" t="inlineStr">
        <is>
          <t>VitalGG</t>
        </is>
      </c>
      <c r="M446" s="3" t="inlineStr">
        <is>
          <t>@lisp 应用云</t>
        </is>
      </c>
      <c r="N446" s="6" t="inlineStr">
        <is>
          <t>開く</t>
        </is>
      </c>
    </row>
    <row r="447">
      <c r="A447" s="2">
        <f>RANK(J447,$J$2:$J$656)</f>
        <v/>
      </c>
      <c r="B447" s="3" t="inlineStr">
        <is>
          <t>寸法</t>
        </is>
      </c>
      <c r="C447" s="3" t="inlineStr">
        <is>
          <t>修复Z坐标</t>
        </is>
      </c>
      <c r="D447" s="4" t="inlineStr">
        <is>
          <t>修复寸法Z (@lisp标注)</t>
        </is>
      </c>
      <c r="E447" s="4" t="inlineStr">
        <is>
          <t>寸法定義点のZ座標を0に修正</t>
        </is>
      </c>
      <c r="F447" s="2" t="n">
        <v>14</v>
      </c>
      <c r="G447" s="2" t="n">
        <v>6</v>
      </c>
      <c r="H447" s="2" t="n">
        <v>8</v>
      </c>
      <c r="I447" s="2" t="n">
        <v>14</v>
      </c>
      <c r="J447" s="5">
        <f>SUM(F447:I447)</f>
        <v/>
      </c>
      <c r="K447" s="4" t="inlineStr">
        <is>
          <t>Z不整合の寸法修正</t>
        </is>
      </c>
      <c r="L447" s="3" t="inlineStr">
        <is>
          <t>VitalGG</t>
        </is>
      </c>
      <c r="M447" s="3" t="inlineStr">
        <is>
          <t>@lisp 应用云</t>
        </is>
      </c>
      <c r="N447" s="6" t="inlineStr">
        <is>
          <t>開く</t>
        </is>
      </c>
    </row>
    <row r="448">
      <c r="A448" s="2">
        <f>RANK(J448,$J$2:$J$656)</f>
        <v/>
      </c>
      <c r="B448" s="3" t="inlineStr">
        <is>
          <t>引出線・注記</t>
        </is>
      </c>
      <c r="C448" s="3" t="inlineStr">
        <is>
          <t>-</t>
        </is>
      </c>
      <c r="D448" s="4" t="inlineStr">
        <is>
          <t>修订云线（多矩形/多封闭图形）</t>
        </is>
      </c>
      <c r="E448" s="4" t="inlineStr">
        <is>
          <t>複数矩形・閉図形を一括で雲マーク化</t>
        </is>
      </c>
      <c r="F448" s="2" t="n">
        <v>8</v>
      </c>
      <c r="G448" s="2" t="n">
        <v>6</v>
      </c>
      <c r="H448" s="2" t="n">
        <v>12</v>
      </c>
      <c r="I448" s="2" t="n">
        <v>16</v>
      </c>
      <c r="J448" s="5">
        <f>SUM(F448:I448)</f>
        <v/>
      </c>
      <c r="K448" s="4" t="inlineStr">
        <is>
          <t>REVCLOUD強化</t>
        </is>
      </c>
      <c r="L448" s="3" t="inlineStr"/>
      <c r="M448" s="3" t="inlineStr">
        <is>
          <t>明经CAD社区</t>
        </is>
      </c>
      <c r="N448" s="6" t="inlineStr">
        <is>
          <t>開く</t>
        </is>
      </c>
    </row>
    <row r="449">
      <c r="A449" s="2">
        <f>RANK(J449,$J$2:$J$656)</f>
        <v/>
      </c>
      <c r="B449" s="3" t="inlineStr">
        <is>
          <t>その他</t>
        </is>
      </c>
      <c r="C449" s="3" t="inlineStr">
        <is>
          <t>唯她工具集</t>
        </is>
      </c>
      <c r="D449" s="4" t="inlineStr">
        <is>
          <t>唯她工具集</t>
        </is>
      </c>
      <c r="E449" s="4" t="inlineStr">
        <is>
          <t>画層・文字・計算・一括印刷の汎用集</t>
        </is>
      </c>
      <c r="F449" s="2" t="n">
        <v>8</v>
      </c>
      <c r="G449" s="2" t="n">
        <v>6</v>
      </c>
      <c r="H449" s="2" t="n">
        <v>12</v>
      </c>
      <c r="I449" s="2" t="n">
        <v>16</v>
      </c>
      <c r="J449" s="5">
        <f>SUM(F449:I449)</f>
        <v/>
      </c>
      <c r="K449" s="4" t="inlineStr">
        <is>
          <t>汎用ツール集</t>
        </is>
      </c>
      <c r="L449" s="3" t="inlineStr">
        <is>
          <t>VitalGG</t>
        </is>
      </c>
      <c r="M449" s="3" t="inlineStr">
        <is>
          <t>@lisp 应用云</t>
        </is>
      </c>
      <c r="N449" s="6" t="inlineStr">
        <is>
          <t>開く</t>
        </is>
      </c>
    </row>
    <row r="450">
      <c r="A450" s="2">
        <f>RANK(J450,$J$2:$J$656)</f>
        <v/>
      </c>
      <c r="B450" s="3" t="inlineStr">
        <is>
          <t>寸法</t>
        </is>
      </c>
      <c r="C450" s="3" t="inlineStr">
        <is>
          <t>-</t>
        </is>
      </c>
      <c r="D450" s="4" t="inlineStr">
        <is>
          <t>圆弧等分标注</t>
        </is>
      </c>
      <c r="E450" s="4" t="inlineStr">
        <is>
          <t>円弧を等分して寸法記入</t>
        </is>
      </c>
      <c r="F450" s="2" t="n">
        <v>16</v>
      </c>
      <c r="G450" s="2" t="n">
        <v>8</v>
      </c>
      <c r="H450" s="2" t="n">
        <v>8</v>
      </c>
      <c r="I450" s="2" t="n">
        <v>10</v>
      </c>
      <c r="J450" s="5">
        <f>SUM(F450:I450)</f>
        <v/>
      </c>
      <c r="K450" s="4" t="inlineStr">
        <is>
          <t>等分弧寸法</t>
        </is>
      </c>
      <c r="L450" s="3" t="inlineStr">
        <is>
          <t>duanshui83</t>
        </is>
      </c>
      <c r="M450" s="3" t="inlineStr">
        <is>
          <t>明经CAD社区</t>
        </is>
      </c>
      <c r="N450" s="6" t="inlineStr">
        <is>
          <t>開く</t>
        </is>
      </c>
    </row>
    <row r="451">
      <c r="A451" s="2">
        <f>RANK(J451,$J$2:$J$656)</f>
        <v/>
      </c>
      <c r="B451" s="3" t="inlineStr">
        <is>
          <t>作図</t>
        </is>
      </c>
      <c r="C451" s="3" t="inlineStr">
        <is>
          <t>FF</t>
        </is>
      </c>
      <c r="D451" s="4" t="inlineStr">
        <is>
          <t>快捷填充_v2.0</t>
        </is>
      </c>
      <c r="E451" s="4" t="inlineStr">
        <is>
          <t>ハッチの素早い作図と画層入替</t>
        </is>
      </c>
      <c r="F451" s="2" t="n">
        <v>8</v>
      </c>
      <c r="G451" s="2" t="n">
        <v>6</v>
      </c>
      <c r="H451" s="2" t="n">
        <v>12</v>
      </c>
      <c r="I451" s="2" t="n">
        <v>16</v>
      </c>
      <c r="J451" s="5">
        <f>SUM(F451:I451)</f>
        <v/>
      </c>
      <c r="K451" s="4" t="inlineStr">
        <is>
          <t>ハッチ補助</t>
        </is>
      </c>
      <c r="L451" s="3" t="inlineStr">
        <is>
          <t>kucha007</t>
        </is>
      </c>
      <c r="M451" s="3" t="inlineStr">
        <is>
          <t>明经CAD社区</t>
        </is>
      </c>
      <c r="N451" s="6" t="inlineStr">
        <is>
          <t>開く</t>
        </is>
      </c>
    </row>
    <row r="452">
      <c r="A452" s="2">
        <f>RANK(J452,$J$2:$J$656)</f>
        <v/>
      </c>
      <c r="B452" s="3" t="inlineStr">
        <is>
          <t>作図</t>
        </is>
      </c>
      <c r="C452" s="3" t="inlineStr">
        <is>
          <t>-</t>
        </is>
      </c>
      <c r="D452" s="4" t="inlineStr">
        <is>
          <t>波浪曲线</t>
        </is>
      </c>
      <c r="E452" s="4" t="inlineStr">
        <is>
          <t>波線・破断線を作図</t>
        </is>
      </c>
      <c r="F452" s="2" t="n">
        <v>12</v>
      </c>
      <c r="G452" s="2" t="n">
        <v>6</v>
      </c>
      <c r="H452" s="2" t="n">
        <v>10</v>
      </c>
      <c r="I452" s="2" t="n">
        <v>14</v>
      </c>
      <c r="J452" s="5">
        <f>SUM(F452:I452)</f>
        <v/>
      </c>
      <c r="K452" s="4" t="inlineStr">
        <is>
          <t>波線作図</t>
        </is>
      </c>
      <c r="L452" s="3" t="inlineStr">
        <is>
          <t>biya</t>
        </is>
      </c>
      <c r="M452" s="3" t="inlineStr">
        <is>
          <t>明经CAD社区</t>
        </is>
      </c>
      <c r="N452" s="6" t="inlineStr">
        <is>
          <t>開く</t>
        </is>
      </c>
    </row>
    <row r="453">
      <c r="A453" s="2">
        <f>RANK(J453,$J$2:$J$656)</f>
        <v/>
      </c>
      <c r="B453" s="3" t="inlineStr">
        <is>
          <t>設備</t>
        </is>
      </c>
      <c r="C453" s="3" t="inlineStr">
        <is>
          <t>-</t>
        </is>
      </c>
      <c r="D453" s="4" t="inlineStr">
        <is>
          <t>流河管道工具箱</t>
        </is>
      </c>
      <c r="E453" s="4" t="inlineStr">
        <is>
          <t>配管作図ツール</t>
        </is>
      </c>
      <c r="F453" s="2" t="n">
        <v>14</v>
      </c>
      <c r="G453" s="2" t="n">
        <v>8</v>
      </c>
      <c r="H453" s="2" t="n">
        <v>14</v>
      </c>
      <c r="I453" s="2" t="n">
        <v>6</v>
      </c>
      <c r="J453" s="5">
        <f>SUM(F453:I453)</f>
        <v/>
      </c>
      <c r="K453" s="4" t="inlineStr">
        <is>
          <t>配管作図</t>
        </is>
      </c>
      <c r="L453" s="3" t="inlineStr">
        <is>
          <t>liuhe</t>
        </is>
      </c>
      <c r="M453" s="3" t="inlineStr">
        <is>
          <t>明经CAD社区</t>
        </is>
      </c>
      <c r="N453" s="6" t="inlineStr">
        <is>
          <t>開く</t>
        </is>
      </c>
    </row>
    <row r="454">
      <c r="A454" s="2">
        <f>RANK(J454,$J$2:$J$656)</f>
        <v/>
      </c>
      <c r="B454" s="3" t="inlineStr">
        <is>
          <t>作図</t>
        </is>
      </c>
      <c r="C454" s="3" t="inlineStr">
        <is>
          <t>-</t>
        </is>
      </c>
      <c r="D454" s="4" t="inlineStr">
        <is>
          <t>编号程序（2003）</t>
        </is>
      </c>
      <c r="E454" s="4" t="inlineStr">
        <is>
          <t>番号付け作図</t>
        </is>
      </c>
      <c r="F454" s="2" t="n">
        <v>10</v>
      </c>
      <c r="G454" s="2" t="n">
        <v>6</v>
      </c>
      <c r="H454" s="2" t="n">
        <v>12</v>
      </c>
      <c r="I454" s="2" t="n">
        <v>14</v>
      </c>
      <c r="J454" s="5">
        <f>SUM(F454:I454)</f>
        <v/>
      </c>
      <c r="K454" s="4" t="inlineStr">
        <is>
          <t>採番</t>
        </is>
      </c>
      <c r="L454" s="3" t="inlineStr">
        <is>
          <t>gzy</t>
        </is>
      </c>
      <c r="M454" s="3" t="inlineStr">
        <is>
          <t>明经CAD社区</t>
        </is>
      </c>
      <c r="N454" s="6" t="inlineStr">
        <is>
          <t>開く</t>
        </is>
      </c>
    </row>
    <row r="455">
      <c r="A455" s="2">
        <f>RANK(J455,$J$2:$J$656)</f>
        <v/>
      </c>
      <c r="B455" s="3" t="inlineStr">
        <is>
          <t>設定・環境</t>
        </is>
      </c>
      <c r="C455" s="3" t="inlineStr">
        <is>
          <t>-</t>
        </is>
      </c>
      <c r="D455" s="4" t="inlineStr">
        <is>
          <t>自动加载安装LSP/VLX/FAS/ARX函数</t>
        </is>
      </c>
      <c r="E455" s="4" t="inlineStr">
        <is>
          <t>プラグインの自動ロード・インストール</t>
        </is>
      </c>
      <c r="F455" s="2" t="n">
        <v>12</v>
      </c>
      <c r="G455" s="2" t="n">
        <v>8</v>
      </c>
      <c r="H455" s="2" t="n">
        <v>8</v>
      </c>
      <c r="I455" s="2" t="n">
        <v>14</v>
      </c>
      <c r="J455" s="5">
        <f>SUM(F455:I455)</f>
        <v/>
      </c>
      <c r="K455" s="4" t="inlineStr">
        <is>
          <t>配布用ローダ</t>
        </is>
      </c>
      <c r="L455" s="3" t="inlineStr">
        <is>
          <t>LPACMQ</t>
        </is>
      </c>
      <c r="M455" s="3" t="inlineStr">
        <is>
          <t>明经CAD社区</t>
        </is>
      </c>
      <c r="N455" s="6" t="inlineStr">
        <is>
          <t>開く</t>
        </is>
      </c>
    </row>
    <row r="456">
      <c r="A456" s="2">
        <f>RANK(J456,$J$2:$J$656)</f>
        <v/>
      </c>
      <c r="B456" s="3" t="inlineStr">
        <is>
          <t>寸法</t>
        </is>
      </c>
      <c r="C456" s="3" t="inlineStr">
        <is>
          <t>-</t>
        </is>
      </c>
      <c r="D456" s="4" t="inlineStr">
        <is>
          <t>长度标尺</t>
        </is>
      </c>
      <c r="E456" s="4" t="inlineStr">
        <is>
          <t>長さ目盛（スケールバー）を作図</t>
        </is>
      </c>
      <c r="F456" s="2" t="n">
        <v>14</v>
      </c>
      <c r="G456" s="2" t="n">
        <v>8</v>
      </c>
      <c r="H456" s="2" t="n">
        <v>8</v>
      </c>
      <c r="I456" s="2" t="n">
        <v>12</v>
      </c>
      <c r="J456" s="5">
        <f>SUM(F456:I456)</f>
        <v/>
      </c>
      <c r="K456" s="4" t="inlineStr">
        <is>
          <t>スケール作図</t>
        </is>
      </c>
      <c r="L456" s="3" t="inlineStr">
        <is>
          <t>biya</t>
        </is>
      </c>
      <c r="M456" s="3" t="inlineStr">
        <is>
          <t>明经CAD社区</t>
        </is>
      </c>
      <c r="N456" s="6" t="inlineStr">
        <is>
          <t>開く</t>
        </is>
      </c>
    </row>
    <row r="457">
      <c r="A457" s="2">
        <f>RANK(J457,$J$2:$J$656)</f>
        <v/>
      </c>
      <c r="B457" s="3" t="inlineStr">
        <is>
          <t>LISP開発用の部品</t>
        </is>
      </c>
      <c r="C457" s="3" t="inlineStr">
        <is>
          <t>-</t>
        </is>
      </c>
      <c r="D457" s="4" t="inlineStr">
        <is>
          <t>dbx: ObjectDBX</t>
        </is>
      </c>
      <c r="E457" s="4" t="inlineStr">
        <is>
          <t>図面を開かずDBXで読込・処理</t>
        </is>
      </c>
      <c r="F457" s="2" t="n">
        <v>12</v>
      </c>
      <c r="G457" s="2" t="n">
        <v>9</v>
      </c>
      <c r="H457" s="2" t="n">
        <v>6</v>
      </c>
      <c r="I457" s="2" t="n">
        <v>14</v>
      </c>
      <c r="J457" s="5">
        <f>SUM(F457:I457)</f>
        <v/>
      </c>
      <c r="K457" s="4" t="inlineStr">
        <is>
          <t>一括処理の基盤</t>
        </is>
      </c>
      <c r="L457" s="3" t="inlineStr">
        <is>
          <t>VitalGG</t>
        </is>
      </c>
      <c r="M457" s="3" t="inlineStr">
        <is>
          <t>GitHub: atlisp-org/atlisp-lib</t>
        </is>
      </c>
      <c r="N457" s="6" t="inlineStr">
        <is>
          <t>開く</t>
        </is>
      </c>
    </row>
    <row r="458">
      <c r="A458" s="2">
        <f>RANK(J458,$J$2:$J$656)</f>
        <v/>
      </c>
      <c r="B458" s="3" t="inlineStr">
        <is>
          <t>LISP開発用の部品</t>
        </is>
      </c>
      <c r="C458" s="3" t="inlineStr">
        <is>
          <t>-</t>
        </is>
      </c>
      <c r="D458" s="4" t="inlineStr">
        <is>
          <t>dcl-to-lsp 转换工具</t>
        </is>
      </c>
      <c r="E458" s="4" t="inlineStr">
        <is>
          <t>DCLファイルをLISP内埋込コードに変換</t>
        </is>
      </c>
      <c r="F458" s="2" t="n">
        <v>15</v>
      </c>
      <c r="G458" s="2" t="n">
        <v>12</v>
      </c>
      <c r="H458" s="2" t="n">
        <v>6</v>
      </c>
      <c r="I458" s="2" t="n">
        <v>8</v>
      </c>
      <c r="J458" s="5">
        <f>SUM(F458:I458)</f>
        <v/>
      </c>
      <c r="K458" s="4" t="inlineStr">
        <is>
          <t>DCL埋込</t>
        </is>
      </c>
      <c r="L458" s="3" t="inlineStr">
        <is>
          <t>fangmin723</t>
        </is>
      </c>
      <c r="M458" s="3" t="inlineStr">
        <is>
          <t>明经CAD社区</t>
        </is>
      </c>
      <c r="N458" s="6" t="inlineStr">
        <is>
          <t>開く</t>
        </is>
      </c>
    </row>
    <row r="459">
      <c r="A459" s="2">
        <f>RANK(J459,$J$2:$J$656)</f>
        <v/>
      </c>
      <c r="B459" s="3" t="inlineStr">
        <is>
          <t>ハッチ・面積・長さ集計</t>
        </is>
      </c>
      <c r="C459" s="3" t="inlineStr">
        <is>
          <t>dlmj</t>
        </is>
      </c>
      <c r="D459" s="4" t="inlineStr">
        <is>
          <t>dlmj 面积统计</t>
        </is>
      </c>
      <c r="E459" s="4" t="inlineStr">
        <is>
          <t>閉領域の面積を計算・集計</t>
        </is>
      </c>
      <c r="F459" s="2" t="n">
        <v>10</v>
      </c>
      <c r="G459" s="2" t="n">
        <v>4</v>
      </c>
      <c r="H459" s="2" t="n">
        <v>12</v>
      </c>
      <c r="I459" s="2" t="n">
        <v>15</v>
      </c>
      <c r="J459" s="5">
        <f>SUM(F459:I459)</f>
        <v/>
      </c>
      <c r="K459" s="4" t="inlineStr">
        <is>
          <t>面積集計</t>
        </is>
      </c>
      <c r="L459" s="3" t="inlineStr"/>
      <c r="M459" s="3" t="inlineStr">
        <is>
          <t>GitHub: zhugecaomao/AutoLISP</t>
        </is>
      </c>
      <c r="N459" s="6" t="inlineStr">
        <is>
          <t>開く</t>
        </is>
      </c>
    </row>
    <row r="460">
      <c r="A460" s="2">
        <f>RANK(J460,$J$2:$J$656)</f>
        <v/>
      </c>
      <c r="B460" s="3" t="inlineStr">
        <is>
          <t>構造・鉄骨・機械</t>
        </is>
      </c>
      <c r="C460" s="3" t="inlineStr">
        <is>
          <t>segg</t>
        </is>
      </c>
      <c r="D460" s="4" t="inlineStr">
        <is>
          <t>segg 上传激光机</t>
        </is>
      </c>
      <c r="E460" s="4" t="inlineStr">
        <is>
          <t>外部cmdでファイルをレーザー加工機へ送信</t>
        </is>
      </c>
      <c r="F460" s="2" t="n">
        <v>16</v>
      </c>
      <c r="G460" s="2" t="n">
        <v>12</v>
      </c>
      <c r="H460" s="2" t="n">
        <v>10</v>
      </c>
      <c r="I460" s="2" t="n">
        <v>3</v>
      </c>
      <c r="J460" s="5">
        <f>SUM(F460:I460)</f>
        <v/>
      </c>
      <c r="K460" s="4" t="inlineStr">
        <is>
          <t>加工機連携</t>
        </is>
      </c>
      <c r="L460" s="3" t="inlineStr">
        <is>
          <t>jianpf</t>
        </is>
      </c>
      <c r="M460" s="3" t="inlineStr">
        <is>
          <t>GitHub: jianpf/autolisp</t>
        </is>
      </c>
      <c r="N460" s="6" t="inlineStr">
        <is>
          <t>開く</t>
        </is>
      </c>
    </row>
    <row r="461">
      <c r="A461" s="2">
        <f>RANK(J461,$J$2:$J$656)</f>
        <v/>
      </c>
      <c r="B461" s="3" t="inlineStr">
        <is>
          <t>3D</t>
        </is>
      </c>
      <c r="C461" s="3" t="inlineStr">
        <is>
          <t>mythread</t>
        </is>
      </c>
      <c r="D461" s="4" t="inlineStr">
        <is>
          <t>thread 三维外螺纹</t>
        </is>
      </c>
      <c r="E461" s="4" t="inlineStr">
        <is>
          <t>ISO228/メートルねじの3Dソリッド作成</t>
        </is>
      </c>
      <c r="F461" s="2" t="n">
        <v>16</v>
      </c>
      <c r="G461" s="2" t="n">
        <v>10</v>
      </c>
      <c r="H461" s="2" t="n">
        <v>10</v>
      </c>
      <c r="I461" s="2" t="n">
        <v>5</v>
      </c>
      <c r="J461" s="5">
        <f>SUM(F461:I461)</f>
        <v/>
      </c>
      <c r="K461" s="4" t="inlineStr">
        <is>
          <t>3Dねじ生成</t>
        </is>
      </c>
      <c r="L461" s="3" t="inlineStr"/>
      <c r="M461" s="3" t="inlineStr">
        <is>
          <t>GitHub: zhugecaomao/AutoLISP</t>
        </is>
      </c>
      <c r="N461" s="6" t="inlineStr">
        <is>
          <t>開く</t>
        </is>
      </c>
    </row>
    <row r="462">
      <c r="A462" s="2">
        <f>RANK(J462,$J$2:$J$656)</f>
        <v/>
      </c>
      <c r="B462" s="3" t="inlineStr">
        <is>
          <t>線・ポリライン編集</t>
        </is>
      </c>
      <c r="C462" s="3" t="inlineStr">
        <is>
          <t>单线变双</t>
        </is>
      </c>
      <c r="D462" s="4" t="inlineStr">
        <is>
          <t>单线变双 (@lisp curve)</t>
        </is>
      </c>
      <c r="E462" s="4" t="inlineStr">
        <is>
          <t>単線を両側オフセットし二重線化</t>
        </is>
      </c>
      <c r="F462" s="2" t="n">
        <v>10</v>
      </c>
      <c r="G462" s="2" t="n">
        <v>5</v>
      </c>
      <c r="H462" s="2" t="n">
        <v>11</v>
      </c>
      <c r="I462" s="2" t="n">
        <v>15</v>
      </c>
      <c r="J462" s="5">
        <f>SUM(F462:I462)</f>
        <v/>
      </c>
      <c r="K462" s="4" t="inlineStr">
        <is>
          <t>OFFSET2回で可</t>
        </is>
      </c>
      <c r="L462" s="3" t="inlineStr">
        <is>
          <t>VitalGG</t>
        </is>
      </c>
      <c r="M462" s="3" t="inlineStr">
        <is>
          <t>@lisp 应用云</t>
        </is>
      </c>
      <c r="N462" s="6" t="inlineStr">
        <is>
          <t>開く</t>
        </is>
      </c>
    </row>
    <row r="463">
      <c r="A463" s="2">
        <f>RANK(J463,$J$2:$J$656)</f>
        <v/>
      </c>
      <c r="B463" s="3" t="inlineStr">
        <is>
          <t>ブロック・属性</t>
        </is>
      </c>
      <c r="C463" s="3" t="inlineStr">
        <is>
          <t>-</t>
        </is>
      </c>
      <c r="D463" s="4" t="inlineStr">
        <is>
          <t>块属性编辑—列表形式</t>
        </is>
      </c>
      <c r="E463" s="4" t="inlineStr">
        <is>
          <t>属性を一覧表形式で編集</t>
        </is>
      </c>
      <c r="F463" s="2" t="n">
        <v>8</v>
      </c>
      <c r="G463" s="2" t="n">
        <v>6</v>
      </c>
      <c r="H463" s="2" t="n">
        <v>12</v>
      </c>
      <c r="I463" s="2" t="n">
        <v>15</v>
      </c>
      <c r="J463" s="5">
        <f>SUM(F463:I463)</f>
        <v/>
      </c>
      <c r="K463" s="4" t="inlineStr">
        <is>
          <t>BEATTEDIT強化</t>
        </is>
      </c>
      <c r="L463" s="3" t="inlineStr">
        <is>
          <t>1028695446</t>
        </is>
      </c>
      <c r="M463" s="3" t="inlineStr">
        <is>
          <t>明经CAD社区</t>
        </is>
      </c>
      <c r="N463" s="6" t="inlineStr">
        <is>
          <t>開く</t>
        </is>
      </c>
    </row>
    <row r="464">
      <c r="A464" s="2">
        <f>RANK(J464,$J$2:$J$656)</f>
        <v/>
      </c>
      <c r="B464" s="3" t="inlineStr">
        <is>
          <t>ブロック・属性</t>
        </is>
      </c>
      <c r="C464" s="3" t="inlineStr">
        <is>
          <t>@block:minsert2insert</t>
        </is>
      </c>
      <c r="D464" s="4" t="inlineStr">
        <is>
          <t>多重转普通 (@lisp Block)</t>
        </is>
      </c>
      <c r="E464" s="4" t="inlineStr">
        <is>
          <t>MINSERTを通常ブロックに変換</t>
        </is>
      </c>
      <c r="F464" s="2" t="n">
        <v>17</v>
      </c>
      <c r="G464" s="2" t="n">
        <v>8</v>
      </c>
      <c r="H464" s="2" t="n">
        <v>6</v>
      </c>
      <c r="I464" s="2" t="n">
        <v>10</v>
      </c>
      <c r="J464" s="5">
        <f>SUM(F464:I464)</f>
        <v/>
      </c>
      <c r="K464" s="4" t="inlineStr">
        <is>
          <t>MINSERT対策</t>
        </is>
      </c>
      <c r="L464" s="3" t="inlineStr">
        <is>
          <t>VitalGG</t>
        </is>
      </c>
      <c r="M464" s="3" t="inlineStr">
        <is>
          <t>@lisp 应用云</t>
        </is>
      </c>
      <c r="N464" s="6" t="inlineStr">
        <is>
          <t>開く</t>
        </is>
      </c>
    </row>
    <row r="465">
      <c r="A465" s="2">
        <f>RANK(J465,$J$2:$J$656)</f>
        <v/>
      </c>
      <c r="B465" s="3" t="inlineStr">
        <is>
          <t>構造・鉄骨・機械</t>
        </is>
      </c>
      <c r="C465" s="3" t="inlineStr">
        <is>
          <t>-</t>
        </is>
      </c>
      <c r="D465" s="4" t="inlineStr">
        <is>
          <t>小哥哥结构设计工具箱 V3.5</t>
        </is>
      </c>
      <c r="E465" s="4" t="inlineStr">
        <is>
          <t>構造設計作図ツール</t>
        </is>
      </c>
      <c r="F465" s="2" t="n">
        <v>14</v>
      </c>
      <c r="G465" s="2" t="n">
        <v>8</v>
      </c>
      <c r="H465" s="2" t="n">
        <v>14</v>
      </c>
      <c r="I465" s="2" t="n">
        <v>5</v>
      </c>
      <c r="J465" s="5">
        <f>SUM(F465:I465)</f>
        <v/>
      </c>
      <c r="K465" s="4" t="inlineStr">
        <is>
          <t>構造作図</t>
        </is>
      </c>
      <c r="L465" s="3" t="inlineStr">
        <is>
          <t>zhouwq666</t>
        </is>
      </c>
      <c r="M465" s="3" t="inlineStr">
        <is>
          <t>明经CAD社区</t>
        </is>
      </c>
      <c r="N465" s="6" t="inlineStr">
        <is>
          <t>開く</t>
        </is>
      </c>
    </row>
    <row r="466">
      <c r="A466" s="2">
        <f>RANK(J466,$J$2:$J$656)</f>
        <v/>
      </c>
      <c r="B466" s="3" t="inlineStr">
        <is>
          <t>文字・テキスト</t>
        </is>
      </c>
      <c r="C466" s="3" t="inlineStr">
        <is>
          <t>@lisp字体库</t>
        </is>
      </c>
      <c r="D466" s="4" t="inlineStr">
        <is>
          <t>@lisp字体库</t>
        </is>
      </c>
      <c r="E466" s="4" t="inlineStr">
        <is>
          <t>天正・PKPM等の常用SHXフォントを配布</t>
        </is>
      </c>
      <c r="F466" s="2" t="n">
        <v>12</v>
      </c>
      <c r="G466" s="2" t="n">
        <v>4</v>
      </c>
      <c r="H466" s="2" t="n">
        <v>12</v>
      </c>
      <c r="I466" s="2" t="n">
        <v>12</v>
      </c>
      <c r="J466" s="5">
        <f>SUM(F466:I466)</f>
        <v/>
      </c>
      <c r="K466" s="4" t="inlineStr">
        <is>
          <t>フォント欠落対策</t>
        </is>
      </c>
      <c r="L466" s="3" t="inlineStr">
        <is>
          <t>VitalGG</t>
        </is>
      </c>
      <c r="M466" s="3" t="inlineStr">
        <is>
          <t>@lisp 应用云</t>
        </is>
      </c>
      <c r="N466" s="6" t="inlineStr">
        <is>
          <t>開く</t>
        </is>
      </c>
    </row>
    <row r="467">
      <c r="A467" s="2">
        <f>RANK(J467,$J$2:$J$656)</f>
        <v/>
      </c>
      <c r="B467" s="3" t="inlineStr">
        <is>
          <t>構造・鉄骨・機械</t>
        </is>
      </c>
      <c r="C467" s="3" t="inlineStr">
        <is>
          <t>批改布局名/统计光缆</t>
        </is>
      </c>
      <c r="D467" s="4" t="inlineStr">
        <is>
          <t>@试验室</t>
        </is>
      </c>
      <c r="E467" s="4" t="inlineStr">
        <is>
          <t>レイアウト名一括変更・光ケーブル集計等の試作</t>
        </is>
      </c>
      <c r="F467" s="2" t="n">
        <v>12</v>
      </c>
      <c r="G467" s="2" t="n">
        <v>10</v>
      </c>
      <c r="H467" s="2" t="n">
        <v>8</v>
      </c>
      <c r="I467" s="2" t="n">
        <v>10</v>
      </c>
      <c r="J467" s="5">
        <f>SUM(F467:I467)</f>
        <v/>
      </c>
      <c r="K467" s="4" t="inlineStr">
        <is>
          <t>実験的機能集</t>
        </is>
      </c>
      <c r="L467" s="3" t="inlineStr">
        <is>
          <t>VitalGG/捉刀人</t>
        </is>
      </c>
      <c r="M467" s="3" t="inlineStr">
        <is>
          <t>@lisp 应用云</t>
        </is>
      </c>
      <c r="N467" s="6" t="inlineStr">
        <is>
          <t>開く</t>
        </is>
      </c>
    </row>
    <row r="468">
      <c r="A468" s="2">
        <f>RANK(J468,$J$2:$J$656)</f>
        <v/>
      </c>
      <c r="B468" s="3" t="inlineStr">
        <is>
          <t>座標・測量・土木</t>
        </is>
      </c>
      <c r="C468" s="3" t="inlineStr">
        <is>
          <t>bg0</t>
        </is>
      </c>
      <c r="D468" s="4" t="inlineStr">
        <is>
          <t>bg0 自动标注标高</t>
        </is>
      </c>
      <c r="E468" s="4" t="inlineStr">
        <is>
          <t>縮尺指定で標高記号を自動記入</t>
        </is>
      </c>
      <c r="F468" s="2" t="n">
        <v>12</v>
      </c>
      <c r="G468" s="2" t="n">
        <v>4</v>
      </c>
      <c r="H468" s="2" t="n">
        <v>14</v>
      </c>
      <c r="I468" s="2" t="n">
        <v>10</v>
      </c>
      <c r="J468" s="5">
        <f>SUM(F468:I468)</f>
        <v/>
      </c>
      <c r="K468" s="4" t="inlineStr">
        <is>
          <t>標高記入</t>
        </is>
      </c>
      <c r="L468" s="3" t="inlineStr"/>
      <c r="M468" s="3" t="inlineStr">
        <is>
          <t>GitHub: zhugecaomao/AutoLISP</t>
        </is>
      </c>
      <c r="N468" s="6" t="inlineStr">
        <is>
          <t>開く</t>
        </is>
      </c>
    </row>
    <row r="469">
      <c r="A469" s="2">
        <f>RANK(J469,$J$2:$J$656)</f>
        <v/>
      </c>
      <c r="B469" s="3" t="inlineStr">
        <is>
          <t>構造・鉄骨・機械</t>
        </is>
      </c>
      <c r="C469" s="3" t="inlineStr">
        <is>
          <t>RDL/UBM</t>
        </is>
      </c>
      <c r="D469" s="4" t="inlineStr">
        <is>
          <t>princhua 光罩/RDL小工具</t>
        </is>
      </c>
      <c r="E469" s="4" t="inlineStr">
        <is>
          <t>半導体マスクの配線・パッド作図補助</t>
        </is>
      </c>
      <c r="F469" s="2" t="n">
        <v>16</v>
      </c>
      <c r="G469" s="2" t="n">
        <v>10</v>
      </c>
      <c r="H469" s="2" t="n">
        <v>12</v>
      </c>
      <c r="I469" s="2" t="n">
        <v>2</v>
      </c>
      <c r="J469" s="5">
        <f>SUM(F469:I469)</f>
        <v/>
      </c>
      <c r="K469" s="4" t="inlineStr">
        <is>
          <t>半導体レイアウト</t>
        </is>
      </c>
      <c r="L469" s="3" t="inlineStr">
        <is>
          <t>princhua</t>
        </is>
      </c>
      <c r="M469" s="3" t="inlineStr">
        <is>
          <t>GitHub: princhua/Autolisp</t>
        </is>
      </c>
      <c r="N469" s="6" t="inlineStr">
        <is>
          <t>開く</t>
        </is>
      </c>
    </row>
    <row r="470">
      <c r="A470" s="2">
        <f>RANK(J470,$J$2:$J$656)</f>
        <v/>
      </c>
      <c r="B470" s="3" t="inlineStr">
        <is>
          <t>構造・鉄骨・機械</t>
        </is>
      </c>
      <c r="C470" s="3" t="inlineStr">
        <is>
          <t>tbh/fst</t>
        </is>
      </c>
      <c r="D470" s="4" t="inlineStr">
        <is>
          <t>tbh 板厚偏移</t>
        </is>
      </c>
      <c r="E470" s="4" t="inlineStr">
        <is>
          <t>設定板厚分のオフセットを一発実行</t>
        </is>
      </c>
      <c r="F470" s="2" t="n">
        <v>12</v>
      </c>
      <c r="G470" s="2" t="n">
        <v>8</v>
      </c>
      <c r="H470" s="2" t="n">
        <v>14</v>
      </c>
      <c r="I470" s="2" t="n">
        <v>6</v>
      </c>
      <c r="J470" s="5">
        <f>SUM(F470:I470)</f>
        <v/>
      </c>
      <c r="K470" s="4" t="inlineStr">
        <is>
          <t>板金向け定型オフセット</t>
        </is>
      </c>
      <c r="L470" s="3" t="inlineStr">
        <is>
          <t>jianpf</t>
        </is>
      </c>
      <c r="M470" s="3" t="inlineStr">
        <is>
          <t>GitHub: jianpf/autolisp</t>
        </is>
      </c>
      <c r="N470" s="6" t="inlineStr">
        <is>
          <t>開く</t>
        </is>
      </c>
    </row>
    <row r="471">
      <c r="A471" s="2">
        <f>RANK(J471,$J$2:$J$656)</f>
        <v/>
      </c>
      <c r="B471" s="3" t="inlineStr">
        <is>
          <t>引出線・注記</t>
        </is>
      </c>
      <c r="C471" s="3" t="inlineStr">
        <is>
          <t>-</t>
        </is>
      </c>
      <c r="D471" s="4" t="inlineStr">
        <is>
          <t>圆形标注序号加箭头</t>
        </is>
      </c>
      <c r="E471" s="4" t="inlineStr">
        <is>
          <t>丸番号付き矢印注記</t>
        </is>
      </c>
      <c r="F471" s="2" t="n">
        <v>10</v>
      </c>
      <c r="G471" s="2" t="n">
        <v>4</v>
      </c>
      <c r="H471" s="2" t="n">
        <v>12</v>
      </c>
      <c r="I471" s="2" t="n">
        <v>14</v>
      </c>
      <c r="J471" s="5">
        <f>SUM(F471:I471)</f>
        <v/>
      </c>
      <c r="K471" s="4" t="inlineStr">
        <is>
          <t>バルーン注記</t>
        </is>
      </c>
      <c r="L471" s="3" t="inlineStr">
        <is>
          <t>twbear</t>
        </is>
      </c>
      <c r="M471" s="3" t="inlineStr">
        <is>
          <t>明经CAD社区</t>
        </is>
      </c>
      <c r="N471" s="6" t="inlineStr">
        <is>
          <t>開く</t>
        </is>
      </c>
    </row>
    <row r="472">
      <c r="A472" s="2">
        <f>RANK(J472,$J$2:$J$656)</f>
        <v/>
      </c>
      <c r="B472" s="3" t="inlineStr">
        <is>
          <t>座標・測量・土木</t>
        </is>
      </c>
      <c r="C472" s="3" t="inlineStr">
        <is>
          <t>-</t>
        </is>
      </c>
      <c r="D472" s="4" t="inlineStr">
        <is>
          <t>坡度坡长标注程序</t>
        </is>
      </c>
      <c r="E472" s="4" t="inlineStr">
        <is>
          <t>勾配・勾配長を注記</t>
        </is>
      </c>
      <c r="F472" s="2" t="n">
        <v>14</v>
      </c>
      <c r="G472" s="2" t="n">
        <v>6</v>
      </c>
      <c r="H472" s="2" t="n">
        <v>12</v>
      </c>
      <c r="I472" s="2" t="n">
        <v>8</v>
      </c>
      <c r="J472" s="5">
        <f>SUM(F472:I472)</f>
        <v/>
      </c>
      <c r="K472" s="4" t="inlineStr">
        <is>
          <t>勾配注記</t>
        </is>
      </c>
      <c r="L472" s="3" t="inlineStr"/>
      <c r="M472" s="3" t="inlineStr">
        <is>
          <t>GitHub: zhugecaomao/AutoLISP</t>
        </is>
      </c>
      <c r="N472" s="6" t="inlineStr">
        <is>
          <t>開く</t>
        </is>
      </c>
    </row>
    <row r="473">
      <c r="A473" s="2">
        <f>RANK(J473,$J$2:$J$656)</f>
        <v/>
      </c>
      <c r="B473" s="3" t="inlineStr">
        <is>
          <t>画層</t>
        </is>
      </c>
      <c r="C473" s="3" t="inlineStr">
        <is>
          <t>TT</t>
        </is>
      </c>
      <c r="D473" s="4" t="inlineStr">
        <is>
          <t>快速修改图层颜色</t>
        </is>
      </c>
      <c r="E473" s="4" t="inlineStr">
        <is>
          <t>選択図形の画層色を素早く変更</t>
        </is>
      </c>
      <c r="F473" s="2" t="n">
        <v>8</v>
      </c>
      <c r="G473" s="2" t="n">
        <v>4</v>
      </c>
      <c r="H473" s="2" t="n">
        <v>10</v>
      </c>
      <c r="I473" s="2" t="n">
        <v>18</v>
      </c>
      <c r="J473" s="5">
        <f>SUM(F473:I473)</f>
        <v/>
      </c>
      <c r="K473" s="4" t="inlineStr">
        <is>
          <t>画層色変更</t>
        </is>
      </c>
      <c r="L473" s="3" t="inlineStr">
        <is>
          <t>cable2004</t>
        </is>
      </c>
      <c r="M473" s="3" t="inlineStr">
        <is>
          <t>明经CAD社区</t>
        </is>
      </c>
      <c r="N473" s="6" t="inlineStr">
        <is>
          <t>開く</t>
        </is>
      </c>
    </row>
    <row r="474">
      <c r="A474" s="2">
        <f>RANK(J474,$J$2:$J$656)</f>
        <v/>
      </c>
      <c r="B474" s="3" t="inlineStr">
        <is>
          <t>その他</t>
        </is>
      </c>
      <c r="C474" s="3" t="inlineStr">
        <is>
          <t>-</t>
        </is>
      </c>
      <c r="D474" s="4" t="inlineStr">
        <is>
          <t>早日退休工具箱</t>
        </is>
      </c>
      <c r="E474" s="4" t="inlineStr">
        <is>
          <t>汎用ツール集</t>
        </is>
      </c>
      <c r="F474" s="2" t="n">
        <v>8</v>
      </c>
      <c r="G474" s="2" t="n">
        <v>8</v>
      </c>
      <c r="H474" s="2" t="n">
        <v>10</v>
      </c>
      <c r="I474" s="2" t="n">
        <v>14</v>
      </c>
      <c r="J474" s="5">
        <f>SUM(F474:I474)</f>
        <v/>
      </c>
      <c r="K474" s="4" t="inlineStr">
        <is>
          <t>ツール集</t>
        </is>
      </c>
      <c r="L474" s="3" t="inlineStr">
        <is>
          <t>土土木木人</t>
        </is>
      </c>
      <c r="M474" s="3" t="inlineStr">
        <is>
          <t>明经CAD社区</t>
        </is>
      </c>
      <c r="N474" s="6" t="inlineStr">
        <is>
          <t>開く</t>
        </is>
      </c>
    </row>
    <row r="475">
      <c r="A475" s="2">
        <f>RANK(J475,$J$2:$J$656)</f>
        <v/>
      </c>
      <c r="B475" s="3" t="inlineStr">
        <is>
          <t>その他</t>
        </is>
      </c>
      <c r="C475" s="3" t="inlineStr">
        <is>
          <t>-</t>
        </is>
      </c>
      <c r="D475" s="4" t="inlineStr">
        <is>
          <t>深圳华森建筑设计院内部LSP</t>
        </is>
      </c>
      <c r="E475" s="4" t="inlineStr">
        <is>
          <t>設計院内部で使われたLISP集</t>
        </is>
      </c>
      <c r="F475" s="2" t="n">
        <v>10</v>
      </c>
      <c r="G475" s="2" t="n">
        <v>8</v>
      </c>
      <c r="H475" s="2" t="n">
        <v>12</v>
      </c>
      <c r="I475" s="2" t="n">
        <v>10</v>
      </c>
      <c r="J475" s="5">
        <f>SUM(F475:I475)</f>
        <v/>
      </c>
      <c r="K475" s="4" t="inlineStr">
        <is>
          <t>実務ツール集</t>
        </is>
      </c>
      <c r="L475" s="3" t="inlineStr">
        <is>
          <t>华森设计</t>
        </is>
      </c>
      <c r="M475" s="3" t="inlineStr">
        <is>
          <t>晓东CAD家园</t>
        </is>
      </c>
      <c r="N475" s="6" t="inlineStr">
        <is>
          <t>開く</t>
        </is>
      </c>
    </row>
    <row r="476">
      <c r="A476" s="2">
        <f>RANK(J476,$J$2:$J$656)</f>
        <v/>
      </c>
      <c r="B476" s="3" t="inlineStr">
        <is>
          <t>構造・鉄骨・機械</t>
        </is>
      </c>
      <c r="C476" s="3" t="inlineStr">
        <is>
          <t>-</t>
        </is>
      </c>
      <c r="D476" s="4" t="inlineStr">
        <is>
          <t>燕秀工具箱 模具标准件库</t>
        </is>
      </c>
      <c r="E476" s="4" t="inlineStr">
        <is>
          <t>金型標準部品（ピン・ボルト等）を作図</t>
        </is>
      </c>
      <c r="F476" s="2" t="n">
        <v>14</v>
      </c>
      <c r="G476" s="2" t="n">
        <v>6</v>
      </c>
      <c r="H476" s="2" t="n">
        <v>15</v>
      </c>
      <c r="I476" s="2" t="n">
        <v>5</v>
      </c>
      <c r="J476" s="5">
        <f>SUM(F476:I476)</f>
        <v/>
      </c>
      <c r="K476" s="4" t="inlineStr">
        <is>
          <t>標準部品</t>
        </is>
      </c>
      <c r="L476" s="3" t="inlineStr">
        <is>
          <t>燕秀</t>
        </is>
      </c>
      <c r="M476" s="3" t="inlineStr">
        <is>
          <t>燕秀工具箱</t>
        </is>
      </c>
      <c r="N476" s="6" t="inlineStr">
        <is>
          <t>開く</t>
        </is>
      </c>
    </row>
    <row r="477">
      <c r="A477" s="2">
        <f>RANK(J477,$J$2:$J$656)</f>
        <v/>
      </c>
      <c r="B477" s="3" t="inlineStr">
        <is>
          <t>寸法</t>
        </is>
      </c>
      <c r="C477" s="3" t="inlineStr">
        <is>
          <t>-</t>
        </is>
      </c>
      <c r="D477" s="4" t="inlineStr">
        <is>
          <t>锁定dim标注数值</t>
        </is>
      </c>
      <c r="E477" s="4" t="inlineStr">
        <is>
          <t>公差形式を含め寸法値を固定</t>
        </is>
      </c>
      <c r="F477" s="2" t="n">
        <v>12</v>
      </c>
      <c r="G477" s="2" t="n">
        <v>8</v>
      </c>
      <c r="H477" s="2" t="n">
        <v>8</v>
      </c>
      <c r="I477" s="2" t="n">
        <v>12</v>
      </c>
      <c r="J477" s="5">
        <f>SUM(F477:I477)</f>
        <v/>
      </c>
      <c r="K477" s="4" t="inlineStr">
        <is>
          <t>寸法値ロック</t>
        </is>
      </c>
      <c r="L477" s="3" t="inlineStr">
        <is>
          <t>mccad</t>
        </is>
      </c>
      <c r="M477" s="3" t="inlineStr">
        <is>
          <t>明经CAD社区</t>
        </is>
      </c>
      <c r="N477" s="6" t="inlineStr">
        <is>
          <t>開く</t>
        </is>
      </c>
    </row>
    <row r="478">
      <c r="A478" s="2">
        <f>RANK(J478,$J$2:$J$656)</f>
        <v/>
      </c>
      <c r="B478" s="3" t="inlineStr">
        <is>
          <t>設定・環境</t>
        </is>
      </c>
      <c r="C478" s="3" t="inlineStr">
        <is>
          <t>查询扩展数据</t>
        </is>
      </c>
      <c r="D478" s="4" t="inlineStr">
        <is>
          <t>@lisp扩展数据管理</t>
        </is>
      </c>
      <c r="E478" s="4" t="inlineStr">
        <is>
          <t>XDATAの閲覧・編集・APPIDフィルタ</t>
        </is>
      </c>
      <c r="F478" s="2" t="n">
        <v>16</v>
      </c>
      <c r="G478" s="2" t="n">
        <v>8</v>
      </c>
      <c r="H478" s="2" t="n">
        <v>5</v>
      </c>
      <c r="I478" s="2" t="n">
        <v>10</v>
      </c>
      <c r="J478" s="5">
        <f>SUM(F478:I478)</f>
        <v/>
      </c>
      <c r="K478" s="4" t="inlineStr">
        <is>
          <t>XDATA閲覧（開発者向け）</t>
        </is>
      </c>
      <c r="L478" s="3" t="inlineStr">
        <is>
          <t>VitalGG</t>
        </is>
      </c>
      <c r="M478" s="3" t="inlineStr">
        <is>
          <t>@lisp 应用云</t>
        </is>
      </c>
      <c r="N478" s="6" t="inlineStr">
        <is>
          <t>開く</t>
        </is>
      </c>
    </row>
    <row r="479">
      <c r="A479" s="2">
        <f>RANK(J479,$J$2:$J$656)</f>
        <v/>
      </c>
      <c r="B479" s="3" t="inlineStr">
        <is>
          <t>座標・測量・土木</t>
        </is>
      </c>
      <c r="C479" s="3" t="inlineStr">
        <is>
          <t>bgbz</t>
        </is>
      </c>
      <c r="D479" s="4" t="inlineStr">
        <is>
          <t>bgbz 标高标注</t>
        </is>
      </c>
      <c r="E479" s="4" t="inlineStr">
        <is>
          <t>標高記号の記入・修正・移動</t>
        </is>
      </c>
      <c r="F479" s="2" t="n">
        <v>12</v>
      </c>
      <c r="G479" s="2" t="n">
        <v>4</v>
      </c>
      <c r="H479" s="2" t="n">
        <v>13</v>
      </c>
      <c r="I479" s="2" t="n">
        <v>10</v>
      </c>
      <c r="J479" s="5">
        <f>SUM(F479:I479)</f>
        <v/>
      </c>
      <c r="K479" s="4" t="inlineStr">
        <is>
          <t>標高記号</t>
        </is>
      </c>
      <c r="L479" s="3" t="inlineStr">
        <is>
          <t>shuixzy</t>
        </is>
      </c>
      <c r="M479" s="3" t="inlineStr">
        <is>
          <t>GitHub: shuixzy/DB_CAD_Tools</t>
        </is>
      </c>
      <c r="N479" s="6" t="inlineStr">
        <is>
          <t>開く</t>
        </is>
      </c>
    </row>
    <row r="480">
      <c r="A480" s="2">
        <f>RANK(J480,$J$2:$J$656)</f>
        <v/>
      </c>
      <c r="B480" s="3" t="inlineStr">
        <is>
          <t>表・Excel連携</t>
        </is>
      </c>
      <c r="C480" s="3" t="inlineStr">
        <is>
          <t>-</t>
        </is>
      </c>
      <c r="D480" s="4" t="inlineStr">
        <is>
          <t>Excel表格到CAD示例</t>
        </is>
      </c>
      <c r="E480" s="4" t="inlineStr">
        <is>
          <t>Excelの表をCADに作図する例</t>
        </is>
      </c>
      <c r="F480" s="2" t="n">
        <v>10</v>
      </c>
      <c r="G480" s="2" t="n">
        <v>6</v>
      </c>
      <c r="H480" s="2" t="n">
        <v>10</v>
      </c>
      <c r="I480" s="2" t="n">
        <v>13</v>
      </c>
      <c r="J480" s="5">
        <f>SUM(F480:I480)</f>
        <v/>
      </c>
      <c r="K480" s="4" t="inlineStr">
        <is>
          <t>OLE/リンクで代替可</t>
        </is>
      </c>
      <c r="L480" s="3" t="inlineStr">
        <is>
          <t>efan2000</t>
        </is>
      </c>
      <c r="M480" s="3" t="inlineStr">
        <is>
          <t>明经CAD社区</t>
        </is>
      </c>
      <c r="N480" s="6" t="inlineStr">
        <is>
          <t>開く</t>
        </is>
      </c>
    </row>
    <row r="481">
      <c r="A481" s="2">
        <f>RANK(J481,$J$2:$J$656)</f>
        <v/>
      </c>
      <c r="B481" s="3" t="inlineStr">
        <is>
          <t>その他</t>
        </is>
      </c>
      <c r="C481" s="3" t="inlineStr">
        <is>
          <t>wte</t>
        </is>
      </c>
      <c r="D481" s="4" t="inlineStr">
        <is>
          <t>wte 窗口剪切删除</t>
        </is>
      </c>
      <c r="E481" s="4" t="inlineStr">
        <is>
          <t>窓内の図形を切り取り削除</t>
        </is>
      </c>
      <c r="F481" s="2" t="n">
        <v>8</v>
      </c>
      <c r="G481" s="2" t="n">
        <v>6</v>
      </c>
      <c r="H481" s="2" t="n">
        <v>10</v>
      </c>
      <c r="I481" s="2" t="n">
        <v>15</v>
      </c>
      <c r="J481" s="5">
        <f>SUM(F481:I481)</f>
        <v/>
      </c>
      <c r="K481" s="4" t="inlineStr">
        <is>
          <t>EXTRIM+削除</t>
        </is>
      </c>
      <c r="L481" s="3" t="inlineStr"/>
      <c r="M481" s="3" t="inlineStr">
        <is>
          <t>GitHub: zhugecaomao/AutoLISP</t>
        </is>
      </c>
      <c r="N481" s="6" t="inlineStr">
        <is>
          <t>開く</t>
        </is>
      </c>
    </row>
    <row r="482">
      <c r="A482" s="2">
        <f>RANK(J482,$J$2:$J$656)</f>
        <v/>
      </c>
      <c r="B482" s="3" t="inlineStr">
        <is>
          <t>座標・測量・土木</t>
        </is>
      </c>
      <c r="C482" s="3" t="inlineStr">
        <is>
          <t>zzBC</t>
        </is>
      </c>
      <c r="D482" s="4" t="inlineStr">
        <is>
          <t>zzBC 横断面高程标尺</t>
        </is>
      </c>
      <c r="E482" s="4" t="inlineStr">
        <is>
          <t>横断面図の標高スケールを作図</t>
        </is>
      </c>
      <c r="F482" s="2" t="n">
        <v>15</v>
      </c>
      <c r="G482" s="2" t="n">
        <v>6</v>
      </c>
      <c r="H482" s="2" t="n">
        <v>12</v>
      </c>
      <c r="I482" s="2" t="n">
        <v>6</v>
      </c>
      <c r="J482" s="5">
        <f>SUM(F482:I482)</f>
        <v/>
      </c>
      <c r="K482" s="4" t="inlineStr">
        <is>
          <t>標高スケール</t>
        </is>
      </c>
      <c r="L482" s="3" t="inlineStr">
        <is>
          <t>Qin-Dong</t>
        </is>
      </c>
      <c r="M482" s="3" t="inlineStr">
        <is>
          <t>GitHub: Qin-Dong/Construction-Surveying-Toolkit-For-AutoCAD</t>
        </is>
      </c>
      <c r="N482" s="6" t="inlineStr">
        <is>
          <t>開く</t>
        </is>
      </c>
    </row>
    <row r="483">
      <c r="A483" s="2">
        <f>RANK(J483,$J$2:$J$656)</f>
        <v/>
      </c>
      <c r="B483" s="3" t="inlineStr">
        <is>
          <t>その他</t>
        </is>
      </c>
      <c r="C483" s="3" t="inlineStr">
        <is>
          <t>-</t>
        </is>
      </c>
      <c r="D483" s="4" t="inlineStr">
        <is>
          <t>小鸟工具箱.Net</t>
        </is>
      </c>
      <c r="E483" s="4" t="inlineStr">
        <is>
          <t>交通工程向け.NET版ツール</t>
        </is>
      </c>
      <c r="F483" s="2" t="n">
        <v>14</v>
      </c>
      <c r="G483" s="2" t="n">
        <v>8</v>
      </c>
      <c r="H483" s="2" t="n">
        <v>12</v>
      </c>
      <c r="I483" s="2" t="n">
        <v>5</v>
      </c>
      <c r="J483" s="5">
        <f>SUM(F483:I483)</f>
        <v/>
      </c>
      <c r="K483" s="4" t="inlineStr">
        <is>
          <t>交通工程</t>
        </is>
      </c>
      <c r="L483" s="3" t="inlineStr">
        <is>
          <t>transteel</t>
        </is>
      </c>
      <c r="M483" s="3" t="inlineStr">
        <is>
          <t>明经CAD社区</t>
        </is>
      </c>
      <c r="N483" s="6" t="inlineStr">
        <is>
          <t>開く</t>
        </is>
      </c>
    </row>
    <row r="484">
      <c r="A484" s="2">
        <f>RANK(J484,$J$2:$J$656)</f>
        <v/>
      </c>
      <c r="B484" s="3" t="inlineStr">
        <is>
          <t>選択・絞り込み</t>
        </is>
      </c>
      <c r="C484" s="3" t="inlineStr">
        <is>
          <t>-</t>
        </is>
      </c>
      <c r="D484" s="4" t="inlineStr">
        <is>
          <t>带关键字及提示的SSGET</t>
        </is>
      </c>
      <c r="E484" s="4" t="inlineStr">
        <is>
          <t>キーワード・プロンプト付きssget関数</t>
        </is>
      </c>
      <c r="F484" s="2" t="n">
        <v>14</v>
      </c>
      <c r="G484" s="2" t="n">
        <v>12</v>
      </c>
      <c r="H484" s="2" t="n">
        <v>5</v>
      </c>
      <c r="I484" s="2" t="n">
        <v>8</v>
      </c>
      <c r="J484" s="5">
        <f>SUM(F484:I484)</f>
        <v/>
      </c>
      <c r="K484" s="4" t="inlineStr">
        <is>
          <t>開発用関数</t>
        </is>
      </c>
      <c r="L484" s="3" t="inlineStr">
        <is>
          <t>1028695446</t>
        </is>
      </c>
      <c r="M484" s="3" t="inlineStr">
        <is>
          <t>明经CAD社区</t>
        </is>
      </c>
      <c r="N484" s="6" t="inlineStr">
        <is>
          <t>開く</t>
        </is>
      </c>
    </row>
    <row r="485">
      <c r="A485" s="2">
        <f>RANK(J485,$J$2:$J$656)</f>
        <v/>
      </c>
      <c r="B485" s="3" t="inlineStr">
        <is>
          <t>文字・テキスト</t>
        </is>
      </c>
      <c r="C485" s="3" t="inlineStr">
        <is>
          <t>qxxz</t>
        </is>
      </c>
      <c r="D485" s="4" t="inlineStr">
        <is>
          <t>曲线写字</t>
        </is>
      </c>
      <c r="E485" s="4" t="inlineStr">
        <is>
          <t>曲線に沿って文字を配置</t>
        </is>
      </c>
      <c r="F485" s="2" t="n">
        <v>12</v>
      </c>
      <c r="G485" s="2" t="n">
        <v>8</v>
      </c>
      <c r="H485" s="2" t="n">
        <v>7</v>
      </c>
      <c r="I485" s="2" t="n">
        <v>12</v>
      </c>
      <c r="J485" s="5">
        <f>SUM(F485:I485)</f>
        <v/>
      </c>
      <c r="K485" s="4" t="inlineStr">
        <is>
          <t>曲線文字</t>
        </is>
      </c>
      <c r="L485" s="3" t="inlineStr"/>
      <c r="M485" s="3" t="inlineStr">
        <is>
          <t>GitHub: zhugecaomao/AutoLISP</t>
        </is>
      </c>
      <c r="N485" s="6" t="inlineStr">
        <is>
          <t>開く</t>
        </is>
      </c>
    </row>
    <row r="486">
      <c r="A486" s="2">
        <f>RANK(J486,$J$2:$J$656)</f>
        <v/>
      </c>
      <c r="B486" s="3" t="inlineStr">
        <is>
          <t>引出線・注記</t>
        </is>
      </c>
      <c r="C486" s="3" t="inlineStr">
        <is>
          <t>-</t>
        </is>
      </c>
      <c r="D486" s="4" t="inlineStr">
        <is>
          <t>画标高的程序</t>
        </is>
      </c>
      <c r="E486" s="4" t="inlineStr">
        <is>
          <t>標高記号と値を作図</t>
        </is>
      </c>
      <c r="F486" s="2" t="n">
        <v>12</v>
      </c>
      <c r="G486" s="2" t="n">
        <v>4</v>
      </c>
      <c r="H486" s="2" t="n">
        <v>13</v>
      </c>
      <c r="I486" s="2" t="n">
        <v>10</v>
      </c>
      <c r="J486" s="5">
        <f>SUM(F486:I486)</f>
        <v/>
      </c>
      <c r="K486" s="4" t="inlineStr">
        <is>
          <t>標高記号</t>
        </is>
      </c>
      <c r="L486" s="3" t="inlineStr">
        <is>
          <t>zhynt</t>
        </is>
      </c>
      <c r="M486" s="3" t="inlineStr">
        <is>
          <t>明经CAD社区</t>
        </is>
      </c>
      <c r="N486" s="6" t="inlineStr">
        <is>
          <t>開く</t>
        </is>
      </c>
    </row>
    <row r="487">
      <c r="A487" s="2">
        <f>RANK(J487,$J$2:$J$656)</f>
        <v/>
      </c>
      <c r="B487" s="3" t="inlineStr">
        <is>
          <t>その他</t>
        </is>
      </c>
      <c r="C487" s="3" t="inlineStr">
        <is>
          <t>相逢泰山工具箱</t>
        </is>
      </c>
      <c r="D487" s="4" t="inlineStr">
        <is>
          <t>相逢泰山工具箱</t>
        </is>
      </c>
      <c r="E487" s="4" t="inlineStr">
        <is>
          <t>作者常用の汎用ツール集</t>
        </is>
      </c>
      <c r="F487" s="2" t="n">
        <v>8</v>
      </c>
      <c r="G487" s="2" t="n">
        <v>6</v>
      </c>
      <c r="H487" s="2" t="n">
        <v>10</v>
      </c>
      <c r="I487" s="2" t="n">
        <v>15</v>
      </c>
      <c r="J487" s="5">
        <f>SUM(F487:I487)</f>
        <v/>
      </c>
      <c r="K487" s="4" t="inlineStr">
        <is>
          <t>汎用ツール集</t>
        </is>
      </c>
      <c r="L487" s="3" t="inlineStr">
        <is>
          <t>xj6019</t>
        </is>
      </c>
      <c r="M487" s="3" t="inlineStr">
        <is>
          <t>@lisp 应用云</t>
        </is>
      </c>
      <c r="N487" s="6" t="inlineStr">
        <is>
          <t>開く</t>
        </is>
      </c>
    </row>
    <row r="488">
      <c r="A488" s="2">
        <f>RANK(J488,$J$2:$J$656)</f>
        <v/>
      </c>
      <c r="B488" s="3" t="inlineStr">
        <is>
          <t>構造・鉄骨・機械</t>
        </is>
      </c>
      <c r="C488" s="3" t="inlineStr">
        <is>
          <t>装配式板</t>
        </is>
      </c>
      <c r="D488" s="4" t="inlineStr">
        <is>
          <t>装配式</t>
        </is>
      </c>
      <c r="E488" s="4" t="inlineStr">
        <is>
          <t>PC床版の作図ツール</t>
        </is>
      </c>
      <c r="F488" s="2" t="n">
        <v>15</v>
      </c>
      <c r="G488" s="2" t="n">
        <v>8</v>
      </c>
      <c r="H488" s="2" t="n">
        <v>12</v>
      </c>
      <c r="I488" s="2" t="n">
        <v>4</v>
      </c>
      <c r="J488" s="5">
        <f>SUM(F488:I488)</f>
        <v/>
      </c>
      <c r="K488" s="4" t="inlineStr">
        <is>
          <t>PC版専用</t>
        </is>
      </c>
      <c r="L488" s="3" t="inlineStr">
        <is>
          <t>VitalGG</t>
        </is>
      </c>
      <c r="M488" s="3" t="inlineStr">
        <is>
          <t>@lisp 应用云</t>
        </is>
      </c>
      <c r="N488" s="6" t="inlineStr">
        <is>
          <t>開く</t>
        </is>
      </c>
    </row>
    <row r="489">
      <c r="A489" s="2">
        <f>RANK(J489,$J$2:$J$656)</f>
        <v/>
      </c>
      <c r="B489" s="3" t="inlineStr">
        <is>
          <t>構造・鉄骨・機械</t>
        </is>
      </c>
      <c r="C489" s="3" t="inlineStr">
        <is>
          <t>画点钢筋/画箍筋</t>
        </is>
      </c>
      <c r="D489" s="4" t="inlineStr">
        <is>
          <t>钢筋绘制 (@lisp结构)</t>
        </is>
      </c>
      <c r="E489" s="4" t="inlineStr">
        <is>
          <t>点鉄筋・鉄筋列・フープを作図</t>
        </is>
      </c>
      <c r="F489" s="2" t="n">
        <v>16</v>
      </c>
      <c r="G489" s="2" t="n">
        <v>6</v>
      </c>
      <c r="H489" s="2" t="n">
        <v>11</v>
      </c>
      <c r="I489" s="2" t="n">
        <v>6</v>
      </c>
      <c r="J489" s="5">
        <f>SUM(F489:I489)</f>
        <v/>
      </c>
      <c r="K489" s="4" t="inlineStr">
        <is>
          <t>RC配筋作図</t>
        </is>
      </c>
      <c r="L489" s="3" t="inlineStr">
        <is>
          <t>VitalGG</t>
        </is>
      </c>
      <c r="M489" s="3" t="inlineStr">
        <is>
          <t>@lisp 应用云</t>
        </is>
      </c>
      <c r="N489" s="6" t="inlineStr">
        <is>
          <t>開く</t>
        </is>
      </c>
    </row>
    <row r="490">
      <c r="A490" s="2">
        <f>RANK(J490,$J$2:$J$656)</f>
        <v/>
      </c>
      <c r="B490" s="3" t="inlineStr">
        <is>
          <t>引出線・注記</t>
        </is>
      </c>
      <c r="C490" s="3" t="inlineStr">
        <is>
          <t>BALLOON</t>
        </is>
      </c>
      <c r="D490" s="4" t="inlineStr">
        <is>
          <t>BALLOON 批量圆圈编号</t>
        </is>
      </c>
      <c r="E490" s="4" t="inlineStr">
        <is>
          <t>丸バルーン番号を自動増分で配置</t>
        </is>
      </c>
      <c r="F490" s="2" t="n">
        <v>10</v>
      </c>
      <c r="G490" s="2" t="n">
        <v>4</v>
      </c>
      <c r="H490" s="2" t="n">
        <v>12</v>
      </c>
      <c r="I490" s="2" t="n">
        <v>12</v>
      </c>
      <c r="J490" s="5">
        <f>SUM(F490:I490)</f>
        <v/>
      </c>
      <c r="K490" s="4" t="inlineStr">
        <is>
          <t>バルーン採番</t>
        </is>
      </c>
      <c r="L490" s="3" t="inlineStr">
        <is>
          <t>ch5721032-arch</t>
        </is>
      </c>
      <c r="M490" s="3" t="inlineStr">
        <is>
          <t>GitHub: ch5721032-arch/gstarcad-annotation-tools</t>
        </is>
      </c>
      <c r="N490" s="6" t="inlineStr">
        <is>
          <t>開く</t>
        </is>
      </c>
    </row>
    <row r="491">
      <c r="A491" s="2">
        <f>RANK(J491,$J$2:$J$656)</f>
        <v/>
      </c>
      <c r="B491" s="3" t="inlineStr">
        <is>
          <t>その他</t>
        </is>
      </c>
      <c r="C491" s="3" t="inlineStr">
        <is>
          <t>-</t>
        </is>
      </c>
      <c r="D491" s="4" t="inlineStr">
        <is>
          <t>CAD全能工具箱</t>
        </is>
      </c>
      <c r="E491" s="4" t="inlineStr">
        <is>
          <t>汎用ツール箱</t>
        </is>
      </c>
      <c r="F491" s="2" t="n">
        <v>8</v>
      </c>
      <c r="G491" s="2" t="n">
        <v>6</v>
      </c>
      <c r="H491" s="2" t="n">
        <v>10</v>
      </c>
      <c r="I491" s="2" t="n">
        <v>14</v>
      </c>
      <c r="J491" s="5">
        <f>SUM(F491:I491)</f>
        <v/>
      </c>
      <c r="K491" s="4" t="inlineStr">
        <is>
          <t>ツール集</t>
        </is>
      </c>
      <c r="L491" s="3" t="inlineStr">
        <is>
          <t>棉花糖_one</t>
        </is>
      </c>
      <c r="M491" s="3" t="inlineStr">
        <is>
          <t>明经CAD社区</t>
        </is>
      </c>
      <c r="N491" s="6" t="inlineStr">
        <is>
          <t>開く</t>
        </is>
      </c>
    </row>
    <row r="492">
      <c r="A492" s="2">
        <f>RANK(J492,$J$2:$J$656)</f>
        <v/>
      </c>
      <c r="B492" s="3" t="inlineStr">
        <is>
          <t>引出線・注記</t>
        </is>
      </c>
      <c r="C492" s="3" t="inlineStr">
        <is>
          <t>DYCY</t>
        </is>
      </c>
      <c r="D492" s="4" t="inlineStr">
        <is>
          <t>dycy 标注序号</t>
        </is>
      </c>
      <c r="E492" s="4" t="inlineStr">
        <is>
          <t>部品番号を注記</t>
        </is>
      </c>
      <c r="F492" s="2" t="n">
        <v>10</v>
      </c>
      <c r="G492" s="2" t="n">
        <v>4</v>
      </c>
      <c r="H492" s="2" t="n">
        <v>12</v>
      </c>
      <c r="I492" s="2" t="n">
        <v>12</v>
      </c>
      <c r="J492" s="5">
        <f>SUM(F492:I492)</f>
        <v/>
      </c>
      <c r="K492" s="4" t="inlineStr">
        <is>
          <t>部品番号</t>
        </is>
      </c>
      <c r="L492" s="3" t="inlineStr"/>
      <c r="M492" s="3" t="inlineStr">
        <is>
          <t>GitHub: zhugecaomao/AutoLISP</t>
        </is>
      </c>
      <c r="N492" s="6" t="inlineStr">
        <is>
          <t>開く</t>
        </is>
      </c>
    </row>
    <row r="493">
      <c r="A493" s="2">
        <f>RANK(J493,$J$2:$J$656)</f>
        <v/>
      </c>
      <c r="B493" s="3" t="inlineStr">
        <is>
          <t>座標・測量・土木</t>
        </is>
      </c>
      <c r="C493" s="3" t="inlineStr">
        <is>
          <t>fw</t>
        </is>
      </c>
      <c r="D493" s="4" t="inlineStr">
        <is>
          <t>FW 标注方位角</t>
        </is>
      </c>
      <c r="E493" s="4" t="inlineStr">
        <is>
          <t>線の方位角を注記</t>
        </is>
      </c>
      <c r="F493" s="2" t="n">
        <v>14</v>
      </c>
      <c r="G493" s="2" t="n">
        <v>6</v>
      </c>
      <c r="H493" s="2" t="n">
        <v>10</v>
      </c>
      <c r="I493" s="2" t="n">
        <v>8</v>
      </c>
      <c r="J493" s="5">
        <f>SUM(F493:I493)</f>
        <v/>
      </c>
      <c r="K493" s="4" t="inlineStr">
        <is>
          <t>方位角注記</t>
        </is>
      </c>
      <c r="L493" s="3" t="inlineStr"/>
      <c r="M493" s="3" t="inlineStr">
        <is>
          <t>GitHub: zhugecaomao/AutoLISP</t>
        </is>
      </c>
      <c r="N493" s="6" t="inlineStr">
        <is>
          <t>開く</t>
        </is>
      </c>
    </row>
    <row r="494">
      <c r="A494" s="2">
        <f>RANK(J494,$J$2:$J$656)</f>
        <v/>
      </c>
      <c r="B494" s="3" t="inlineStr">
        <is>
          <t>文字・テキスト</t>
        </is>
      </c>
      <c r="C494" s="3" t="inlineStr">
        <is>
          <t>JK_TextEllipse</t>
        </is>
      </c>
      <c r="D494" s="4" t="inlineStr">
        <is>
          <t>JK_TextEllipse 文字套椭圆</t>
        </is>
      </c>
      <c r="E494" s="4" t="inlineStr">
        <is>
          <t>文字中心に固定サイズの楕円を付加</t>
        </is>
      </c>
      <c r="F494" s="2" t="n">
        <v>12</v>
      </c>
      <c r="G494" s="2" t="n">
        <v>6</v>
      </c>
      <c r="H494" s="2" t="n">
        <v>10</v>
      </c>
      <c r="I494" s="2" t="n">
        <v>10</v>
      </c>
      <c r="J494" s="5">
        <f>SUM(F494:I494)</f>
        <v/>
      </c>
      <c r="K494" s="4" t="inlineStr">
        <is>
          <t>文字囲み</t>
        </is>
      </c>
      <c r="L494" s="3" t="inlineStr">
        <is>
          <t>ixsouler</t>
        </is>
      </c>
      <c r="M494" s="3" t="inlineStr">
        <is>
          <t>GitHub: ixsouler/JK_Toolbox</t>
        </is>
      </c>
      <c r="N494" s="6" t="inlineStr">
        <is>
          <t>開く</t>
        </is>
      </c>
    </row>
    <row r="495">
      <c r="A495" s="2">
        <f>RANK(J495,$J$2:$J$656)</f>
        <v/>
      </c>
      <c r="B495" s="3" t="inlineStr">
        <is>
          <t>LISP開発用の部品</t>
        </is>
      </c>
      <c r="C495" s="3" t="inlineStr">
        <is>
          <t>-</t>
        </is>
      </c>
      <c r="D495" s="4" t="inlineStr">
        <is>
          <t>svg/base64/crypto</t>
        </is>
      </c>
      <c r="E495" s="4" t="inlineStr">
        <is>
          <t>図元→SVG出力・Base64・MD5</t>
        </is>
      </c>
      <c r="F495" s="2" t="n">
        <v>14</v>
      </c>
      <c r="G495" s="2" t="n">
        <v>12</v>
      </c>
      <c r="H495" s="2" t="n">
        <v>3</v>
      </c>
      <c r="I495" s="2" t="n">
        <v>9</v>
      </c>
      <c r="J495" s="5">
        <f>SUM(F495:I495)</f>
        <v/>
      </c>
      <c r="K495" s="4" t="inlineStr">
        <is>
          <t>SVG書出しが独自</t>
        </is>
      </c>
      <c r="L495" s="3" t="inlineStr">
        <is>
          <t>VitalGG</t>
        </is>
      </c>
      <c r="M495" s="3" t="inlineStr">
        <is>
          <t>GitHub: atlisp-org/atlisp-lib</t>
        </is>
      </c>
      <c r="N495" s="6" t="inlineStr">
        <is>
          <t>開く</t>
        </is>
      </c>
    </row>
    <row r="496">
      <c r="A496" s="2">
        <f>RANK(J496,$J$2:$J$656)</f>
        <v/>
      </c>
      <c r="B496" s="3" t="inlineStr">
        <is>
          <t>作図</t>
        </is>
      </c>
      <c r="C496" s="3" t="inlineStr">
        <is>
          <t>szdx</t>
        </is>
      </c>
      <c r="D496" s="4" t="inlineStr">
        <is>
          <t>szdx 双折断线</t>
        </is>
      </c>
      <c r="E496" s="4" t="inlineStr">
        <is>
          <t>二重破断線を作図</t>
        </is>
      </c>
      <c r="F496" s="2" t="n">
        <v>10</v>
      </c>
      <c r="G496" s="2" t="n">
        <v>4</v>
      </c>
      <c r="H496" s="2" t="n">
        <v>10</v>
      </c>
      <c r="I496" s="2" t="n">
        <v>14</v>
      </c>
      <c r="J496" s="5">
        <f>SUM(F496:I496)</f>
        <v/>
      </c>
      <c r="K496" s="4" t="inlineStr">
        <is>
          <t>破断線</t>
        </is>
      </c>
      <c r="L496" s="3" t="inlineStr">
        <is>
          <t>shuixzy</t>
        </is>
      </c>
      <c r="M496" s="3" t="inlineStr">
        <is>
          <t>GitHub: shuixzy/DB_CAD_Tools</t>
        </is>
      </c>
      <c r="N496" s="6" t="inlineStr">
        <is>
          <t>開く</t>
        </is>
      </c>
    </row>
    <row r="497">
      <c r="A497" s="2">
        <f>RANK(J497,$J$2:$J$656)</f>
        <v/>
      </c>
      <c r="B497" s="3" t="inlineStr">
        <is>
          <t>座標・測量・土木</t>
        </is>
      </c>
      <c r="C497" s="3" t="inlineStr">
        <is>
          <t>Mel1/Mel2</t>
        </is>
      </c>
      <c r="D497" s="4" t="inlineStr">
        <is>
          <t>UCAD 高程传递</t>
        </is>
      </c>
      <c r="E497" s="4" t="inlineStr">
        <is>
          <t>線間で標高(Elevation)を受け渡し</t>
        </is>
      </c>
      <c r="F497" s="2" t="n">
        <v>14</v>
      </c>
      <c r="G497" s="2" t="n">
        <v>8</v>
      </c>
      <c r="H497" s="2" t="n">
        <v>10</v>
      </c>
      <c r="I497" s="2" t="n">
        <v>6</v>
      </c>
      <c r="J497" s="5">
        <f>SUM(F497:I497)</f>
        <v/>
      </c>
      <c r="K497" s="4" t="inlineStr">
        <is>
          <t>等高線標高付与</t>
        </is>
      </c>
      <c r="L497" s="3" t="inlineStr"/>
      <c r="M497" s="3" t="inlineStr">
        <is>
          <t>GitHub: zhugecaomao/AutoLISP</t>
        </is>
      </c>
      <c r="N497" s="6" t="inlineStr">
        <is>
          <t>開く</t>
        </is>
      </c>
    </row>
    <row r="498">
      <c r="A498" s="2">
        <f>RANK(J498,$J$2:$J$656)</f>
        <v/>
      </c>
      <c r="B498" s="3" t="inlineStr">
        <is>
          <t>建築</t>
        </is>
      </c>
      <c r="C498" s="3" t="inlineStr">
        <is>
          <t>xqj/xqx</t>
        </is>
      </c>
      <c r="D498" s="4" t="inlineStr">
        <is>
          <t>xqj 修墙线</t>
        </is>
      </c>
      <c r="E498" s="4" t="inlineStr">
        <is>
          <t>壁線の交差部を修正</t>
        </is>
      </c>
      <c r="F498" s="2" t="n">
        <v>12</v>
      </c>
      <c r="G498" s="2" t="n">
        <v>6</v>
      </c>
      <c r="H498" s="2" t="n">
        <v>12</v>
      </c>
      <c r="I498" s="2" t="n">
        <v>8</v>
      </c>
      <c r="J498" s="5">
        <f>SUM(F498:I498)</f>
        <v/>
      </c>
      <c r="K498" s="4" t="inlineStr">
        <is>
          <t>壁線整理</t>
        </is>
      </c>
      <c r="L498" s="3" t="inlineStr">
        <is>
          <t>shuixzy</t>
        </is>
      </c>
      <c r="M498" s="3" t="inlineStr">
        <is>
          <t>GitHub: shuixzy/DB_CAD_Tools</t>
        </is>
      </c>
      <c r="N498" s="6" t="inlineStr">
        <is>
          <t>開く</t>
        </is>
      </c>
    </row>
    <row r="499">
      <c r="A499" s="2">
        <f>RANK(J499,$J$2:$J$656)</f>
        <v/>
      </c>
      <c r="B499" s="3" t="inlineStr">
        <is>
          <t>座標・測量・土木</t>
        </is>
      </c>
      <c r="C499" s="3" t="inlineStr">
        <is>
          <t>zz</t>
        </is>
      </c>
      <c r="D499" s="4" t="inlineStr">
        <is>
          <t>Z 修改地形线高程值</t>
        </is>
      </c>
      <c r="E499" s="4" t="inlineStr">
        <is>
          <t>地形線の標高値を修正</t>
        </is>
      </c>
      <c r="F499" s="2" t="n">
        <v>14</v>
      </c>
      <c r="G499" s="2" t="n">
        <v>6</v>
      </c>
      <c r="H499" s="2" t="n">
        <v>12</v>
      </c>
      <c r="I499" s="2" t="n">
        <v>6</v>
      </c>
      <c r="J499" s="5">
        <f>SUM(F499:I499)</f>
        <v/>
      </c>
      <c r="K499" s="4" t="inlineStr">
        <is>
          <t>等高線標高</t>
        </is>
      </c>
      <c r="L499" s="3" t="inlineStr"/>
      <c r="M499" s="3" t="inlineStr">
        <is>
          <t>GitHub: zhugecaomao/AutoLISP</t>
        </is>
      </c>
      <c r="N499" s="6" t="inlineStr">
        <is>
          <t>開く</t>
        </is>
      </c>
    </row>
    <row r="500">
      <c r="A500" s="2">
        <f>RANK(J500,$J$2:$J$656)</f>
        <v/>
      </c>
      <c r="B500" s="3" t="inlineStr">
        <is>
          <t>座標・測量・土木</t>
        </is>
      </c>
      <c r="C500" s="3" t="inlineStr">
        <is>
          <t>zzElevCorrecting</t>
        </is>
      </c>
      <c r="D500" s="4" t="inlineStr">
        <is>
          <t>zzElevCorrecting 高程修正</t>
        </is>
      </c>
      <c r="E500" s="4" t="inlineStr">
        <is>
          <t>標高点の値を一括補正</t>
        </is>
      </c>
      <c r="F500" s="2" t="n">
        <v>14</v>
      </c>
      <c r="G500" s="2" t="n">
        <v>6</v>
      </c>
      <c r="H500" s="2" t="n">
        <v>12</v>
      </c>
      <c r="I500" s="2" t="n">
        <v>6</v>
      </c>
      <c r="J500" s="5">
        <f>SUM(F500:I500)</f>
        <v/>
      </c>
      <c r="K500" s="4" t="inlineStr">
        <is>
          <t>標高補正</t>
        </is>
      </c>
      <c r="L500" s="3" t="inlineStr">
        <is>
          <t>Qin-Dong</t>
        </is>
      </c>
      <c r="M500" s="3" t="inlineStr">
        <is>
          <t>GitHub: Qin-Dong/Construction-Surveying-Toolkit-For-AutoCAD</t>
        </is>
      </c>
      <c r="N500" s="6" t="inlineStr">
        <is>
          <t>開く</t>
        </is>
      </c>
    </row>
    <row r="501">
      <c r="A501" s="2">
        <f>RANK(J501,$J$2:$J$656)</f>
        <v/>
      </c>
      <c r="B501" s="3" t="inlineStr">
        <is>
          <t>構造・鉄骨・機械</t>
        </is>
      </c>
      <c r="C501" s="3" t="inlineStr">
        <is>
          <t>-</t>
        </is>
      </c>
      <c r="D501" s="4" t="inlineStr">
        <is>
          <t>五金模具LISP</t>
        </is>
      </c>
      <c r="E501" s="4" t="inlineStr">
        <is>
          <t>金型設計用のLISPツール群</t>
        </is>
      </c>
      <c r="F501" s="2" t="n">
        <v>14</v>
      </c>
      <c r="G501" s="2" t="n">
        <v>8</v>
      </c>
      <c r="H501" s="2" t="n">
        <v>12</v>
      </c>
      <c r="I501" s="2" t="n">
        <v>4</v>
      </c>
      <c r="J501" s="5">
        <f>SUM(F501:I501)</f>
        <v/>
      </c>
      <c r="K501" s="4" t="inlineStr">
        <is>
          <t>金型専用</t>
        </is>
      </c>
      <c r="L501" s="3" t="inlineStr">
        <is>
          <t>新新小兵</t>
        </is>
      </c>
      <c r="M501" s="3" t="inlineStr">
        <is>
          <t>明经CAD社区</t>
        </is>
      </c>
      <c r="N501" s="6" t="inlineStr">
        <is>
          <t>開く</t>
        </is>
      </c>
    </row>
    <row r="502">
      <c r="A502" s="2">
        <f>RANK(J502,$J$2:$J$656)</f>
        <v/>
      </c>
      <c r="B502" s="3" t="inlineStr">
        <is>
          <t>構造・鉄骨・機械</t>
        </is>
      </c>
      <c r="C502" s="3" t="inlineStr">
        <is>
          <t>删除牙孔</t>
        </is>
      </c>
      <c r="D502" s="4" t="inlineStr">
        <is>
          <t>删除牙孔</t>
        </is>
      </c>
      <c r="E502" s="4" t="inlineStr">
        <is>
          <t>ねじ穴と中心線を一括削除</t>
        </is>
      </c>
      <c r="F502" s="2" t="n">
        <v>15</v>
      </c>
      <c r="G502" s="2" t="n">
        <v>8</v>
      </c>
      <c r="H502" s="2" t="n">
        <v>10</v>
      </c>
      <c r="I502" s="2" t="n">
        <v>5</v>
      </c>
      <c r="J502" s="5">
        <f>SUM(F502:I502)</f>
        <v/>
      </c>
      <c r="K502" s="4" t="inlineStr">
        <is>
          <t>加工図の簡略化</t>
        </is>
      </c>
      <c r="L502" s="3" t="inlineStr">
        <is>
          <t>VitalGG</t>
        </is>
      </c>
      <c r="M502" s="3" t="inlineStr">
        <is>
          <t>@lisp 应用云</t>
        </is>
      </c>
      <c r="N502" s="6" t="inlineStr">
        <is>
          <t>開く</t>
        </is>
      </c>
    </row>
    <row r="503">
      <c r="A503" s="2">
        <f>RANK(J503,$J$2:$J$656)</f>
        <v/>
      </c>
      <c r="B503" s="3" t="inlineStr">
        <is>
          <t>ハッチ・面積・長さ集計</t>
        </is>
      </c>
      <c r="C503" s="3" t="inlineStr">
        <is>
          <t>-</t>
        </is>
      </c>
      <c r="D503" s="4" t="inlineStr">
        <is>
          <t>单一求面域形心并做标志</t>
        </is>
      </c>
      <c r="E503" s="4" t="inlineStr">
        <is>
          <t>リージョンの図心を求め印を付ける</t>
        </is>
      </c>
      <c r="F503" s="2" t="n">
        <v>12</v>
      </c>
      <c r="G503" s="2" t="n">
        <v>6</v>
      </c>
      <c r="H503" s="2" t="n">
        <v>8</v>
      </c>
      <c r="I503" s="2" t="n">
        <v>12</v>
      </c>
      <c r="J503" s="5">
        <f>SUM(F503:I503)</f>
        <v/>
      </c>
      <c r="K503" s="4" t="inlineStr">
        <is>
          <t>図心表示</t>
        </is>
      </c>
      <c r="L503" s="3" t="inlineStr">
        <is>
          <t>fuweihua</t>
        </is>
      </c>
      <c r="M503" s="3" t="inlineStr">
        <is>
          <t>明经CAD社区</t>
        </is>
      </c>
      <c r="N503" s="6" t="inlineStr">
        <is>
          <t>開く</t>
        </is>
      </c>
    </row>
    <row r="504">
      <c r="A504" s="2">
        <f>RANK(J504,$J$2:$J$656)</f>
        <v/>
      </c>
      <c r="B504" s="3" t="inlineStr">
        <is>
          <t>構造・鉄骨・機械</t>
        </is>
      </c>
      <c r="C504" s="3" t="inlineStr">
        <is>
          <t>XCK</t>
        </is>
      </c>
      <c r="D504" s="4" t="inlineStr">
        <is>
          <t>型材截面快速绘制</t>
        </is>
      </c>
      <c r="E504" s="4" t="inlineStr">
        <is>
          <t>形材断面を素早く作図</t>
        </is>
      </c>
      <c r="F504" s="2" t="n">
        <v>14</v>
      </c>
      <c r="G504" s="2" t="n">
        <v>6</v>
      </c>
      <c r="H504" s="2" t="n">
        <v>12</v>
      </c>
      <c r="I504" s="2" t="n">
        <v>6</v>
      </c>
      <c r="J504" s="5">
        <f>SUM(F504:I504)</f>
        <v/>
      </c>
      <c r="K504" s="4" t="inlineStr">
        <is>
          <t>形材作図</t>
        </is>
      </c>
      <c r="L504" s="3" t="inlineStr">
        <is>
          <t>Klein</t>
        </is>
      </c>
      <c r="M504" s="3" t="inlineStr">
        <is>
          <t>明经CAD社区</t>
        </is>
      </c>
      <c r="N504" s="6" t="inlineStr">
        <is>
          <t>開く</t>
        </is>
      </c>
    </row>
    <row r="505">
      <c r="A505" s="2">
        <f>RANK(J505,$J$2:$J$656)</f>
        <v/>
      </c>
      <c r="B505" s="3" t="inlineStr">
        <is>
          <t>その他</t>
        </is>
      </c>
      <c r="C505" s="3" t="inlineStr">
        <is>
          <t>-</t>
        </is>
      </c>
      <c r="D505" s="4" t="inlineStr">
        <is>
          <t>墨鱼工具箱</t>
        </is>
      </c>
      <c r="E505" s="4" t="inlineStr">
        <is>
          <t>作図・修正・寸法・ブロック・文字の工具箱</t>
        </is>
      </c>
      <c r="F505" s="2" t="n">
        <v>8</v>
      </c>
      <c r="G505" s="2" t="n">
        <v>6</v>
      </c>
      <c r="H505" s="2" t="n">
        <v>10</v>
      </c>
      <c r="I505" s="2" t="n">
        <v>14</v>
      </c>
      <c r="J505" s="5">
        <f>SUM(F505:I505)</f>
        <v/>
      </c>
      <c r="K505" s="4" t="inlineStr">
        <is>
          <t>ツール集</t>
        </is>
      </c>
      <c r="L505" s="3" t="inlineStr">
        <is>
          <t>wjnnan</t>
        </is>
      </c>
      <c r="M505" s="3" t="inlineStr">
        <is>
          <t>GitHub: wjnnan/03-AutoCAD-lis</t>
        </is>
      </c>
      <c r="N505" s="6" t="inlineStr">
        <is>
          <t>開く</t>
        </is>
      </c>
    </row>
    <row r="506">
      <c r="A506" s="2">
        <f>RANK(J506,$J$2:$J$656)</f>
        <v/>
      </c>
      <c r="B506" s="3" t="inlineStr">
        <is>
          <t>引出線・注記</t>
        </is>
      </c>
      <c r="C506" s="3" t="inlineStr">
        <is>
          <t>-</t>
        </is>
      </c>
      <c r="D506" s="4" t="inlineStr">
        <is>
          <t>多重引线合集（源码）</t>
        </is>
      </c>
      <c r="E506" s="4" t="inlineStr">
        <is>
          <t>マルチ引出線関連ルーチン集</t>
        </is>
      </c>
      <c r="F506" s="2" t="n">
        <v>8</v>
      </c>
      <c r="G506" s="2" t="n">
        <v>6</v>
      </c>
      <c r="H506" s="2" t="n">
        <v>10</v>
      </c>
      <c r="I506" s="2" t="n">
        <v>14</v>
      </c>
      <c r="J506" s="5">
        <f>SUM(F506:I506)</f>
        <v/>
      </c>
      <c r="K506" s="4" t="inlineStr">
        <is>
          <t>MLEADER補助</t>
        </is>
      </c>
      <c r="L506" s="3" t="inlineStr">
        <is>
          <t>天天问</t>
        </is>
      </c>
      <c r="M506" s="3" t="inlineStr">
        <is>
          <t>明经CAD社区</t>
        </is>
      </c>
      <c r="N506" s="6" t="inlineStr">
        <is>
          <t>開く</t>
        </is>
      </c>
    </row>
    <row r="507">
      <c r="A507" s="2">
        <f>RANK(J507,$J$2:$J$656)</f>
        <v/>
      </c>
      <c r="B507" s="3" t="inlineStr">
        <is>
          <t>その他</t>
        </is>
      </c>
      <c r="C507" s="3" t="inlineStr">
        <is>
          <t>-</t>
        </is>
      </c>
      <c r="D507" s="4" t="inlineStr">
        <is>
          <t>小小工具集(含源码)</t>
        </is>
      </c>
      <c r="E507" s="4" t="inlineStr">
        <is>
          <t>汎用小ツール集（ソース付）</t>
        </is>
      </c>
      <c r="F507" s="2" t="n">
        <v>8</v>
      </c>
      <c r="G507" s="2" t="n">
        <v>6</v>
      </c>
      <c r="H507" s="2" t="n">
        <v>10</v>
      </c>
      <c r="I507" s="2" t="n">
        <v>14</v>
      </c>
      <c r="J507" s="5">
        <f>SUM(F507:I507)</f>
        <v/>
      </c>
      <c r="K507" s="4" t="inlineStr">
        <is>
          <t>小ツール集</t>
        </is>
      </c>
      <c r="L507" s="3" t="inlineStr">
        <is>
          <t>guangdonglbq</t>
        </is>
      </c>
      <c r="M507" s="3" t="inlineStr">
        <is>
          <t>明经CAD社区</t>
        </is>
      </c>
      <c r="N507" s="6" t="inlineStr">
        <is>
          <t>開く</t>
        </is>
      </c>
    </row>
    <row r="508">
      <c r="A508" s="2">
        <f>RANK(J508,$J$2:$J$656)</f>
        <v/>
      </c>
      <c r="B508" s="3" t="inlineStr">
        <is>
          <t>その他</t>
        </is>
      </c>
      <c r="C508" s="3" t="inlineStr">
        <is>
          <t>-</t>
        </is>
      </c>
      <c r="D508" s="4" t="inlineStr">
        <is>
          <t>工具箱源码</t>
        </is>
      </c>
      <c r="E508" s="4" t="inlineStr">
        <is>
          <t>汎用ツール箱のソース公開</t>
        </is>
      </c>
      <c r="F508" s="2" t="n">
        <v>8</v>
      </c>
      <c r="G508" s="2" t="n">
        <v>6</v>
      </c>
      <c r="H508" s="2" t="n">
        <v>10</v>
      </c>
      <c r="I508" s="2" t="n">
        <v>14</v>
      </c>
      <c r="J508" s="5">
        <f>SUM(F508:I508)</f>
        <v/>
      </c>
      <c r="K508" s="4" t="inlineStr">
        <is>
          <t>ソース学習用</t>
        </is>
      </c>
      <c r="L508" s="3" t="inlineStr">
        <is>
          <t>LUX1125</t>
        </is>
      </c>
      <c r="M508" s="3" t="inlineStr">
        <is>
          <t>明经CAD社区</t>
        </is>
      </c>
      <c r="N508" s="6" t="inlineStr">
        <is>
          <t>開く</t>
        </is>
      </c>
    </row>
    <row r="509">
      <c r="A509" s="2">
        <f>RANK(J509,$J$2:$J$656)</f>
        <v/>
      </c>
      <c r="B509" s="3" t="inlineStr">
        <is>
          <t>構造・鉄骨・機械</t>
        </is>
      </c>
      <c r="C509" s="3" t="inlineStr">
        <is>
          <t>JZM/XBA</t>
        </is>
      </c>
      <c r="D509" s="4" t="inlineStr">
        <is>
          <t>工装绘图（基准模/凹凸模）</t>
        </is>
      </c>
      <c r="E509" s="4" t="inlineStr">
        <is>
          <t>治具の基準型・凹凸型を寸法入力で作図</t>
        </is>
      </c>
      <c r="F509" s="2" t="n">
        <v>16</v>
      </c>
      <c r="G509" s="2" t="n">
        <v>8</v>
      </c>
      <c r="H509" s="2" t="n">
        <v>12</v>
      </c>
      <c r="I509" s="2" t="n">
        <v>2</v>
      </c>
      <c r="J509" s="5">
        <f>SUM(F509:I509)</f>
        <v/>
      </c>
      <c r="K509" s="4" t="inlineStr">
        <is>
          <t>特定治具</t>
        </is>
      </c>
      <c r="L509" s="3" t="inlineStr">
        <is>
          <t>dailei-code</t>
        </is>
      </c>
      <c r="M509" s="3" t="inlineStr">
        <is>
          <t>GitHub: dailei-code/autocad-autolisp-tooling</t>
        </is>
      </c>
      <c r="N509" s="6" t="inlineStr">
        <is>
          <t>開く</t>
        </is>
      </c>
    </row>
    <row r="510">
      <c r="A510" s="2">
        <f>RANK(J510,$J$2:$J$656)</f>
        <v/>
      </c>
      <c r="B510" s="3" t="inlineStr">
        <is>
          <t>寸法</t>
        </is>
      </c>
      <c r="C510" s="3" t="inlineStr">
        <is>
          <t>-</t>
        </is>
      </c>
      <c r="D510" s="4" t="inlineStr">
        <is>
          <t>弧长连续标注</t>
        </is>
      </c>
      <c r="E510" s="4" t="inlineStr">
        <is>
          <t>円弧の弧長を連続記入</t>
        </is>
      </c>
      <c r="F510" s="2" t="n">
        <v>14</v>
      </c>
      <c r="G510" s="2" t="n">
        <v>6</v>
      </c>
      <c r="H510" s="2" t="n">
        <v>8</v>
      </c>
      <c r="I510" s="2" t="n">
        <v>10</v>
      </c>
      <c r="J510" s="5">
        <f>SUM(F510:I510)</f>
        <v/>
      </c>
      <c r="K510" s="4" t="inlineStr">
        <is>
          <t>弧長連続</t>
        </is>
      </c>
      <c r="L510" s="3" t="inlineStr">
        <is>
          <t>duanshui83</t>
        </is>
      </c>
      <c r="M510" s="3" t="inlineStr">
        <is>
          <t>明经CAD社区</t>
        </is>
      </c>
      <c r="N510" s="6" t="inlineStr">
        <is>
          <t>開く</t>
        </is>
      </c>
    </row>
    <row r="511">
      <c r="A511" s="2">
        <f>RANK(J511,$J$2:$J$656)</f>
        <v/>
      </c>
      <c r="B511" s="3" t="inlineStr">
        <is>
          <t>座標・測量・土木</t>
        </is>
      </c>
      <c r="C511" s="3" t="inlineStr">
        <is>
          <t>-</t>
        </is>
      </c>
      <c r="D511" s="4" t="inlineStr">
        <is>
          <t>根据坡比划线并标注</t>
        </is>
      </c>
      <c r="E511" s="4" t="inlineStr">
        <is>
          <t>勾配比で線を描き注記</t>
        </is>
      </c>
      <c r="F511" s="2" t="n">
        <v>14</v>
      </c>
      <c r="G511" s="2" t="n">
        <v>6</v>
      </c>
      <c r="H511" s="2" t="n">
        <v>10</v>
      </c>
      <c r="I511" s="2" t="n">
        <v>8</v>
      </c>
      <c r="J511" s="5">
        <f>SUM(F511:I511)</f>
        <v/>
      </c>
      <c r="K511" s="4" t="inlineStr">
        <is>
          <t>勾配線</t>
        </is>
      </c>
      <c r="L511" s="3" t="inlineStr">
        <is>
          <t>sandyvs</t>
        </is>
      </c>
      <c r="M511" s="3" t="inlineStr">
        <is>
          <t>明经CAD社区</t>
        </is>
      </c>
      <c r="N511" s="6" t="inlineStr">
        <is>
          <t>開く</t>
        </is>
      </c>
    </row>
    <row r="512">
      <c r="A512" s="2">
        <f>RANK(J512,$J$2:$J$656)</f>
        <v/>
      </c>
      <c r="B512" s="3" t="inlineStr">
        <is>
          <t>その他</t>
        </is>
      </c>
      <c r="C512" s="3" t="inlineStr">
        <is>
          <t>-</t>
        </is>
      </c>
      <c r="D512" s="4" t="inlineStr">
        <is>
          <t>游茗杰CAD工具箱</t>
        </is>
      </c>
      <c r="E512" s="4" t="inlineStr">
        <is>
          <t>汎用ツール箱</t>
        </is>
      </c>
      <c r="F512" s="2" t="n">
        <v>8</v>
      </c>
      <c r="G512" s="2" t="n">
        <v>6</v>
      </c>
      <c r="H512" s="2" t="n">
        <v>10</v>
      </c>
      <c r="I512" s="2" t="n">
        <v>14</v>
      </c>
      <c r="J512" s="5">
        <f>SUM(F512:I512)</f>
        <v/>
      </c>
      <c r="K512" s="4" t="inlineStr">
        <is>
          <t>汎用ツール箱</t>
        </is>
      </c>
      <c r="L512" s="3" t="inlineStr">
        <is>
          <t>KO你</t>
        </is>
      </c>
      <c r="M512" s="3" t="inlineStr">
        <is>
          <t>明经CAD社区</t>
        </is>
      </c>
      <c r="N512" s="6" t="inlineStr">
        <is>
          <t>開く</t>
        </is>
      </c>
    </row>
    <row r="513">
      <c r="A513" s="2">
        <f>RANK(J513,$J$2:$J$656)</f>
        <v/>
      </c>
      <c r="B513" s="3" t="inlineStr">
        <is>
          <t>その他</t>
        </is>
      </c>
      <c r="C513" s="3" t="inlineStr">
        <is>
          <t>-</t>
        </is>
      </c>
      <c r="D513" s="4" t="inlineStr">
        <is>
          <t>狗蛋工具箱</t>
        </is>
      </c>
      <c r="E513" s="4" t="inlineStr">
        <is>
          <t>汎用ツール箱</t>
        </is>
      </c>
      <c r="F513" s="2" t="n">
        <v>8</v>
      </c>
      <c r="G513" s="2" t="n">
        <v>6</v>
      </c>
      <c r="H513" s="2" t="n">
        <v>10</v>
      </c>
      <c r="I513" s="2" t="n">
        <v>14</v>
      </c>
      <c r="J513" s="5">
        <f>SUM(F513:I513)</f>
        <v/>
      </c>
      <c r="K513" s="4" t="inlineStr">
        <is>
          <t>ツール集</t>
        </is>
      </c>
      <c r="L513" s="3" t="inlineStr">
        <is>
          <t>ljfdjjj</t>
        </is>
      </c>
      <c r="M513" s="3" t="inlineStr">
        <is>
          <t>明经CAD社区</t>
        </is>
      </c>
      <c r="N513" s="6" t="inlineStr">
        <is>
          <t>開く</t>
        </is>
      </c>
    </row>
    <row r="514">
      <c r="A514" s="2">
        <f>RANK(J514,$J$2:$J$656)</f>
        <v/>
      </c>
      <c r="B514" s="3" t="inlineStr">
        <is>
          <t>線・ポリライン編集</t>
        </is>
      </c>
      <c r="C514" s="3" t="inlineStr">
        <is>
          <t>-</t>
        </is>
      </c>
      <c r="D514" s="4" t="inlineStr">
        <is>
          <t>等分辅助线/构造线</t>
        </is>
      </c>
      <c r="E514" s="4" t="inlineStr">
        <is>
          <t>等分位置に補助線を作図</t>
        </is>
      </c>
      <c r="F514" s="2" t="n">
        <v>8</v>
      </c>
      <c r="G514" s="2" t="n">
        <v>6</v>
      </c>
      <c r="H514" s="2" t="n">
        <v>10</v>
      </c>
      <c r="I514" s="2" t="n">
        <v>14</v>
      </c>
      <c r="J514" s="5">
        <f>SUM(F514:I514)</f>
        <v/>
      </c>
      <c r="K514" s="4" t="inlineStr">
        <is>
          <t>DIVIDEで近い</t>
        </is>
      </c>
      <c r="L514" s="3" t="inlineStr">
        <is>
          <t>纵横八方</t>
        </is>
      </c>
      <c r="M514" s="3" t="inlineStr">
        <is>
          <t>明经CAD社区</t>
        </is>
      </c>
      <c r="N514" s="6" t="inlineStr">
        <is>
          <t>開く</t>
        </is>
      </c>
    </row>
    <row r="515">
      <c r="A515" s="2">
        <f>RANK(J515,$J$2:$J$656)</f>
        <v/>
      </c>
      <c r="B515" s="3" t="inlineStr">
        <is>
          <t>外部参照・図面管理・一括処理</t>
        </is>
      </c>
      <c r="C515" s="3" t="inlineStr">
        <is>
          <t>-</t>
        </is>
      </c>
      <c r="D515" s="4" t="inlineStr">
        <is>
          <t>简易导出PDF</t>
        </is>
      </c>
      <c r="E515" s="4" t="inlineStr">
        <is>
          <t>PDFを簡易出力</t>
        </is>
      </c>
      <c r="F515" s="2" t="n">
        <v>6</v>
      </c>
      <c r="G515" s="2" t="n">
        <v>4</v>
      </c>
      <c r="H515" s="2" t="n">
        <v>12</v>
      </c>
      <c r="I515" s="2" t="n">
        <v>16</v>
      </c>
      <c r="J515" s="5">
        <f>SUM(F515:I515)</f>
        <v/>
      </c>
      <c r="K515" s="4" t="inlineStr">
        <is>
          <t>EXPORTPDFで可</t>
        </is>
      </c>
      <c r="L515" s="3" t="inlineStr">
        <is>
          <t>统一网名</t>
        </is>
      </c>
      <c r="M515" s="3" t="inlineStr">
        <is>
          <t>明经CAD社区</t>
        </is>
      </c>
      <c r="N515" s="6" t="inlineStr">
        <is>
          <t>開く</t>
        </is>
      </c>
    </row>
    <row r="516">
      <c r="A516" s="2">
        <f>RANK(J516,$J$2:$J$656)</f>
        <v/>
      </c>
      <c r="B516" s="3" t="inlineStr">
        <is>
          <t>設定・環境</t>
        </is>
      </c>
      <c r="C516" s="3" t="inlineStr">
        <is>
          <t>加载@lisp线型/编译形文件</t>
        </is>
      </c>
      <c r="D516" s="4" t="inlineStr">
        <is>
          <t>线型工具 (@lisp linetype)</t>
        </is>
      </c>
      <c r="E516" s="4" t="inlineStr">
        <is>
          <t>独自線種・SHX形状の編集コンパイル読込</t>
        </is>
      </c>
      <c r="F516" s="2" t="n">
        <v>13</v>
      </c>
      <c r="G516" s="2" t="n">
        <v>8</v>
      </c>
      <c r="H516" s="2" t="n">
        <v>6</v>
      </c>
      <c r="I516" s="2" t="n">
        <v>11</v>
      </c>
      <c r="J516" s="5">
        <f>SUM(F516:I516)</f>
        <v/>
      </c>
      <c r="K516" s="4" t="inlineStr">
        <is>
          <t>SHPコンパイル補助</t>
        </is>
      </c>
      <c r="L516" s="3" t="inlineStr">
        <is>
          <t>VitalGG</t>
        </is>
      </c>
      <c r="M516" s="3" t="inlineStr">
        <is>
          <t>@lisp 应用云</t>
        </is>
      </c>
      <c r="N516" s="6" t="inlineStr">
        <is>
          <t>開く</t>
        </is>
      </c>
    </row>
    <row r="517">
      <c r="A517" s="2">
        <f>RANK(J517,$J$2:$J$656)</f>
        <v/>
      </c>
      <c r="B517" s="3" t="inlineStr">
        <is>
          <t>引出線・注記</t>
        </is>
      </c>
      <c r="C517" s="3" t="inlineStr">
        <is>
          <t>RR</t>
        </is>
      </c>
      <c r="D517" s="4" t="inlineStr">
        <is>
          <t>绘制云线_v4.0.9</t>
        </is>
      </c>
      <c r="E517" s="4" t="inlineStr">
        <is>
          <t>矩形・任意形状の雲マークを作図</t>
        </is>
      </c>
      <c r="F517" s="2" t="n">
        <v>4</v>
      </c>
      <c r="G517" s="2" t="n">
        <v>6</v>
      </c>
      <c r="H517" s="2" t="n">
        <v>10</v>
      </c>
      <c r="I517" s="2" t="n">
        <v>18</v>
      </c>
      <c r="J517" s="5">
        <f>SUM(F517:I517)</f>
        <v/>
      </c>
      <c r="K517" s="4" t="inlineStr">
        <is>
          <t>REVCLOUDで代替</t>
        </is>
      </c>
      <c r="L517" s="3" t="inlineStr">
        <is>
          <t>kucha007</t>
        </is>
      </c>
      <c r="M517" s="3" t="inlineStr">
        <is>
          <t>明经CAD社区</t>
        </is>
      </c>
      <c r="N517" s="6" t="inlineStr">
        <is>
          <t>開く</t>
        </is>
      </c>
    </row>
    <row r="518">
      <c r="A518" s="2">
        <f>RANK(J518,$J$2:$J$656)</f>
        <v/>
      </c>
      <c r="B518" s="3" t="inlineStr">
        <is>
          <t>その他</t>
        </is>
      </c>
      <c r="C518" s="3" t="inlineStr">
        <is>
          <t>-</t>
        </is>
      </c>
      <c r="D518" s="4" t="inlineStr">
        <is>
          <t>自编常用程序源码集</t>
        </is>
      </c>
      <c r="E518" s="4" t="inlineStr">
        <is>
          <t>自作の常用ルーチン集</t>
        </is>
      </c>
      <c r="F518" s="2" t="n">
        <v>8</v>
      </c>
      <c r="G518" s="2" t="n">
        <v>6</v>
      </c>
      <c r="H518" s="2" t="n">
        <v>10</v>
      </c>
      <c r="I518" s="2" t="n">
        <v>14</v>
      </c>
      <c r="J518" s="5">
        <f>SUM(F518:I518)</f>
        <v/>
      </c>
      <c r="K518" s="4" t="inlineStr">
        <is>
          <t>ソース集</t>
        </is>
      </c>
      <c r="L518" s="3" t="inlineStr">
        <is>
          <t>ucuc2003</t>
        </is>
      </c>
      <c r="M518" s="3" t="inlineStr">
        <is>
          <t>明经CAD社区</t>
        </is>
      </c>
      <c r="N518" s="6" t="inlineStr">
        <is>
          <t>開く</t>
        </is>
      </c>
    </row>
    <row r="519">
      <c r="A519" s="2">
        <f>RANK(J519,$J$2:$J$656)</f>
        <v/>
      </c>
      <c r="B519" s="3" t="inlineStr">
        <is>
          <t>その他</t>
        </is>
      </c>
      <c r="C519" s="3" t="inlineStr">
        <is>
          <t>-</t>
        </is>
      </c>
      <c r="D519" s="4" t="inlineStr">
        <is>
          <t>速腾菜单工具箱</t>
        </is>
      </c>
      <c r="E519" s="4" t="inlineStr">
        <is>
          <t>メニュー型ツール箱</t>
        </is>
      </c>
      <c r="F519" s="2" t="n">
        <v>8</v>
      </c>
      <c r="G519" s="2" t="n">
        <v>6</v>
      </c>
      <c r="H519" s="2" t="n">
        <v>10</v>
      </c>
      <c r="I519" s="2" t="n">
        <v>14</v>
      </c>
      <c r="J519" s="5">
        <f>SUM(F519:I519)</f>
        <v/>
      </c>
      <c r="K519" s="4" t="inlineStr">
        <is>
          <t>ツール集</t>
        </is>
      </c>
      <c r="L519" s="3" t="inlineStr">
        <is>
          <t>mochaolong</t>
        </is>
      </c>
      <c r="M519" s="3" t="inlineStr">
        <is>
          <t>明经CAD社区</t>
        </is>
      </c>
      <c r="N519" s="6" t="inlineStr">
        <is>
          <t>開く</t>
        </is>
      </c>
    </row>
    <row r="520">
      <c r="A520" s="2">
        <f>RANK(J520,$J$2:$J$656)</f>
        <v/>
      </c>
      <c r="B520" s="3" t="inlineStr">
        <is>
          <t>線・ポリライン編集</t>
        </is>
      </c>
      <c r="C520" s="3" t="inlineStr">
        <is>
          <t>tc</t>
        </is>
      </c>
      <c r="D520" s="4" t="inlineStr">
        <is>
          <t>AAA-汇总 tc 圆内剪线</t>
        </is>
      </c>
      <c r="E520" s="4" t="inlineStr">
        <is>
          <t>選択円内を通る線を一括トリム</t>
        </is>
      </c>
      <c r="F520" s="2" t="n">
        <v>8</v>
      </c>
      <c r="G520" s="2" t="n">
        <v>6</v>
      </c>
      <c r="H520" s="2" t="n">
        <v>10</v>
      </c>
      <c r="I520" s="2" t="n">
        <v>13</v>
      </c>
      <c r="J520" s="5">
        <f>SUM(F520:I520)</f>
        <v/>
      </c>
      <c r="K520" s="4" t="inlineStr">
        <is>
          <t>EXTRIMで代替</t>
        </is>
      </c>
      <c r="L520" s="3" t="inlineStr">
        <is>
          <t>朴英俊</t>
        </is>
      </c>
      <c r="M520" s="3" t="inlineStr">
        <is>
          <t>GitHub: zhugecaomao/AutoLISP</t>
        </is>
      </c>
      <c r="N520" s="6" t="inlineStr">
        <is>
          <t>開く</t>
        </is>
      </c>
    </row>
    <row r="521">
      <c r="A521" s="2">
        <f>RANK(J521,$J$2:$J$656)</f>
        <v/>
      </c>
      <c r="B521" s="3" t="inlineStr">
        <is>
          <t>座標・測量・土木</t>
        </is>
      </c>
      <c r="C521" s="3" t="inlineStr">
        <is>
          <t>-</t>
        </is>
      </c>
      <c r="D521" s="4" t="inlineStr">
        <is>
          <t>CASS高程点统计</t>
        </is>
      </c>
      <c r="E521" s="4" t="inlineStr">
        <is>
          <t>CASS標高点の平均・最大・最小を算出</t>
        </is>
      </c>
      <c r="F521" s="2" t="n">
        <v>16</v>
      </c>
      <c r="G521" s="2" t="n">
        <v>6</v>
      </c>
      <c r="H521" s="2" t="n">
        <v>10</v>
      </c>
      <c r="I521" s="2" t="n">
        <v>5</v>
      </c>
      <c r="J521" s="5">
        <f>SUM(F521:I521)</f>
        <v/>
      </c>
      <c r="K521" s="4" t="inlineStr">
        <is>
          <t>CASS専用</t>
        </is>
      </c>
      <c r="L521" s="3" t="inlineStr">
        <is>
          <t>16699988885</t>
        </is>
      </c>
      <c r="M521" s="3" t="inlineStr">
        <is>
          <t>明经CAD社区</t>
        </is>
      </c>
      <c r="N521" s="6" t="inlineStr">
        <is>
          <t>開く</t>
        </is>
      </c>
    </row>
    <row r="522">
      <c r="A522" s="2">
        <f>RANK(J522,$J$2:$J$656)</f>
        <v/>
      </c>
      <c r="B522" s="3" t="inlineStr">
        <is>
          <t>構造・鉄骨・機械</t>
        </is>
      </c>
      <c r="C522" s="3" t="inlineStr">
        <is>
          <t>bj</t>
        </is>
      </c>
      <c r="D522" s="4" t="inlineStr">
        <is>
          <t>CSBJ 画板钢筋</t>
        </is>
      </c>
      <c r="E522" s="4" t="inlineStr">
        <is>
          <t>スラブ配筋を作図</t>
        </is>
      </c>
      <c r="F522" s="2" t="n">
        <v>14</v>
      </c>
      <c r="G522" s="2" t="n">
        <v>6</v>
      </c>
      <c r="H522" s="2" t="n">
        <v>12</v>
      </c>
      <c r="I522" s="2" t="n">
        <v>5</v>
      </c>
      <c r="J522" s="5">
        <f>SUM(F522:I522)</f>
        <v/>
      </c>
      <c r="K522" s="4" t="inlineStr">
        <is>
          <t>スラブ配筋</t>
        </is>
      </c>
      <c r="L522" s="3" t="inlineStr"/>
      <c r="M522" s="3" t="inlineStr">
        <is>
          <t>GitHub: zhugecaomao/AutoLISP</t>
        </is>
      </c>
      <c r="N522" s="6" t="inlineStr">
        <is>
          <t>開く</t>
        </is>
      </c>
    </row>
    <row r="523">
      <c r="A523" s="2">
        <f>RANK(J523,$J$2:$J$656)</f>
        <v/>
      </c>
      <c r="B523" s="3" t="inlineStr">
        <is>
          <t>LISP開発用の部品</t>
        </is>
      </c>
      <c r="C523" s="3" t="inlineStr">
        <is>
          <t>dcl2lsp</t>
        </is>
      </c>
      <c r="D523" s="4" t="inlineStr">
        <is>
          <t>dcl2lsp DCL转LSP</t>
        </is>
      </c>
      <c r="E523" s="4" t="inlineStr">
        <is>
          <t>DCLファイルをLISP埋込コードに変換</t>
        </is>
      </c>
      <c r="F523" s="2" t="n">
        <v>14</v>
      </c>
      <c r="G523" s="2" t="n">
        <v>10</v>
      </c>
      <c r="H523" s="2" t="n">
        <v>5</v>
      </c>
      <c r="I523" s="2" t="n">
        <v>8</v>
      </c>
      <c r="J523" s="5">
        <f>SUM(F523:I523)</f>
        <v/>
      </c>
      <c r="K523" s="4" t="inlineStr">
        <is>
          <t>DCL埋込</t>
        </is>
      </c>
      <c r="L523" s="3" t="inlineStr">
        <is>
          <t>Qin-Dong</t>
        </is>
      </c>
      <c r="M523" s="3" t="inlineStr">
        <is>
          <t>GitHub: Qin-Dong/Construction-Surveying-Toolkit-For-AutoCAD</t>
        </is>
      </c>
      <c r="N523" s="6" t="inlineStr">
        <is>
          <t>開く</t>
        </is>
      </c>
    </row>
    <row r="524">
      <c r="A524" s="2">
        <f>RANK(J524,$J$2:$J$656)</f>
        <v/>
      </c>
      <c r="B524" s="3" t="inlineStr">
        <is>
          <t>LISP開発用の部品</t>
        </is>
      </c>
      <c r="C524" s="3" t="inlineStr">
        <is>
          <t>-</t>
        </is>
      </c>
      <c r="D524" s="4" t="inlineStr">
        <is>
          <t>geometry: 几何算法</t>
        </is>
      </c>
      <c r="E524" s="4" t="inlineStr">
        <is>
          <t>凸包(Graham/Jarvis)・点と線分距離・BOX交差</t>
        </is>
      </c>
      <c r="F524" s="2" t="n">
        <v>12</v>
      </c>
      <c r="G524" s="2" t="n">
        <v>10</v>
      </c>
      <c r="H524" s="2" t="n">
        <v>4</v>
      </c>
      <c r="I524" s="2" t="n">
        <v>11</v>
      </c>
      <c r="J524" s="5">
        <f>SUM(F524:I524)</f>
        <v/>
      </c>
      <c r="K524" s="4" t="inlineStr">
        <is>
          <t>凸包アルゴリズム実装</t>
        </is>
      </c>
      <c r="L524" s="3" t="inlineStr">
        <is>
          <t>VitalGG</t>
        </is>
      </c>
      <c r="M524" s="3" t="inlineStr">
        <is>
          <t>GitHub: atlisp-org/atlisp-lib</t>
        </is>
      </c>
      <c r="N524" s="6" t="inlineStr">
        <is>
          <t>開く</t>
        </is>
      </c>
    </row>
    <row r="525">
      <c r="A525" s="2">
        <f>RANK(J525,$J$2:$J$656)</f>
        <v/>
      </c>
      <c r="B525" s="3" t="inlineStr">
        <is>
          <t>LISP開発用の部品</t>
        </is>
      </c>
      <c r="C525" s="3" t="inlineStr">
        <is>
          <t>-</t>
        </is>
      </c>
      <c r="D525" s="4" t="inlineStr">
        <is>
          <t>re: 正则表达式</t>
        </is>
      </c>
      <c r="E525" s="4" t="inlineStr">
        <is>
          <t>VBScript.RegExpで正規表現検索・置換</t>
        </is>
      </c>
      <c r="F525" s="2" t="n">
        <v>12</v>
      </c>
      <c r="G525" s="2" t="n">
        <v>8</v>
      </c>
      <c r="H525" s="2" t="n">
        <v>4</v>
      </c>
      <c r="I525" s="2" t="n">
        <v>13</v>
      </c>
      <c r="J525" s="5">
        <f>SUM(F525:I525)</f>
        <v/>
      </c>
      <c r="K525" s="4" t="inlineStr">
        <is>
          <t>正規表現を使える</t>
        </is>
      </c>
      <c r="L525" s="3" t="inlineStr">
        <is>
          <t>VitalGG</t>
        </is>
      </c>
      <c r="M525" s="3" t="inlineStr">
        <is>
          <t>GitHub: atlisp-org/atlisp-lib</t>
        </is>
      </c>
      <c r="N525" s="6" t="inlineStr">
        <is>
          <t>開く</t>
        </is>
      </c>
    </row>
    <row r="526">
      <c r="A526" s="2">
        <f>RANK(J526,$J$2:$J$656)</f>
        <v/>
      </c>
      <c r="B526" s="3" t="inlineStr">
        <is>
          <t>LISP開発用の部品</t>
        </is>
      </c>
      <c r="C526" s="3" t="inlineStr">
        <is>
          <t>-</t>
        </is>
      </c>
      <c r="D526" s="4" t="inlineStr">
        <is>
          <t>vectra 函数群(152)</t>
        </is>
      </c>
      <c r="E526" s="4" t="inlineStr">
        <is>
          <t>明経vectra氏由来の幾何・配列関数群</t>
        </is>
      </c>
      <c r="F526" s="2" t="n">
        <v>10</v>
      </c>
      <c r="G526" s="2" t="n">
        <v>8</v>
      </c>
      <c r="H526" s="2" t="n">
        <v>5</v>
      </c>
      <c r="I526" s="2" t="n">
        <v>14</v>
      </c>
      <c r="J526" s="5">
        <f>SUM(F526:I526)</f>
        <v/>
      </c>
      <c r="K526" s="4" t="inlineStr">
        <is>
          <t>大規模幾何関数集、参考価値</t>
        </is>
      </c>
      <c r="L526" s="3" t="inlineStr">
        <is>
          <t>vectra/@lisp</t>
        </is>
      </c>
      <c r="M526" s="3" t="inlineStr">
        <is>
          <t>GitHub: atlisp-org/atlisp-lib</t>
        </is>
      </c>
      <c r="N526" s="6" t="inlineStr">
        <is>
          <t>開く</t>
        </is>
      </c>
    </row>
    <row r="527">
      <c r="A527" s="2">
        <f>RANK(J527,$J$2:$J$656)</f>
        <v/>
      </c>
      <c r="B527" s="3" t="inlineStr">
        <is>
          <t>ブロック・属性</t>
        </is>
      </c>
      <c r="C527" s="3" t="inlineStr">
        <is>
          <t>@block:explode-all</t>
        </is>
      </c>
      <c r="D527" s="4" t="inlineStr">
        <is>
          <t>一炸到底 (@lisp Block)</t>
        </is>
      </c>
      <c r="E527" s="4" t="inlineStr">
        <is>
          <t>範囲内のブロックを入れ子まで全分解</t>
        </is>
      </c>
      <c r="F527" s="2" t="n">
        <v>8</v>
      </c>
      <c r="G527" s="2" t="n">
        <v>5</v>
      </c>
      <c r="H527" s="2" t="n">
        <v>9</v>
      </c>
      <c r="I527" s="2" t="n">
        <v>15</v>
      </c>
      <c r="J527" s="5">
        <f>SUM(F527:I527)</f>
        <v/>
      </c>
      <c r="K527" s="4" t="inlineStr">
        <is>
          <t>繰返しEXPLODEで可</t>
        </is>
      </c>
      <c r="L527" s="3" t="inlineStr">
        <is>
          <t>VitalGG</t>
        </is>
      </c>
      <c r="M527" s="3" t="inlineStr">
        <is>
          <t>@lisp 应用云</t>
        </is>
      </c>
      <c r="N527" s="6" t="inlineStr">
        <is>
          <t>開く</t>
        </is>
      </c>
    </row>
    <row r="528">
      <c r="A528" s="2">
        <f>RANK(J528,$J$2:$J$656)</f>
        <v/>
      </c>
      <c r="B528" s="3" t="inlineStr">
        <is>
          <t>線・ポリライン編集</t>
        </is>
      </c>
      <c r="C528" s="3" t="inlineStr">
        <is>
          <t>-</t>
        </is>
      </c>
      <c r="D528" s="4" t="inlineStr">
        <is>
          <t>剪切与圆相交对象的圆内部分</t>
        </is>
      </c>
      <c r="E528" s="4" t="inlineStr">
        <is>
          <t>円内の交差部分を切取・削除</t>
        </is>
      </c>
      <c r="F528" s="2" t="n">
        <v>8</v>
      </c>
      <c r="G528" s="2" t="n">
        <v>6</v>
      </c>
      <c r="H528" s="2" t="n">
        <v>10</v>
      </c>
      <c r="I528" s="2" t="n">
        <v>13</v>
      </c>
      <c r="J528" s="5">
        <f>SUM(F528:I528)</f>
        <v/>
      </c>
      <c r="K528" s="4" t="inlineStr">
        <is>
          <t>EXTRIM相当</t>
        </is>
      </c>
      <c r="L528" s="3" t="inlineStr"/>
      <c r="M528" s="3" t="inlineStr">
        <is>
          <t>晓东CAD家园</t>
        </is>
      </c>
      <c r="N528" s="6" t="inlineStr">
        <is>
          <t>開く</t>
        </is>
      </c>
    </row>
    <row r="529">
      <c r="A529" s="2">
        <f>RANK(J529,$J$2:$J$656)</f>
        <v/>
      </c>
      <c r="B529" s="3" t="inlineStr">
        <is>
          <t>線・ポリライン編集</t>
        </is>
      </c>
      <c r="C529" s="3" t="inlineStr">
        <is>
          <t>-</t>
        </is>
      </c>
      <c r="D529" s="4" t="inlineStr">
        <is>
          <t>动态直线两边延伸</t>
        </is>
      </c>
      <c r="E529" s="4" t="inlineStr">
        <is>
          <t>直線を両側へ動的に延長</t>
        </is>
      </c>
      <c r="F529" s="2" t="n">
        <v>8</v>
      </c>
      <c r="G529" s="2" t="n">
        <v>8</v>
      </c>
      <c r="H529" s="2" t="n">
        <v>8</v>
      </c>
      <c r="I529" s="2" t="n">
        <v>13</v>
      </c>
      <c r="J529" s="5">
        <f>SUM(F529:I529)</f>
        <v/>
      </c>
      <c r="K529" s="4" t="inlineStr">
        <is>
          <t>LENGTHEN強化</t>
        </is>
      </c>
      <c r="L529" s="3" t="inlineStr">
        <is>
          <t>琴剑江山_10184</t>
        </is>
      </c>
      <c r="M529" s="3" t="inlineStr">
        <is>
          <t>明经CAD社区</t>
        </is>
      </c>
      <c r="N529" s="6" t="inlineStr">
        <is>
          <t>開く</t>
        </is>
      </c>
    </row>
    <row r="530">
      <c r="A530" s="2">
        <f>RANK(J530,$J$2:$J$656)</f>
        <v/>
      </c>
      <c r="B530" s="3" t="inlineStr">
        <is>
          <t>文字・テキスト</t>
        </is>
      </c>
      <c r="C530" s="3" t="inlineStr">
        <is>
          <t>-</t>
        </is>
      </c>
      <c r="D530" s="4" t="inlineStr">
        <is>
          <t>合并文字</t>
        </is>
      </c>
      <c r="E530" s="4" t="inlineStr">
        <is>
          <t>複数文字を結合</t>
        </is>
      </c>
      <c r="F530" s="2" t="n">
        <v>6</v>
      </c>
      <c r="G530" s="2" t="n">
        <v>4</v>
      </c>
      <c r="H530" s="2" t="n">
        <v>10</v>
      </c>
      <c r="I530" s="2" t="n">
        <v>17</v>
      </c>
      <c r="J530" s="5">
        <f>SUM(F530:I530)</f>
        <v/>
      </c>
      <c r="K530" s="4" t="inlineStr">
        <is>
          <t>TXT2MTXTで近い</t>
        </is>
      </c>
      <c r="L530" s="3" t="inlineStr">
        <is>
          <t>hncjddd</t>
        </is>
      </c>
      <c r="M530" s="3" t="inlineStr">
        <is>
          <t>明经CAD社区</t>
        </is>
      </c>
      <c r="N530" s="6" t="inlineStr">
        <is>
          <t>開く</t>
        </is>
      </c>
    </row>
    <row r="531">
      <c r="A531" s="2">
        <f>RANK(J531,$J$2:$J$656)</f>
        <v/>
      </c>
      <c r="B531" s="3" t="inlineStr">
        <is>
          <t>設備</t>
        </is>
      </c>
      <c r="C531" s="3" t="inlineStr">
        <is>
          <t>-</t>
        </is>
      </c>
      <c r="D531" s="4" t="inlineStr">
        <is>
          <t>市政给排水绘图辅助</t>
        </is>
      </c>
      <c r="E531" s="4" t="inlineStr">
        <is>
          <t>市政給排水の作図補助</t>
        </is>
      </c>
      <c r="F531" s="2" t="n">
        <v>14</v>
      </c>
      <c r="G531" s="2" t="n">
        <v>6</v>
      </c>
      <c r="H531" s="2" t="n">
        <v>12</v>
      </c>
      <c r="I531" s="2" t="n">
        <v>5</v>
      </c>
      <c r="J531" s="5">
        <f>SUM(F531:I531)</f>
        <v/>
      </c>
      <c r="K531" s="4" t="inlineStr">
        <is>
          <t>給排水専用</t>
        </is>
      </c>
      <c r="L531" s="3" t="inlineStr">
        <is>
          <t>guangdonglbq</t>
        </is>
      </c>
      <c r="M531" s="3" t="inlineStr">
        <is>
          <t>明经CAD社区</t>
        </is>
      </c>
      <c r="N531" s="6" t="inlineStr">
        <is>
          <t>開く</t>
        </is>
      </c>
    </row>
    <row r="532">
      <c r="A532" s="2">
        <f>RANK(J532,$J$2:$J$656)</f>
        <v/>
      </c>
      <c r="B532" s="3" t="inlineStr">
        <is>
          <t>LISP開発用の部品</t>
        </is>
      </c>
      <c r="C532" s="3" t="inlineStr">
        <is>
          <t>-</t>
        </is>
      </c>
      <c r="D532" s="4" t="inlineStr">
        <is>
          <t>带提示和过滤表的entsel</t>
        </is>
      </c>
      <c r="E532" s="4" t="inlineStr">
        <is>
          <t>フィルタ付きの図元選択関数</t>
        </is>
      </c>
      <c r="F532" s="2" t="n">
        <v>14</v>
      </c>
      <c r="G532" s="2" t="n">
        <v>10</v>
      </c>
      <c r="H532" s="2" t="n">
        <v>5</v>
      </c>
      <c r="I532" s="2" t="n">
        <v>8</v>
      </c>
      <c r="J532" s="5">
        <f>SUM(F532:I532)</f>
        <v/>
      </c>
      <c r="K532" s="4" t="inlineStr">
        <is>
          <t>開発用関数</t>
        </is>
      </c>
      <c r="L532" s="3" t="inlineStr">
        <is>
          <t>meflying</t>
        </is>
      </c>
      <c r="M532" s="3" t="inlineStr">
        <is>
          <t>明经CAD社区</t>
        </is>
      </c>
      <c r="N532" s="6" t="inlineStr">
        <is>
          <t>開く</t>
        </is>
      </c>
    </row>
    <row r="533">
      <c r="A533" s="2">
        <f>RANK(J533,$J$2:$J$656)</f>
        <v/>
      </c>
      <c r="B533" s="3" t="inlineStr">
        <is>
          <t>文字・テキスト</t>
        </is>
      </c>
      <c r="C533" s="3" t="inlineStr">
        <is>
          <t>左对齐/右对齐/居中对齐</t>
        </is>
      </c>
      <c r="D533" s="4" t="inlineStr">
        <is>
          <t>文字对齐 (@lisp文本)</t>
        </is>
      </c>
      <c r="E533" s="4" t="inlineStr">
        <is>
          <t>位置を変えずに文字の揃え基点を変更</t>
        </is>
      </c>
      <c r="F533" s="2" t="n">
        <v>5</v>
      </c>
      <c r="G533" s="2" t="n">
        <v>4</v>
      </c>
      <c r="H533" s="2" t="n">
        <v>8</v>
      </c>
      <c r="I533" s="2" t="n">
        <v>20</v>
      </c>
      <c r="J533" s="5">
        <f>SUM(F533:I533)</f>
        <v/>
      </c>
      <c r="K533" s="4" t="inlineStr">
        <is>
          <t>JUSTIFYTEXTで代替可</t>
        </is>
      </c>
      <c r="L533" s="3" t="inlineStr">
        <is>
          <t>VitalGG</t>
        </is>
      </c>
      <c r="M533" s="3" t="inlineStr">
        <is>
          <t>@lisp 应用云</t>
        </is>
      </c>
      <c r="N533" s="6" t="inlineStr">
        <is>
          <t>開く</t>
        </is>
      </c>
    </row>
    <row r="534">
      <c r="A534" s="2">
        <f>RANK(J534,$J$2:$J$656)</f>
        <v/>
      </c>
      <c r="B534" s="3" t="inlineStr">
        <is>
          <t>線・ポリライン編集</t>
        </is>
      </c>
      <c r="C534" s="3" t="inlineStr">
        <is>
          <t>-</t>
        </is>
      </c>
      <c r="D534" s="4" t="inlineStr">
        <is>
          <t>独立偏移</t>
        </is>
      </c>
      <c r="E534" s="4" t="inlineStr">
        <is>
          <t>元線の属性を保たず別画層へオフセット</t>
        </is>
      </c>
      <c r="F534" s="2" t="n">
        <v>6</v>
      </c>
      <c r="G534" s="2" t="n">
        <v>6</v>
      </c>
      <c r="H534" s="2" t="n">
        <v>10</v>
      </c>
      <c r="I534" s="2" t="n">
        <v>15</v>
      </c>
      <c r="J534" s="5">
        <f>SUM(F534:I534)</f>
        <v/>
      </c>
      <c r="K534" s="4" t="inlineStr">
        <is>
          <t>OFFSET層オプションで可</t>
        </is>
      </c>
      <c r="L534" s="3" t="inlineStr">
        <is>
          <t>biya</t>
        </is>
      </c>
      <c r="M534" s="3" t="inlineStr">
        <is>
          <t>明经CAD社区</t>
        </is>
      </c>
      <c r="N534" s="6" t="inlineStr">
        <is>
          <t>開く</t>
        </is>
      </c>
    </row>
    <row r="535">
      <c r="A535" s="2">
        <f>RANK(J535,$J$2:$J$656)</f>
        <v/>
      </c>
      <c r="B535" s="3" t="inlineStr">
        <is>
          <t>その他</t>
        </is>
      </c>
      <c r="C535" s="3" t="inlineStr">
        <is>
          <t>-</t>
        </is>
      </c>
      <c r="D535" s="4" t="inlineStr">
        <is>
          <t>930个lisp源码合集</t>
        </is>
      </c>
      <c r="E535" s="4" t="inlineStr">
        <is>
          <t>10年分収集のLISPソース930本</t>
        </is>
      </c>
      <c r="F535" s="2" t="n">
        <v>8</v>
      </c>
      <c r="G535" s="2" t="n">
        <v>6</v>
      </c>
      <c r="H535" s="2" t="n">
        <v>8</v>
      </c>
      <c r="I535" s="2" t="n">
        <v>14</v>
      </c>
      <c r="J535" s="5">
        <f>SUM(F535:I535)</f>
        <v/>
      </c>
      <c r="K535" s="4" t="inlineStr">
        <is>
          <t>ソース集</t>
        </is>
      </c>
      <c r="L535" s="3" t="inlineStr">
        <is>
          <t>652758365</t>
        </is>
      </c>
      <c r="M535" s="3" t="inlineStr">
        <is>
          <t>明经CAD社区</t>
        </is>
      </c>
      <c r="N535" s="6" t="inlineStr">
        <is>
          <t>開く</t>
        </is>
      </c>
    </row>
    <row r="536">
      <c r="A536" s="2">
        <f>RANK(J536,$J$2:$J$656)</f>
        <v/>
      </c>
      <c r="B536" s="3" t="inlineStr">
        <is>
          <t>ブロック・属性</t>
        </is>
      </c>
      <c r="C536" s="3" t="inlineStr">
        <is>
          <t>BlockView</t>
        </is>
      </c>
      <c r="D536" s="4" t="inlineStr">
        <is>
          <t>BlockView</t>
        </is>
      </c>
      <c r="E536" s="4" t="inlineStr">
        <is>
          <t>ブロック定義のプレビュー対話框</t>
        </is>
      </c>
      <c r="F536" s="2" t="n">
        <v>8</v>
      </c>
      <c r="G536" s="2" t="n">
        <v>6</v>
      </c>
      <c r="H536" s="2" t="n">
        <v>8</v>
      </c>
      <c r="I536" s="2" t="n">
        <v>14</v>
      </c>
      <c r="J536" s="5">
        <f>SUM(F536:I536)</f>
        <v/>
      </c>
      <c r="K536" s="4" t="inlineStr">
        <is>
          <t>ブロックパレットで代替</t>
        </is>
      </c>
      <c r="L536" s="3" t="inlineStr">
        <is>
          <t>VitalGG</t>
        </is>
      </c>
      <c r="M536" s="3" t="inlineStr">
        <is>
          <t>@lisp 应用云</t>
        </is>
      </c>
      <c r="N536" s="6" t="inlineStr">
        <is>
          <t>開く</t>
        </is>
      </c>
    </row>
    <row r="537">
      <c r="A537" s="2">
        <f>RANK(J537,$J$2:$J$656)</f>
        <v/>
      </c>
      <c r="B537" s="3" t="inlineStr">
        <is>
          <t>設定・環境</t>
        </is>
      </c>
      <c r="C537" s="3" t="inlineStr">
        <is>
          <t>-</t>
        </is>
      </c>
      <c r="D537" s="4" t="inlineStr">
        <is>
          <t>CAD插件管理工具</t>
        </is>
      </c>
      <c r="E537" s="4" t="inlineStr">
        <is>
          <t>プラグインの読込管理</t>
        </is>
      </c>
      <c r="F537" s="2" t="n">
        <v>8</v>
      </c>
      <c r="G537" s="2" t="n">
        <v>6</v>
      </c>
      <c r="H537" s="2" t="n">
        <v>8</v>
      </c>
      <c r="I537" s="2" t="n">
        <v>14</v>
      </c>
      <c r="J537" s="5">
        <f>SUM(F537:I537)</f>
        <v/>
      </c>
      <c r="K537" s="4" t="inlineStr">
        <is>
          <t>APPLOAD管理</t>
        </is>
      </c>
      <c r="L537" s="3" t="inlineStr"/>
      <c r="M537" s="3" t="inlineStr">
        <is>
          <t>晓东CAD家园</t>
        </is>
      </c>
      <c r="N537" s="6" t="inlineStr">
        <is>
          <t>開く</t>
        </is>
      </c>
    </row>
    <row r="538">
      <c r="A538" s="2">
        <f>RANK(J538,$J$2:$J$656)</f>
        <v/>
      </c>
      <c r="B538" s="3" t="inlineStr">
        <is>
          <t>印刷・レイアウト・図枠</t>
        </is>
      </c>
      <c r="C538" s="3" t="inlineStr">
        <is>
          <t>TS_DTLSYM1</t>
        </is>
      </c>
      <c r="D538" s="4" t="inlineStr">
        <is>
          <t>detail1 绘剖切线</t>
        </is>
      </c>
      <c r="E538" s="4" t="inlineStr">
        <is>
          <t>詳細・断面記号を作図</t>
        </is>
      </c>
      <c r="F538" s="2" t="n">
        <v>10</v>
      </c>
      <c r="G538" s="2" t="n">
        <v>4</v>
      </c>
      <c r="H538" s="2" t="n">
        <v>10</v>
      </c>
      <c r="I538" s="2" t="n">
        <v>12</v>
      </c>
      <c r="J538" s="5">
        <f>SUM(F538:I538)</f>
        <v/>
      </c>
      <c r="K538" s="4" t="inlineStr">
        <is>
          <t>断面記号</t>
        </is>
      </c>
      <c r="L538" s="3" t="inlineStr"/>
      <c r="M538" s="3" t="inlineStr">
        <is>
          <t>GitHub: zhugecaomao/AutoLISP</t>
        </is>
      </c>
      <c r="N538" s="6" t="inlineStr">
        <is>
          <t>開く</t>
        </is>
      </c>
    </row>
    <row r="539">
      <c r="A539" s="2">
        <f>RANK(J539,$J$2:$J$656)</f>
        <v/>
      </c>
      <c r="B539" s="3" t="inlineStr">
        <is>
          <t>LISP開発用の部品</t>
        </is>
      </c>
      <c r="C539" s="3" t="inlineStr">
        <is>
          <t>-</t>
        </is>
      </c>
      <c r="D539" s="4" t="inlineStr">
        <is>
          <t>excel: Excel操作</t>
        </is>
      </c>
      <c r="E539" s="4" t="inlineStr">
        <is>
          <t>Excel起動・シート操作・色変換の関数群</t>
        </is>
      </c>
      <c r="F539" s="2" t="n">
        <v>11</v>
      </c>
      <c r="G539" s="2" t="n">
        <v>6</v>
      </c>
      <c r="H539" s="2" t="n">
        <v>5</v>
      </c>
      <c r="I539" s="2" t="n">
        <v>14</v>
      </c>
      <c r="J539" s="5">
        <f>SUM(F539:I539)</f>
        <v/>
      </c>
      <c r="K539" s="4" t="inlineStr">
        <is>
          <t>ActiveX Excel連携の雛形</t>
        </is>
      </c>
      <c r="L539" s="3" t="inlineStr">
        <is>
          <t>VitalGG</t>
        </is>
      </c>
      <c r="M539" s="3" t="inlineStr">
        <is>
          <t>GitHub: atlisp-org/atlisp-lib</t>
        </is>
      </c>
      <c r="N539" s="6" t="inlineStr">
        <is>
          <t>開く</t>
        </is>
      </c>
    </row>
    <row r="540">
      <c r="A540" s="2">
        <f>RANK(J540,$J$2:$J$656)</f>
        <v/>
      </c>
      <c r="B540" s="3" t="inlineStr">
        <is>
          <t>文字・テキスト</t>
        </is>
      </c>
      <c r="C540" s="3" t="inlineStr">
        <is>
          <t>JXHX</t>
        </is>
      </c>
      <c r="D540" s="4" t="inlineStr">
        <is>
          <t>JXHX 多行文字加下划线</t>
        </is>
      </c>
      <c r="E540" s="4" t="inlineStr">
        <is>
          <t>MTEXTに一括で下線を付加</t>
        </is>
      </c>
      <c r="F540" s="2" t="n">
        <v>10</v>
      </c>
      <c r="G540" s="2" t="n">
        <v>6</v>
      </c>
      <c r="H540" s="2" t="n">
        <v>8</v>
      </c>
      <c r="I540" s="2" t="n">
        <v>12</v>
      </c>
      <c r="J540" s="5">
        <f>SUM(F540:I540)</f>
        <v/>
      </c>
      <c r="K540" s="4" t="inlineStr">
        <is>
          <t>書式一括付加</t>
        </is>
      </c>
      <c r="L540" s="3" t="inlineStr">
        <is>
          <t>shui-tiao</t>
        </is>
      </c>
      <c r="M540" s="3" t="inlineStr">
        <is>
          <t>GitHub: shui-tiao/AutoCAD-Lisp-Tools</t>
        </is>
      </c>
      <c r="N540" s="6" t="inlineStr">
        <is>
          <t>開く</t>
        </is>
      </c>
    </row>
    <row r="541">
      <c r="A541" s="2">
        <f>RANK(J541,$J$2:$J$656)</f>
        <v/>
      </c>
      <c r="B541" s="3" t="inlineStr">
        <is>
          <t>座標・測量・土木</t>
        </is>
      </c>
      <c r="C541" s="3" t="inlineStr">
        <is>
          <t>-</t>
        </is>
      </c>
      <c r="D541" s="4" t="inlineStr">
        <is>
          <t>Z坐标归零</t>
        </is>
      </c>
      <c r="E541" s="4" t="inlineStr">
        <is>
          <t>全図形のZ座標を0に</t>
        </is>
      </c>
      <c r="F541" s="2" t="n">
        <v>6</v>
      </c>
      <c r="G541" s="2" t="n">
        <v>4</v>
      </c>
      <c r="H541" s="2" t="n">
        <v>10</v>
      </c>
      <c r="I541" s="2" t="n">
        <v>16</v>
      </c>
      <c r="J541" s="5">
        <f>SUM(F541:I541)</f>
        <v/>
      </c>
      <c r="K541" s="4" t="inlineStr">
        <is>
          <t>FLATTENで代替</t>
        </is>
      </c>
      <c r="L541" s="3" t="inlineStr">
        <is>
          <t>biya</t>
        </is>
      </c>
      <c r="M541" s="3" t="inlineStr">
        <is>
          <t>明经CAD社区</t>
        </is>
      </c>
      <c r="N541" s="6" t="inlineStr">
        <is>
          <t>開く</t>
        </is>
      </c>
    </row>
    <row r="542">
      <c r="A542" s="2">
        <f>RANK(J542,$J$2:$J$656)</f>
        <v/>
      </c>
      <c r="B542" s="3" t="inlineStr">
        <is>
          <t>外部参照・図面管理・一括処理</t>
        </is>
      </c>
      <c r="C542" s="3" t="inlineStr">
        <is>
          <t>关所有dwg</t>
        </is>
      </c>
      <c r="D542" s="4" t="inlineStr">
        <is>
          <t>保存关闭全部 (@lisp会话)</t>
        </is>
      </c>
      <c r="E542" s="4" t="inlineStr">
        <is>
          <t>全図面を保存して閉じる</t>
        </is>
      </c>
      <c r="F542" s="2" t="n">
        <v>6</v>
      </c>
      <c r="G542" s="2" t="n">
        <v>3</v>
      </c>
      <c r="H542" s="2" t="n">
        <v>8</v>
      </c>
      <c r="I542" s="2" t="n">
        <v>19</v>
      </c>
      <c r="J542" s="5">
        <f>SUM(F542:I542)</f>
        <v/>
      </c>
      <c r="K542" s="4" t="inlineStr">
        <is>
          <t>CLOSEALLで近い</t>
        </is>
      </c>
      <c r="L542" s="3" t="inlineStr">
        <is>
          <t>VitalGG</t>
        </is>
      </c>
      <c r="M542" s="3" t="inlineStr">
        <is>
          <t>@lisp 应用云</t>
        </is>
      </c>
      <c r="N542" s="6" t="inlineStr">
        <is>
          <t>開く</t>
        </is>
      </c>
    </row>
    <row r="543">
      <c r="A543" s="2">
        <f>RANK(J543,$J$2:$J$656)</f>
        <v/>
      </c>
      <c r="B543" s="3" t="inlineStr">
        <is>
          <t>作図</t>
        </is>
      </c>
      <c r="C543" s="3" t="inlineStr">
        <is>
          <t>-</t>
        </is>
      </c>
      <c r="D543" s="4" t="inlineStr">
        <is>
          <t>原地复制旋转</t>
        </is>
      </c>
      <c r="E543" s="4" t="inlineStr">
        <is>
          <t>その場に複写して回転</t>
        </is>
      </c>
      <c r="F543" s="2" t="n">
        <v>6</v>
      </c>
      <c r="G543" s="2" t="n">
        <v>4</v>
      </c>
      <c r="H543" s="2" t="n">
        <v>10</v>
      </c>
      <c r="I543" s="2" t="n">
        <v>16</v>
      </c>
      <c r="J543" s="5">
        <f>SUM(F543:I543)</f>
        <v/>
      </c>
      <c r="K543" s="4" t="inlineStr">
        <is>
          <t>ROTATEコピーで可</t>
        </is>
      </c>
      <c r="L543" s="3" t="inlineStr">
        <is>
          <t>wosiguwozai0830</t>
        </is>
      </c>
      <c r="M543" s="3" t="inlineStr">
        <is>
          <t>明经CAD社区</t>
        </is>
      </c>
      <c r="N543" s="6" t="inlineStr">
        <is>
          <t>開く</t>
        </is>
      </c>
    </row>
    <row r="544">
      <c r="A544" s="2">
        <f>RANK(J544,$J$2:$J$656)</f>
        <v/>
      </c>
      <c r="B544" s="3" t="inlineStr">
        <is>
          <t>設定・環境</t>
        </is>
      </c>
      <c r="C544" s="3" t="inlineStr">
        <is>
          <t>-</t>
        </is>
      </c>
      <c r="D544" s="4" t="inlineStr">
        <is>
          <t>去教育版(ARX/LISP)</t>
        </is>
      </c>
      <c r="E544" s="4" t="inlineStr">
        <is>
          <t>教育版フラグ除去の研究とソース</t>
        </is>
      </c>
      <c r="F544" s="2" t="n">
        <v>12</v>
      </c>
      <c r="G544" s="2" t="n">
        <v>12</v>
      </c>
      <c r="H544" s="2" t="n">
        <v>6</v>
      </c>
      <c r="I544" s="2" t="n">
        <v>6</v>
      </c>
      <c r="J544" s="5">
        <f>SUM(F544:I544)</f>
        <v/>
      </c>
      <c r="K544" s="4" t="inlineStr">
        <is>
          <t>旧版向け</t>
        </is>
      </c>
      <c r="L544" s="3" t="inlineStr">
        <is>
          <t>highflybird</t>
        </is>
      </c>
      <c r="M544" s="3" t="inlineStr">
        <is>
          <t>明经CAD社区</t>
        </is>
      </c>
      <c r="N544" s="6" t="inlineStr">
        <is>
          <t>開く</t>
        </is>
      </c>
    </row>
    <row r="545">
      <c r="A545" s="2">
        <f>RANK(J545,$J$2:$J$656)</f>
        <v/>
      </c>
      <c r="B545" s="3" t="inlineStr">
        <is>
          <t>印刷・レイアウト・図枠</t>
        </is>
      </c>
      <c r="C545" s="3" t="inlineStr">
        <is>
          <t>去教育版</t>
        </is>
      </c>
      <c r="D545" s="4" t="inlineStr">
        <is>
          <t>去教育版戳记</t>
        </is>
      </c>
      <c r="E545" s="4" t="inlineStr">
        <is>
          <t>教育版スタンプを図面から除去</t>
        </is>
      </c>
      <c r="F545" s="2" t="n">
        <v>12</v>
      </c>
      <c r="G545" s="2" t="n">
        <v>10</v>
      </c>
      <c r="H545" s="2" t="n">
        <v>8</v>
      </c>
      <c r="I545" s="2" t="n">
        <v>6</v>
      </c>
      <c r="J545" s="5">
        <f>SUM(F545:I545)</f>
        <v/>
      </c>
      <c r="K545" s="4" t="inlineStr">
        <is>
          <t>旧版向け</t>
        </is>
      </c>
      <c r="L545" s="3" t="inlineStr">
        <is>
          <t>乱刀/Snug Studio</t>
        </is>
      </c>
      <c r="M545" s="3" t="inlineStr">
        <is>
          <t>@lisp 应用云</t>
        </is>
      </c>
      <c r="N545" s="6" t="inlineStr">
        <is>
          <t>開く</t>
        </is>
      </c>
    </row>
    <row r="546">
      <c r="A546" s="2">
        <f>RANK(J546,$J$2:$J$656)</f>
        <v/>
      </c>
      <c r="B546" s="3" t="inlineStr">
        <is>
          <t>画層</t>
        </is>
      </c>
      <c r="C546" s="3" t="inlineStr">
        <is>
          <t>-</t>
        </is>
      </c>
      <c r="D546" s="4" t="inlineStr">
        <is>
          <t>图层状态保存/恢复（导出txt）</t>
        </is>
      </c>
      <c r="E546" s="4" t="inlineStr">
        <is>
          <t>画層状態を保存・復元しTXT入出力</t>
        </is>
      </c>
      <c r="F546" s="2" t="n">
        <v>6</v>
      </c>
      <c r="G546" s="2" t="n">
        <v>6</v>
      </c>
      <c r="H546" s="2" t="n">
        <v>8</v>
      </c>
      <c r="I546" s="2" t="n">
        <v>16</v>
      </c>
      <c r="J546" s="5">
        <f>SUM(F546:I546)</f>
        <v/>
      </c>
      <c r="K546" s="4" t="inlineStr">
        <is>
          <t>LAYERSTATEで可</t>
        </is>
      </c>
      <c r="L546" s="3" t="inlineStr">
        <is>
          <t>1028695446</t>
        </is>
      </c>
      <c r="M546" s="3" t="inlineStr">
        <is>
          <t>明经CAD社区</t>
        </is>
      </c>
      <c r="N546" s="6" t="inlineStr">
        <is>
          <t>開く</t>
        </is>
      </c>
    </row>
    <row r="547">
      <c r="A547" s="2">
        <f>RANK(J547,$J$2:$J$656)</f>
        <v/>
      </c>
      <c r="B547" s="3" t="inlineStr">
        <is>
          <t>建築</t>
        </is>
      </c>
      <c r="C547" s="3" t="inlineStr">
        <is>
          <t>-</t>
        </is>
      </c>
      <c r="D547" s="4" t="inlineStr">
        <is>
          <t>幕墙设计填充工具1.2</t>
        </is>
      </c>
      <c r="E547" s="4" t="inlineStr">
        <is>
          <t>カーテンウォール設計用ハッチ作図</t>
        </is>
      </c>
      <c r="F547" s="2" t="n">
        <v>14</v>
      </c>
      <c r="G547" s="2" t="n">
        <v>8</v>
      </c>
      <c r="H547" s="2" t="n">
        <v>10</v>
      </c>
      <c r="I547" s="2" t="n">
        <v>4</v>
      </c>
      <c r="J547" s="5">
        <f>SUM(F547:I547)</f>
        <v/>
      </c>
      <c r="K547" s="4" t="inlineStr">
        <is>
          <t>幕壁専用</t>
        </is>
      </c>
      <c r="L547" s="3" t="inlineStr">
        <is>
          <t>ucuc2003</t>
        </is>
      </c>
      <c r="M547" s="3" t="inlineStr">
        <is>
          <t>明经CAD社区</t>
        </is>
      </c>
      <c r="N547" s="6" t="inlineStr">
        <is>
          <t>開く</t>
        </is>
      </c>
    </row>
    <row r="548">
      <c r="A548" s="2">
        <f>RANK(J548,$J$2:$J$656)</f>
        <v/>
      </c>
      <c r="B548" s="3" t="inlineStr">
        <is>
          <t>引出線・注記</t>
        </is>
      </c>
      <c r="C548" s="3" t="inlineStr">
        <is>
          <t>-</t>
        </is>
      </c>
      <c r="D548" s="4" t="inlineStr">
        <is>
          <t>快速引线标注</t>
        </is>
      </c>
      <c r="E548" s="4" t="inlineStr">
        <is>
          <t>引出線注記を素早く作図</t>
        </is>
      </c>
      <c r="F548" s="2" t="n">
        <v>6</v>
      </c>
      <c r="G548" s="2" t="n">
        <v>4</v>
      </c>
      <c r="H548" s="2" t="n">
        <v>10</v>
      </c>
      <c r="I548" s="2" t="n">
        <v>16</v>
      </c>
      <c r="J548" s="5">
        <f>SUM(F548:I548)</f>
        <v/>
      </c>
      <c r="K548" s="4" t="inlineStr">
        <is>
          <t>MLEADERで可</t>
        </is>
      </c>
      <c r="L548" s="3" t="inlineStr">
        <is>
          <t>好好-MEN</t>
        </is>
      </c>
      <c r="M548" s="3" t="inlineStr">
        <is>
          <t>明经CAD社区</t>
        </is>
      </c>
      <c r="N548" s="6" t="inlineStr">
        <is>
          <t>開く</t>
        </is>
      </c>
    </row>
    <row r="549">
      <c r="A549" s="2">
        <f>RANK(J549,$J$2:$J$656)</f>
        <v/>
      </c>
      <c r="B549" s="3" t="inlineStr">
        <is>
          <t>設定・環境</t>
        </is>
      </c>
      <c r="C549" s="3" t="inlineStr">
        <is>
          <t>-</t>
        </is>
      </c>
      <c r="D549" s="4" t="inlineStr">
        <is>
          <t>源泉和谜你插件双侧边栏</t>
        </is>
      </c>
      <c r="E549" s="4" t="inlineStr">
        <is>
          <t>源泉設計等のサイドバーメニュー</t>
        </is>
      </c>
      <c r="F549" s="2" t="n">
        <v>8</v>
      </c>
      <c r="G549" s="2" t="n">
        <v>6</v>
      </c>
      <c r="H549" s="2" t="n">
        <v>10</v>
      </c>
      <c r="I549" s="2" t="n">
        <v>12</v>
      </c>
      <c r="J549" s="5">
        <f>SUM(F549:I549)</f>
        <v/>
      </c>
      <c r="K549" s="4" t="inlineStr">
        <is>
          <t>UI補助</t>
        </is>
      </c>
      <c r="L549" s="3" t="inlineStr">
        <is>
          <t>stonedesign</t>
        </is>
      </c>
      <c r="M549" s="3" t="inlineStr">
        <is>
          <t>明经CAD社区</t>
        </is>
      </c>
      <c r="N549" s="6" t="inlineStr">
        <is>
          <t>開く</t>
        </is>
      </c>
    </row>
    <row r="550">
      <c r="A550" s="2">
        <f>RANK(J550,$J$2:$J$656)</f>
        <v/>
      </c>
      <c r="B550" s="3" t="inlineStr">
        <is>
          <t>構造・鉄骨・機械</t>
        </is>
      </c>
      <c r="C550" s="3" t="inlineStr">
        <is>
          <t>-</t>
        </is>
      </c>
      <c r="D550" s="4" t="inlineStr">
        <is>
          <t>画槽钢角钢与明细表</t>
        </is>
      </c>
      <c r="E550" s="4" t="inlineStr">
        <is>
          <t>溝形鋼・山形鋼の作図と部品表処理</t>
        </is>
      </c>
      <c r="F550" s="2" t="n">
        <v>12</v>
      </c>
      <c r="G550" s="2" t="n">
        <v>6</v>
      </c>
      <c r="H550" s="2" t="n">
        <v>12</v>
      </c>
      <c r="I550" s="2" t="n">
        <v>6</v>
      </c>
      <c r="J550" s="5">
        <f>SUM(F550:I550)</f>
        <v/>
      </c>
      <c r="K550" s="4" t="inlineStr">
        <is>
          <t>形鋼作図</t>
        </is>
      </c>
      <c r="L550" s="3" t="inlineStr">
        <is>
          <t>自贡黄明儒</t>
        </is>
      </c>
      <c r="M550" s="3" t="inlineStr">
        <is>
          <t>明经CAD社区</t>
        </is>
      </c>
      <c r="N550" s="6" t="inlineStr">
        <is>
          <t>開く</t>
        </is>
      </c>
    </row>
    <row r="551">
      <c r="A551" s="2">
        <f>RANK(J551,$J$2:$J$656)</f>
        <v/>
      </c>
      <c r="B551" s="3" t="inlineStr">
        <is>
          <t>画層</t>
        </is>
      </c>
      <c r="C551" s="3" t="inlineStr">
        <is>
          <t>YY</t>
        </is>
      </c>
      <c r="D551" s="4" t="inlineStr">
        <is>
          <t>贱人工具箱 图层工具</t>
        </is>
      </c>
      <c r="E551" s="4" t="inlineStr">
        <is>
          <t>画層操作パネル</t>
        </is>
      </c>
      <c r="F551" s="2" t="n">
        <v>4</v>
      </c>
      <c r="G551" s="2" t="n">
        <v>4</v>
      </c>
      <c r="H551" s="2" t="n">
        <v>10</v>
      </c>
      <c r="I551" s="2" t="n">
        <v>18</v>
      </c>
      <c r="J551" s="5">
        <f>SUM(F551:I551)</f>
        <v/>
      </c>
      <c r="K551" s="4" t="inlineStr">
        <is>
          <t>標準LAYツールで近い</t>
        </is>
      </c>
      <c r="L551" s="3" t="inlineStr">
        <is>
          <t>贱人</t>
        </is>
      </c>
      <c r="M551" s="3" t="inlineStr">
        <is>
          <t>贱人工具箱</t>
        </is>
      </c>
      <c r="N551" s="6" t="inlineStr">
        <is>
          <t>開く</t>
        </is>
      </c>
    </row>
    <row r="552">
      <c r="A552" s="2">
        <f>RANK(J552,$J$2:$J$656)</f>
        <v/>
      </c>
      <c r="B552" s="3" t="inlineStr">
        <is>
          <t>作図</t>
        </is>
      </c>
      <c r="C552" s="3" t="inlineStr">
        <is>
          <t>sjblx</t>
        </is>
      </c>
      <c r="D552" s="4" t="inlineStr">
        <is>
          <t>随机波浪线</t>
        </is>
      </c>
      <c r="E552" s="4" t="inlineStr">
        <is>
          <t>ランダム波線を作図</t>
        </is>
      </c>
      <c r="F552" s="2" t="n">
        <v>12</v>
      </c>
      <c r="G552" s="2" t="n">
        <v>8</v>
      </c>
      <c r="H552" s="2" t="n">
        <v>6</v>
      </c>
      <c r="I552" s="2" t="n">
        <v>10</v>
      </c>
      <c r="J552" s="5">
        <f>SUM(F552:I552)</f>
        <v/>
      </c>
      <c r="K552" s="4" t="inlineStr">
        <is>
          <t>波線</t>
        </is>
      </c>
      <c r="L552" s="3" t="inlineStr"/>
      <c r="M552" s="3" t="inlineStr">
        <is>
          <t>GitHub: zhugecaomao/AutoLISP</t>
        </is>
      </c>
      <c r="N552" s="6" t="inlineStr">
        <is>
          <t>開く</t>
        </is>
      </c>
    </row>
    <row r="553">
      <c r="A553" s="2">
        <f>RANK(J553,$J$2:$J$656)</f>
        <v/>
      </c>
      <c r="B553" s="3" t="inlineStr">
        <is>
          <t>文字・テキスト</t>
        </is>
      </c>
      <c r="C553" s="3" t="inlineStr">
        <is>
          <t>zfhb</t>
        </is>
      </c>
      <c r="D553" s="4" t="inlineStr">
        <is>
          <t>zfhb 文字合并</t>
        </is>
      </c>
      <c r="E553" s="4" t="inlineStr">
        <is>
          <t>複数文字を1つに結合</t>
        </is>
      </c>
      <c r="F553" s="2" t="n">
        <v>5</v>
      </c>
      <c r="G553" s="2" t="n">
        <v>4</v>
      </c>
      <c r="H553" s="2" t="n">
        <v>10</v>
      </c>
      <c r="I553" s="2" t="n">
        <v>16</v>
      </c>
      <c r="J553" s="5">
        <f>SUM(F553:I553)</f>
        <v/>
      </c>
      <c r="K553" s="4" t="inlineStr">
        <is>
          <t>TXT2MTXTで近い</t>
        </is>
      </c>
      <c r="L553" s="3" t="inlineStr"/>
      <c r="M553" s="3" t="inlineStr">
        <is>
          <t>GitHub: zhugecaomao/AutoLISP</t>
        </is>
      </c>
      <c r="N553" s="6" t="inlineStr">
        <is>
          <t>開く</t>
        </is>
      </c>
    </row>
    <row r="554">
      <c r="A554" s="2">
        <f>RANK(J554,$J$2:$J$656)</f>
        <v/>
      </c>
      <c r="B554" s="3" t="inlineStr">
        <is>
          <t>線・ポリライン編集</t>
        </is>
      </c>
      <c r="C554" s="3" t="inlineStr">
        <is>
          <t>ADV</t>
        </is>
      </c>
      <c r="D554" s="4" t="inlineStr">
        <is>
          <t>多段线加减点_v1.3</t>
        </is>
      </c>
      <c r="E554" s="4" t="inlineStr">
        <is>
          <t>ポリライン頂点の追加削除</t>
        </is>
      </c>
      <c r="F554" s="2" t="n">
        <v>6</v>
      </c>
      <c r="G554" s="2" t="n">
        <v>4</v>
      </c>
      <c r="H554" s="2" t="n">
        <v>10</v>
      </c>
      <c r="I554" s="2" t="n">
        <v>15</v>
      </c>
      <c r="J554" s="5">
        <f>SUM(F554:I554)</f>
        <v/>
      </c>
      <c r="K554" s="4" t="inlineStr">
        <is>
          <t>グリップで可</t>
        </is>
      </c>
      <c r="L554" s="3" t="inlineStr">
        <is>
          <t>kucha007</t>
        </is>
      </c>
      <c r="M554" s="3" t="inlineStr">
        <is>
          <t>明经CAD社区</t>
        </is>
      </c>
      <c r="N554" s="6" t="inlineStr">
        <is>
          <t>開く</t>
        </is>
      </c>
    </row>
    <row r="555">
      <c r="A555" s="2">
        <f>RANK(J555,$J$2:$J$656)</f>
        <v/>
      </c>
      <c r="B555" s="3" t="inlineStr">
        <is>
          <t>作図</t>
        </is>
      </c>
      <c r="C555" s="3" t="inlineStr">
        <is>
          <t>-</t>
        </is>
      </c>
      <c r="D555" s="4" t="inlineStr">
        <is>
          <t>自动生成弹簧侧视图</t>
        </is>
      </c>
      <c r="E555" s="4" t="inlineStr">
        <is>
          <t>バネの側面図を自動作図</t>
        </is>
      </c>
      <c r="F555" s="2" t="n">
        <v>16</v>
      </c>
      <c r="G555" s="2" t="n">
        <v>8</v>
      </c>
      <c r="H555" s="2" t="n">
        <v>8</v>
      </c>
      <c r="I555" s="2" t="n">
        <v>3</v>
      </c>
      <c r="J555" s="5">
        <f>SUM(F555:I555)</f>
        <v/>
      </c>
      <c r="K555" s="4" t="inlineStr">
        <is>
          <t>バネ作図</t>
        </is>
      </c>
      <c r="L555" s="3" t="inlineStr">
        <is>
          <t>siguenguen</t>
        </is>
      </c>
      <c r="M555" s="3" t="inlineStr">
        <is>
          <t>明经CAD社区</t>
        </is>
      </c>
      <c r="N555" s="6" t="inlineStr">
        <is>
          <t>開く</t>
        </is>
      </c>
    </row>
    <row r="556">
      <c r="A556" s="2">
        <f>RANK(J556,$J$2:$J$656)</f>
        <v/>
      </c>
      <c r="B556" s="3" t="inlineStr">
        <is>
          <t>LISP開発用の部品</t>
        </is>
      </c>
      <c r="C556" s="3" t="inlineStr">
        <is>
          <t>-</t>
        </is>
      </c>
      <c r="D556" s="4" t="inlineStr">
        <is>
          <t>astronomy/stat</t>
        </is>
      </c>
      <c r="E556" s="4" t="inlineStr">
        <is>
          <t>太陽高度角・赤緯計算・統計（最頻値等）</t>
        </is>
      </c>
      <c r="F556" s="2" t="n">
        <v>14</v>
      </c>
      <c r="G556" s="2" t="n">
        <v>11</v>
      </c>
      <c r="H556" s="2" t="n">
        <v>3</v>
      </c>
      <c r="I556" s="2" t="n">
        <v>6</v>
      </c>
      <c r="J556" s="5">
        <f>SUM(F556:I556)</f>
        <v/>
      </c>
      <c r="K556" s="4" t="inlineStr">
        <is>
          <t>日照計算の基礎</t>
        </is>
      </c>
      <c r="L556" s="3" t="inlineStr">
        <is>
          <t>VitalGG</t>
        </is>
      </c>
      <c r="M556" s="3" t="inlineStr">
        <is>
          <t>GitHub: atlisp-org/atlisp-lib</t>
        </is>
      </c>
      <c r="N556" s="6" t="inlineStr">
        <is>
          <t>開く</t>
        </is>
      </c>
    </row>
    <row r="557">
      <c r="A557" s="2">
        <f>RANK(J557,$J$2:$J$656)</f>
        <v/>
      </c>
      <c r="B557" s="3" t="inlineStr">
        <is>
          <t>線・ポリライン編集</t>
        </is>
      </c>
      <c r="C557" s="3" t="inlineStr">
        <is>
          <t>cr</t>
        </is>
      </c>
      <c r="D557" s="4" t="inlineStr">
        <is>
          <t>CRPIAO 圆半径转换</t>
        </is>
      </c>
      <c r="E557" s="4" t="inlineStr">
        <is>
          <t>選択円の半径を一括変更</t>
        </is>
      </c>
      <c r="F557" s="2" t="n">
        <v>5</v>
      </c>
      <c r="G557" s="2" t="n">
        <v>3</v>
      </c>
      <c r="H557" s="2" t="n">
        <v>10</v>
      </c>
      <c r="I557" s="2" t="n">
        <v>16</v>
      </c>
      <c r="J557" s="5">
        <f>SUM(F557:I557)</f>
        <v/>
      </c>
      <c r="K557" s="4" t="inlineStr">
        <is>
          <t>特性パレットで可</t>
        </is>
      </c>
      <c r="L557" s="3" t="inlineStr">
        <is>
          <t>朴英俊</t>
        </is>
      </c>
      <c r="M557" s="3" t="inlineStr">
        <is>
          <t>GitHub: zhugecaomao/AutoLISP</t>
        </is>
      </c>
      <c r="N557" s="6" t="inlineStr">
        <is>
          <t>開く</t>
        </is>
      </c>
    </row>
    <row r="558">
      <c r="A558" s="2">
        <f>RANK(J558,$J$2:$J$656)</f>
        <v/>
      </c>
      <c r="B558" s="3" t="inlineStr">
        <is>
          <t>LISP開発用の部品</t>
        </is>
      </c>
      <c r="C558" s="3" t="inlineStr">
        <is>
          <t>-</t>
        </is>
      </c>
      <c r="D558" s="4" t="inlineStr">
        <is>
          <t>curve: 曲线操作</t>
        </is>
      </c>
      <c r="E558" s="4" t="inlineStr">
        <is>
          <t>3点円弧・凸度計算・円弧→ポリライン化</t>
        </is>
      </c>
      <c r="F558" s="2" t="n">
        <v>9</v>
      </c>
      <c r="G558" s="2" t="n">
        <v>7</v>
      </c>
      <c r="H558" s="2" t="n">
        <v>5</v>
      </c>
      <c r="I558" s="2" t="n">
        <v>13</v>
      </c>
      <c r="J558" s="5">
        <f>SUM(F558:I558)</f>
        <v/>
      </c>
      <c r="K558" s="4" t="inlineStr">
        <is>
          <t>bulge計算系が有用</t>
        </is>
      </c>
      <c r="L558" s="3" t="inlineStr">
        <is>
          <t>VitalGG</t>
        </is>
      </c>
      <c r="M558" s="3" t="inlineStr">
        <is>
          <t>GitHub: atlisp-org/atlisp-lib</t>
        </is>
      </c>
      <c r="N558" s="6" t="inlineStr">
        <is>
          <t>開く</t>
        </is>
      </c>
    </row>
    <row r="559">
      <c r="A559" s="2">
        <f>RANK(J559,$J$2:$J$656)</f>
        <v/>
      </c>
      <c r="B559" s="3" t="inlineStr">
        <is>
          <t>LISP開発用の部品</t>
        </is>
      </c>
      <c r="C559" s="3" t="inlineStr">
        <is>
          <t>-</t>
        </is>
      </c>
      <c r="D559" s="4" t="inlineStr">
        <is>
          <t>file/ini/json</t>
        </is>
      </c>
      <c r="E559" s="4" t="inlineStr">
        <is>
          <t>ファイル結合・INI/JSON解析・文字コード指定読込</t>
        </is>
      </c>
      <c r="F559" s="2" t="n">
        <v>10</v>
      </c>
      <c r="G559" s="2" t="n">
        <v>8</v>
      </c>
      <c r="H559" s="2" t="n">
        <v>4</v>
      </c>
      <c r="I559" s="2" t="n">
        <v>12</v>
      </c>
      <c r="J559" s="5">
        <f>SUM(F559:I559)</f>
        <v/>
      </c>
      <c r="K559" s="4" t="inlineStr">
        <is>
          <t>JSON/INI処理がLISPで可能</t>
        </is>
      </c>
      <c r="L559" s="3" t="inlineStr">
        <is>
          <t>VitalGG</t>
        </is>
      </c>
      <c r="M559" s="3" t="inlineStr">
        <is>
          <t>GitHub: atlisp-org/atlisp-lib</t>
        </is>
      </c>
      <c r="N559" s="6" t="inlineStr">
        <is>
          <t>開く</t>
        </is>
      </c>
    </row>
    <row r="560">
      <c r="A560" s="2">
        <f>RANK(J560,$J$2:$J$656)</f>
        <v/>
      </c>
      <c r="B560" s="3" t="inlineStr">
        <is>
          <t>座標・測量・土木</t>
        </is>
      </c>
      <c r="C560" s="3" t="inlineStr">
        <is>
          <t>pd</t>
        </is>
      </c>
      <c r="D560" s="4" t="inlineStr">
        <is>
          <t>podu 坡度标注</t>
        </is>
      </c>
      <c r="E560" s="4" t="inlineStr">
        <is>
          <t>勾配の記入</t>
        </is>
      </c>
      <c r="F560" s="2" t="n">
        <v>12</v>
      </c>
      <c r="G560" s="2" t="n">
        <v>4</v>
      </c>
      <c r="H560" s="2" t="n">
        <v>10</v>
      </c>
      <c r="I560" s="2" t="n">
        <v>8</v>
      </c>
      <c r="J560" s="5">
        <f>SUM(F560:I560)</f>
        <v/>
      </c>
      <c r="K560" s="4" t="inlineStr">
        <is>
          <t>勾配注記</t>
        </is>
      </c>
      <c r="L560" s="3" t="inlineStr">
        <is>
          <t>shuixzy</t>
        </is>
      </c>
      <c r="M560" s="3" t="inlineStr">
        <is>
          <t>GitHub: shuixzy/DB_CAD_Tools</t>
        </is>
      </c>
      <c r="N560" s="6" t="inlineStr">
        <is>
          <t>開く</t>
        </is>
      </c>
    </row>
    <row r="561">
      <c r="A561" s="2">
        <f>RANK(J561,$J$2:$J$656)</f>
        <v/>
      </c>
      <c r="B561" s="3" t="inlineStr">
        <is>
          <t>構造・鉄骨・機械</t>
        </is>
      </c>
      <c r="C561" s="3" t="inlineStr">
        <is>
          <t>qbbh</t>
        </is>
      </c>
      <c r="D561" s="4" t="inlineStr">
        <is>
          <t>qbbh 球标编号</t>
        </is>
      </c>
      <c r="E561" s="4" t="inlineStr">
        <is>
          <t>機械図のバルーン番号を連番配置</t>
        </is>
      </c>
      <c r="F561" s="2" t="n">
        <v>8</v>
      </c>
      <c r="G561" s="2" t="n">
        <v>4</v>
      </c>
      <c r="H561" s="2" t="n">
        <v>12</v>
      </c>
      <c r="I561" s="2" t="n">
        <v>10</v>
      </c>
      <c r="J561" s="5">
        <f>SUM(F561:I561)</f>
        <v/>
      </c>
      <c r="K561" s="4" t="inlineStr">
        <is>
          <t>バルーン採番</t>
        </is>
      </c>
      <c r="L561" s="3" t="inlineStr">
        <is>
          <t>jianpf</t>
        </is>
      </c>
      <c r="M561" s="3" t="inlineStr">
        <is>
          <t>GitHub: jianpf/autolisp</t>
        </is>
      </c>
      <c r="N561" s="6" t="inlineStr">
        <is>
          <t>開く</t>
        </is>
      </c>
    </row>
    <row r="562">
      <c r="A562" s="2">
        <f>RANK(J562,$J$2:$J$656)</f>
        <v/>
      </c>
      <c r="B562" s="3" t="inlineStr">
        <is>
          <t>寸法</t>
        </is>
      </c>
      <c r="C562" s="3" t="inlineStr">
        <is>
          <t>DF</t>
        </is>
      </c>
      <c r="D562" s="4" t="inlineStr">
        <is>
          <t>切换标注遮罩</t>
        </is>
      </c>
      <c r="E562" s="4" t="inlineStr">
        <is>
          <t>寸法文字の背景マスクを切替</t>
        </is>
      </c>
      <c r="F562" s="2" t="n">
        <v>6</v>
      </c>
      <c r="G562" s="2" t="n">
        <v>4</v>
      </c>
      <c r="H562" s="2" t="n">
        <v>8</v>
      </c>
      <c r="I562" s="2" t="n">
        <v>16</v>
      </c>
      <c r="J562" s="5">
        <f>SUM(F562:I562)</f>
        <v/>
      </c>
      <c r="K562" s="4" t="inlineStr">
        <is>
          <t>DIMTFILLで可</t>
        </is>
      </c>
      <c r="L562" s="3" t="inlineStr">
        <is>
          <t>kucha007</t>
        </is>
      </c>
      <c r="M562" s="3" t="inlineStr">
        <is>
          <t>明经CAD社区</t>
        </is>
      </c>
      <c r="N562" s="6" t="inlineStr">
        <is>
          <t>開く</t>
        </is>
      </c>
    </row>
    <row r="563">
      <c r="A563" s="2">
        <f>RANK(J563,$J$2:$J$656)</f>
        <v/>
      </c>
      <c r="B563" s="3" t="inlineStr">
        <is>
          <t>画層</t>
        </is>
      </c>
      <c r="C563" s="3" t="inlineStr">
        <is>
          <t>关闭其它/冻结其它/锁定其它</t>
        </is>
      </c>
      <c r="D563" s="4" t="inlineStr">
        <is>
          <t>图层反选开关 (@lisp图层)</t>
        </is>
      </c>
      <c r="E563" s="4" t="inlineStr">
        <is>
          <t>選択外の画層を非表示/フリーズ/ロック</t>
        </is>
      </c>
      <c r="F563" s="2" t="n">
        <v>3</v>
      </c>
      <c r="G563" s="2" t="n">
        <v>3</v>
      </c>
      <c r="H563" s="2" t="n">
        <v>8</v>
      </c>
      <c r="I563" s="2" t="n">
        <v>20</v>
      </c>
      <c r="J563" s="5">
        <f>SUM(F563:I563)</f>
        <v/>
      </c>
      <c r="K563" s="4" t="inlineStr">
        <is>
          <t>LAYISO等で代替可</t>
        </is>
      </c>
      <c r="L563" s="3" t="inlineStr">
        <is>
          <t>VitalGG</t>
        </is>
      </c>
      <c r="M563" s="3" t="inlineStr">
        <is>
          <t>@lisp 应用云</t>
        </is>
      </c>
      <c r="N563" s="6" t="inlineStr">
        <is>
          <t>開く</t>
        </is>
      </c>
    </row>
    <row r="564">
      <c r="A564" s="2">
        <f>RANK(J564,$J$2:$J$656)</f>
        <v/>
      </c>
      <c r="B564" s="3" t="inlineStr">
        <is>
          <t>画層</t>
        </is>
      </c>
      <c r="C564" s="3" t="inlineStr">
        <is>
          <t>-</t>
        </is>
      </c>
      <c r="D564" s="4" t="inlineStr">
        <is>
          <t>图层管理：选层单开/单关/全开</t>
        </is>
      </c>
      <c r="E564" s="4" t="inlineStr">
        <is>
          <t>選択画層のみ表示・非表示の切替</t>
        </is>
      </c>
      <c r="F564" s="2" t="n">
        <v>3</v>
      </c>
      <c r="G564" s="2" t="n">
        <v>3</v>
      </c>
      <c r="H564" s="2" t="n">
        <v>8</v>
      </c>
      <c r="I564" s="2" t="n">
        <v>20</v>
      </c>
      <c r="J564" s="5">
        <f>SUM(F564:I564)</f>
        <v/>
      </c>
      <c r="K564" s="4" t="inlineStr">
        <is>
          <t>LAYISOで代替</t>
        </is>
      </c>
      <c r="L564" s="3" t="inlineStr">
        <is>
          <t>puzhibing</t>
        </is>
      </c>
      <c r="M564" s="3" t="inlineStr">
        <is>
          <t>明经CAD社区</t>
        </is>
      </c>
      <c r="N564" s="6" t="inlineStr">
        <is>
          <t>開く</t>
        </is>
      </c>
    </row>
    <row r="565">
      <c r="A565" s="2">
        <f>RANK(J565,$J$2:$J$656)</f>
        <v/>
      </c>
      <c r="B565" s="3" t="inlineStr">
        <is>
          <t>外部参照・図面管理・一括処理</t>
        </is>
      </c>
      <c r="C565" s="3" t="inlineStr">
        <is>
          <t>XFR/XFX/XFD/XFB/BDCZ</t>
        </is>
      </c>
      <c r="D565" s="4" t="inlineStr">
        <is>
          <t>外部参照快捷 (@lisp Block)</t>
        </is>
      </c>
      <c r="E565" s="4" t="inlineStr">
        <is>
          <t>XREFの再ロード・アンロード・バインドを一発</t>
        </is>
      </c>
      <c r="F565" s="2" t="n">
        <v>6</v>
      </c>
      <c r="G565" s="2" t="n">
        <v>4</v>
      </c>
      <c r="H565" s="2" t="n">
        <v>9</v>
      </c>
      <c r="I565" s="2" t="n">
        <v>15</v>
      </c>
      <c r="J565" s="5">
        <f>SUM(F565:I565)</f>
        <v/>
      </c>
      <c r="K565" s="4" t="inlineStr">
        <is>
          <t>XREFパレットで可</t>
        </is>
      </c>
      <c r="L565" s="3" t="inlineStr">
        <is>
          <t>VitalGG</t>
        </is>
      </c>
      <c r="M565" s="3" t="inlineStr">
        <is>
          <t>@lisp 应用云</t>
        </is>
      </c>
      <c r="N565" s="6" t="inlineStr">
        <is>
          <t>開く</t>
        </is>
      </c>
    </row>
    <row r="566">
      <c r="A566" s="2">
        <f>RANK(J566,$J$2:$J$656)</f>
        <v/>
      </c>
      <c r="B566" s="3" t="inlineStr">
        <is>
          <t>建築</t>
        </is>
      </c>
      <c r="C566" s="3" t="inlineStr">
        <is>
          <t>幕墙CAD工具箱</t>
        </is>
      </c>
      <c r="D566" s="4" t="inlineStr">
        <is>
          <t>幕墙CAD工具箱</t>
        </is>
      </c>
      <c r="E566" s="4" t="inlineStr">
        <is>
          <t>カーテンウォール設計用ツール</t>
        </is>
      </c>
      <c r="F566" s="2" t="n">
        <v>14</v>
      </c>
      <c r="G566" s="2" t="n">
        <v>6</v>
      </c>
      <c r="H566" s="2" t="n">
        <v>10</v>
      </c>
      <c r="I566" s="2" t="n">
        <v>4</v>
      </c>
      <c r="J566" s="5">
        <f>SUM(F566:I566)</f>
        <v/>
      </c>
      <c r="K566" s="4" t="inlineStr">
        <is>
          <t>幕壁専用</t>
        </is>
      </c>
      <c r="L566" s="3" t="inlineStr">
        <is>
          <t>VitalGG</t>
        </is>
      </c>
      <c r="M566" s="3" t="inlineStr">
        <is>
          <t>@lisp 应用云</t>
        </is>
      </c>
      <c r="N566" s="6" t="inlineStr">
        <is>
          <t>開く</t>
        </is>
      </c>
    </row>
    <row r="567">
      <c r="A567" s="2">
        <f>RANK(J567,$J$2:$J$656)</f>
        <v/>
      </c>
      <c r="B567" s="3" t="inlineStr">
        <is>
          <t>構造・鉄骨・機械</t>
        </is>
      </c>
      <c r="C567" s="3" t="inlineStr">
        <is>
          <t>影响系数amax/防震缝宽度</t>
        </is>
      </c>
      <c r="D567" s="4" t="inlineStr">
        <is>
          <t>抗震参数查询 (@lisp结构)</t>
        </is>
      </c>
      <c r="E567" s="4" t="inlineStr">
        <is>
          <t>中国規準の地震影響係数・耐震目地幅計算</t>
        </is>
      </c>
      <c r="F567" s="2" t="n">
        <v>18</v>
      </c>
      <c r="G567" s="2" t="n">
        <v>8</v>
      </c>
      <c r="H567" s="2" t="n">
        <v>6</v>
      </c>
      <c r="I567" s="2" t="n">
        <v>2</v>
      </c>
      <c r="J567" s="5">
        <f>SUM(F567:I567)</f>
        <v/>
      </c>
      <c r="K567" s="4" t="inlineStr">
        <is>
          <t>中国規準専用</t>
        </is>
      </c>
      <c r="L567" s="3" t="inlineStr">
        <is>
          <t>VitalGG</t>
        </is>
      </c>
      <c r="M567" s="3" t="inlineStr">
        <is>
          <t>@lisp 应用云</t>
        </is>
      </c>
      <c r="N567" s="6" t="inlineStr">
        <is>
          <t>開く</t>
        </is>
      </c>
    </row>
    <row r="568">
      <c r="A568" s="2">
        <f>RANK(J568,$J$2:$J$656)</f>
        <v/>
      </c>
      <c r="B568" s="3" t="inlineStr">
        <is>
          <t>構造・鉄骨・機械</t>
        </is>
      </c>
      <c r="C568" s="3" t="inlineStr">
        <is>
          <t>[CR]</t>
        </is>
      </c>
      <c r="D568" s="4" t="inlineStr">
        <is>
          <t>插入PKPM计算书</t>
        </is>
      </c>
      <c r="E568" s="4" t="inlineStr">
        <is>
          <t>PKPM構造計算書を図面に挿入</t>
        </is>
      </c>
      <c r="F568" s="2" t="n">
        <v>16</v>
      </c>
      <c r="G568" s="2" t="n">
        <v>8</v>
      </c>
      <c r="H568" s="2" t="n">
        <v>8</v>
      </c>
      <c r="I568" s="2" t="n">
        <v>2</v>
      </c>
      <c r="J568" s="5">
        <f>SUM(F568:I568)</f>
        <v/>
      </c>
      <c r="K568" s="4" t="inlineStr">
        <is>
          <t>PKPM専用</t>
        </is>
      </c>
      <c r="L568" s="3" t="inlineStr">
        <is>
          <t>蔡建伟</t>
        </is>
      </c>
      <c r="M568" s="3" t="inlineStr">
        <is>
          <t>@lisp 应用云</t>
        </is>
      </c>
      <c r="N568" s="6" t="inlineStr">
        <is>
          <t>開く</t>
        </is>
      </c>
    </row>
    <row r="569">
      <c r="A569" s="2">
        <f>RANK(J569,$J$2:$J$656)</f>
        <v/>
      </c>
      <c r="B569" s="3" t="inlineStr">
        <is>
          <t>線・ポリライン編集</t>
        </is>
      </c>
      <c r="C569" s="3" t="inlineStr">
        <is>
          <t>-</t>
        </is>
      </c>
      <c r="D569" s="4" t="inlineStr">
        <is>
          <t>曲线连接程序</t>
        </is>
      </c>
      <c r="E569" s="4" t="inlineStr">
        <is>
          <t>曲線同士を滑らかに接続</t>
        </is>
      </c>
      <c r="F569" s="2" t="n">
        <v>8</v>
      </c>
      <c r="G569" s="2" t="n">
        <v>6</v>
      </c>
      <c r="H569" s="2" t="n">
        <v>8</v>
      </c>
      <c r="I569" s="2" t="n">
        <v>12</v>
      </c>
      <c r="J569" s="5">
        <f>SUM(F569:I569)</f>
        <v/>
      </c>
      <c r="K569" s="4" t="inlineStr">
        <is>
          <t>BLENDで代替</t>
        </is>
      </c>
      <c r="L569" s="3" t="inlineStr"/>
      <c r="M569" s="3" t="inlineStr">
        <is>
          <t>GitHub: zhugecaomao/AutoLISP</t>
        </is>
      </c>
      <c r="N569" s="6" t="inlineStr">
        <is>
          <t>開く</t>
        </is>
      </c>
    </row>
    <row r="570">
      <c r="A570" s="2">
        <f>RANK(J570,$J$2:$J$656)</f>
        <v/>
      </c>
      <c r="B570" s="3" t="inlineStr">
        <is>
          <t>設備</t>
        </is>
      </c>
      <c r="C570" s="3" t="inlineStr">
        <is>
          <t>绘制法兰</t>
        </is>
      </c>
      <c r="D570" s="4" t="inlineStr">
        <is>
          <t>法兰工具</t>
        </is>
      </c>
      <c r="E570" s="4" t="inlineStr">
        <is>
          <t>DN指定で規格フランジを作図</t>
        </is>
      </c>
      <c r="F570" s="2" t="n">
        <v>14</v>
      </c>
      <c r="G570" s="2" t="n">
        <v>5</v>
      </c>
      <c r="H570" s="2" t="n">
        <v>10</v>
      </c>
      <c r="I570" s="2" t="n">
        <v>5</v>
      </c>
      <c r="J570" s="5">
        <f>SUM(F570:I570)</f>
        <v/>
      </c>
      <c r="K570" s="4" t="inlineStr">
        <is>
          <t>標準フランジ作図</t>
        </is>
      </c>
      <c r="L570" s="3" t="inlineStr">
        <is>
          <t>VitalGG</t>
        </is>
      </c>
      <c r="M570" s="3" t="inlineStr">
        <is>
          <t>@lisp 应用云</t>
        </is>
      </c>
      <c r="N570" s="6" t="inlineStr">
        <is>
          <t>開く</t>
        </is>
      </c>
    </row>
    <row r="571">
      <c r="A571" s="2">
        <f>RANK(J571,$J$2:$J$656)</f>
        <v/>
      </c>
      <c r="B571" s="3" t="inlineStr">
        <is>
          <t>作図</t>
        </is>
      </c>
      <c r="C571" s="3" t="inlineStr">
        <is>
          <t>绘图匠HTJ</t>
        </is>
      </c>
      <c r="D571" s="4" t="inlineStr">
        <is>
          <t>绘图匠</t>
        </is>
      </c>
      <c r="E571" s="4" t="inlineStr">
        <is>
          <t>文字・構造壁柱・ブロック編集ツール群</t>
        </is>
      </c>
      <c r="F571" s="2" t="n">
        <v>8</v>
      </c>
      <c r="G571" s="2" t="n">
        <v>6</v>
      </c>
      <c r="H571" s="2" t="n">
        <v>10</v>
      </c>
      <c r="I571" s="2" t="n">
        <v>10</v>
      </c>
      <c r="J571" s="5">
        <f>SUM(F571:I571)</f>
        <v/>
      </c>
      <c r="K571" s="4" t="inlineStr">
        <is>
          <t>汎用ツール集</t>
        </is>
      </c>
      <c r="L571" s="3" t="inlineStr">
        <is>
          <t>VitalGG</t>
        </is>
      </c>
      <c r="M571" s="3" t="inlineStr">
        <is>
          <t>@lisp 应用云</t>
        </is>
      </c>
      <c r="N571" s="6" t="inlineStr">
        <is>
          <t>開く</t>
        </is>
      </c>
    </row>
    <row r="572">
      <c r="A572" s="2">
        <f>RANK(J572,$J$2:$J$656)</f>
        <v/>
      </c>
      <c r="B572" s="3" t="inlineStr">
        <is>
          <t>線・ポリライン編集</t>
        </is>
      </c>
      <c r="C572" s="3" t="inlineStr">
        <is>
          <t>-</t>
        </is>
      </c>
      <c r="D572" s="4" t="inlineStr">
        <is>
          <t>超级简化pedit命令</t>
        </is>
      </c>
      <c r="E572" s="4" t="inlineStr">
        <is>
          <t>PEDITの結合・幅変更を簡略化</t>
        </is>
      </c>
      <c r="F572" s="2" t="n">
        <v>4</v>
      </c>
      <c r="G572" s="2" t="n">
        <v>4</v>
      </c>
      <c r="H572" s="2" t="n">
        <v>10</v>
      </c>
      <c r="I572" s="2" t="n">
        <v>16</v>
      </c>
      <c r="J572" s="5">
        <f>SUM(F572:I572)</f>
        <v/>
      </c>
      <c r="K572" s="4" t="inlineStr">
        <is>
          <t>標準で十分</t>
        </is>
      </c>
      <c r="L572" s="3" t="inlineStr">
        <is>
          <t>idfhm</t>
        </is>
      </c>
      <c r="M572" s="3" t="inlineStr">
        <is>
          <t>明经CAD社区</t>
        </is>
      </c>
      <c r="N572" s="6" t="inlineStr">
        <is>
          <t>開く</t>
        </is>
      </c>
    </row>
    <row r="573">
      <c r="A573" s="2">
        <f>RANK(J573,$J$2:$J$656)</f>
        <v/>
      </c>
      <c r="B573" s="3" t="inlineStr">
        <is>
          <t>構造・鉄骨・機械</t>
        </is>
      </c>
      <c r="C573" s="3" t="inlineStr">
        <is>
          <t>绘圆锯片/绘直锯齿</t>
        </is>
      </c>
      <c r="D573" s="4" t="inlineStr">
        <is>
          <t>锯片</t>
        </is>
      </c>
      <c r="E573" s="4" t="inlineStr">
        <is>
          <t>丸鋸刃・直線鋸歯を作図</t>
        </is>
      </c>
      <c r="F573" s="2" t="n">
        <v>16</v>
      </c>
      <c r="G573" s="2" t="n">
        <v>8</v>
      </c>
      <c r="H573" s="2" t="n">
        <v>8</v>
      </c>
      <c r="I573" s="2" t="n">
        <v>2</v>
      </c>
      <c r="J573" s="5">
        <f>SUM(F573:I573)</f>
        <v/>
      </c>
      <c r="K573" s="4" t="inlineStr">
        <is>
          <t>特定製品作図</t>
        </is>
      </c>
      <c r="L573" s="3" t="inlineStr">
        <is>
          <t>VitalGG</t>
        </is>
      </c>
      <c r="M573" s="3" t="inlineStr">
        <is>
          <t>@lisp 应用云</t>
        </is>
      </c>
      <c r="N573" s="6" t="inlineStr">
        <is>
          <t>開く</t>
        </is>
      </c>
    </row>
    <row r="574">
      <c r="A574" s="2">
        <f>RANK(J574,$J$2:$J$656)</f>
        <v/>
      </c>
      <c r="B574" s="3" t="inlineStr">
        <is>
          <t>LISP開発用の部品</t>
        </is>
      </c>
      <c r="C574" s="3" t="inlineStr">
        <is>
          <t>-</t>
        </is>
      </c>
      <c r="D574" s="4" t="inlineStr">
        <is>
          <t>block: 图块/外部参照</t>
        </is>
      </c>
      <c r="E574" s="4" t="inlineStr">
        <is>
          <t>ブロック属性取得・XREF添付・座標変換</t>
        </is>
      </c>
      <c r="F574" s="2" t="n">
        <v>8</v>
      </c>
      <c r="G574" s="2" t="n">
        <v>6</v>
      </c>
      <c r="H574" s="2" t="n">
        <v>5</v>
      </c>
      <c r="I574" s="2" t="n">
        <v>14</v>
      </c>
      <c r="J574" s="5">
        <f>SUM(F574:I574)</f>
        <v/>
      </c>
      <c r="K574" s="4" t="inlineStr">
        <is>
          <t>ブロック内座標変換が有用</t>
        </is>
      </c>
      <c r="L574" s="3" t="inlineStr">
        <is>
          <t>VitalGG</t>
        </is>
      </c>
      <c r="M574" s="3" t="inlineStr">
        <is>
          <t>GitHub: atlisp-org/atlisp-lib</t>
        </is>
      </c>
      <c r="N574" s="6" t="inlineStr">
        <is>
          <t>開く</t>
        </is>
      </c>
    </row>
    <row r="575">
      <c r="A575" s="2">
        <f>RANK(J575,$J$2:$J$656)</f>
        <v/>
      </c>
      <c r="B575" s="3" t="inlineStr">
        <is>
          <t>LISP開発用の部品</t>
        </is>
      </c>
      <c r="C575" s="3" t="inlineStr">
        <is>
          <t>-</t>
        </is>
      </c>
      <c r="D575" s="4" t="inlineStr">
        <is>
          <t>entity: 图元操作</t>
        </is>
      </c>
      <c r="E575" s="4" t="inlineStr">
        <is>
          <t>図形生成・層設定・ブロック化等の図元操作関数</t>
        </is>
      </c>
      <c r="F575" s="2" t="n">
        <v>8</v>
      </c>
      <c r="G575" s="2" t="n">
        <v>6</v>
      </c>
      <c r="H575" s="2" t="n">
        <v>5</v>
      </c>
      <c r="I575" s="2" t="n">
        <v>14</v>
      </c>
      <c r="J575" s="5">
        <f>SUM(F575:I575)</f>
        <v/>
      </c>
      <c r="K575" s="4" t="inlineStr">
        <is>
          <t>entmake系ラッパー集</t>
        </is>
      </c>
      <c r="L575" s="3" t="inlineStr">
        <is>
          <t>VitalGG</t>
        </is>
      </c>
      <c r="M575" s="3" t="inlineStr">
        <is>
          <t>GitHub: atlisp-org/atlisp-lib</t>
        </is>
      </c>
      <c r="N575" s="6" t="inlineStr">
        <is>
          <t>開く</t>
        </is>
      </c>
    </row>
    <row r="576">
      <c r="A576" s="2">
        <f>RANK(J576,$J$2:$J$656)</f>
        <v/>
      </c>
      <c r="B576" s="3" t="inlineStr">
        <is>
          <t>文字・テキスト</t>
        </is>
      </c>
      <c r="C576" s="3" t="inlineStr">
        <is>
          <t>单行转多</t>
        </is>
      </c>
      <c r="D576" s="4" t="inlineStr">
        <is>
          <t>单行转多行 (@lisp文本)</t>
        </is>
      </c>
      <c r="E576" s="4" t="inlineStr">
        <is>
          <t>複数の単線文字をMTEXTに結合</t>
        </is>
      </c>
      <c r="F576" s="2" t="n">
        <v>4</v>
      </c>
      <c r="G576" s="2" t="n">
        <v>3</v>
      </c>
      <c r="H576" s="2" t="n">
        <v>8</v>
      </c>
      <c r="I576" s="2" t="n">
        <v>18</v>
      </c>
      <c r="J576" s="5">
        <f>SUM(F576:I576)</f>
        <v/>
      </c>
      <c r="K576" s="4" t="inlineStr">
        <is>
          <t>TXT2MTXTで代替可</t>
        </is>
      </c>
      <c r="L576" s="3" t="inlineStr">
        <is>
          <t>VitalGG</t>
        </is>
      </c>
      <c r="M576" s="3" t="inlineStr">
        <is>
          <t>@lisp 应用云</t>
        </is>
      </c>
      <c r="N576" s="6" t="inlineStr">
        <is>
          <t>開く</t>
        </is>
      </c>
    </row>
    <row r="577">
      <c r="A577" s="2">
        <f>RANK(J577,$J$2:$J$656)</f>
        <v/>
      </c>
      <c r="B577" s="3" t="inlineStr">
        <is>
          <t>線・ポリライン編集</t>
        </is>
      </c>
      <c r="C577" s="3" t="inlineStr">
        <is>
          <t>-</t>
        </is>
      </c>
      <c r="D577" s="4" t="inlineStr">
        <is>
          <t>批量连接直线圆弧多义线</t>
        </is>
      </c>
      <c r="E577" s="4" t="inlineStr">
        <is>
          <t>複数の線・円弧・PLを一括接続</t>
        </is>
      </c>
      <c r="F577" s="2" t="n">
        <v>4</v>
      </c>
      <c r="G577" s="2" t="n">
        <v>3</v>
      </c>
      <c r="H577" s="2" t="n">
        <v>10</v>
      </c>
      <c r="I577" s="2" t="n">
        <v>16</v>
      </c>
      <c r="J577" s="5">
        <f>SUM(F577:I577)</f>
        <v/>
      </c>
      <c r="K577" s="4" t="inlineStr">
        <is>
          <t>JOINで代替</t>
        </is>
      </c>
      <c r="L577" s="3" t="inlineStr">
        <is>
          <t>hhh454</t>
        </is>
      </c>
      <c r="M577" s="3" t="inlineStr">
        <is>
          <t>明经CAD社区</t>
        </is>
      </c>
      <c r="N577" s="6" t="inlineStr">
        <is>
          <t>開く</t>
        </is>
      </c>
    </row>
    <row r="578">
      <c r="A578" s="2">
        <f>RANK(J578,$J$2:$J$656)</f>
        <v/>
      </c>
      <c r="B578" s="3" t="inlineStr">
        <is>
          <t>構造・鉄骨・機械</t>
        </is>
      </c>
      <c r="C578" s="3" t="inlineStr">
        <is>
          <t>线切割</t>
        </is>
      </c>
      <c r="D578" s="4" t="inlineStr">
        <is>
          <t>线切割</t>
        </is>
      </c>
      <c r="E578" s="4" t="inlineStr">
        <is>
          <t>ワイヤカット加工用の図形処理</t>
        </is>
      </c>
      <c r="F578" s="2" t="n">
        <v>14</v>
      </c>
      <c r="G578" s="2" t="n">
        <v>8</v>
      </c>
      <c r="H578" s="2" t="n">
        <v>8</v>
      </c>
      <c r="I578" s="2" t="n">
        <v>3</v>
      </c>
      <c r="J578" s="5">
        <f>SUM(F578:I578)</f>
        <v/>
      </c>
      <c r="K578" s="4" t="inlineStr">
        <is>
          <t>加工専用</t>
        </is>
      </c>
      <c r="L578" s="3" t="inlineStr">
        <is>
          <t>VitalGG</t>
        </is>
      </c>
      <c r="M578" s="3" t="inlineStr">
        <is>
          <t>@lisp 应用云</t>
        </is>
      </c>
      <c r="N578" s="6" t="inlineStr">
        <is>
          <t>開く</t>
        </is>
      </c>
    </row>
    <row r="579">
      <c r="A579" s="2">
        <f>RANK(J579,$J$2:$J$656)</f>
        <v/>
      </c>
      <c r="B579" s="3" t="inlineStr">
        <is>
          <t>構造・鉄骨・機械</t>
        </is>
      </c>
      <c r="C579" s="3" t="inlineStr">
        <is>
          <t>结构工具集</t>
        </is>
      </c>
      <c r="D579" s="4" t="inlineStr">
        <is>
          <t>结构工具集</t>
        </is>
      </c>
      <c r="E579" s="4" t="inlineStr">
        <is>
          <t>鉄筋・鋼構造の照会表、構造柱注記</t>
        </is>
      </c>
      <c r="F579" s="2" t="n">
        <v>12</v>
      </c>
      <c r="G579" s="2" t="n">
        <v>6</v>
      </c>
      <c r="H579" s="2" t="n">
        <v>10</v>
      </c>
      <c r="I579" s="2" t="n">
        <v>5</v>
      </c>
      <c r="J579" s="5">
        <f>SUM(F579:I579)</f>
        <v/>
      </c>
      <c r="K579" s="4" t="inlineStr">
        <is>
          <t>構造計算補助</t>
        </is>
      </c>
      <c r="L579" s="3" t="inlineStr">
        <is>
          <t>VitalGG</t>
        </is>
      </c>
      <c r="M579" s="3" t="inlineStr">
        <is>
          <t>@lisp 应用云</t>
        </is>
      </c>
      <c r="N579" s="6" t="inlineStr">
        <is>
          <t>開く</t>
        </is>
      </c>
    </row>
    <row r="580">
      <c r="A580" s="2">
        <f>RANK(J580,$J$2:$J$656)</f>
        <v/>
      </c>
      <c r="B580" s="3" t="inlineStr">
        <is>
          <t>ブロック・属性</t>
        </is>
      </c>
      <c r="C580" s="3" t="inlineStr">
        <is>
          <t>@block:explodable</t>
        </is>
      </c>
      <c r="D580" s="4" t="inlineStr">
        <is>
          <t>设置可分解 (@lisp Block)</t>
        </is>
      </c>
      <c r="E580" s="4" t="inlineStr">
        <is>
          <t>ブロックの分解可否を一括切替</t>
        </is>
      </c>
      <c r="F580" s="2" t="n">
        <v>10</v>
      </c>
      <c r="G580" s="2" t="n">
        <v>6</v>
      </c>
      <c r="H580" s="2" t="n">
        <v>5</v>
      </c>
      <c r="I580" s="2" t="n">
        <v>12</v>
      </c>
      <c r="J580" s="5">
        <f>SUM(F580:I580)</f>
        <v/>
      </c>
      <c r="K580" s="4" t="inlineStr">
        <is>
          <t>ブロックエディタで可</t>
        </is>
      </c>
      <c r="L580" s="3" t="inlineStr">
        <is>
          <t>VitalGG</t>
        </is>
      </c>
      <c r="M580" s="3" t="inlineStr">
        <is>
          <t>@lisp 应用云</t>
        </is>
      </c>
      <c r="N580" s="6" t="inlineStr">
        <is>
          <t>開く</t>
        </is>
      </c>
    </row>
    <row r="581">
      <c r="A581" s="2">
        <f>RANK(J581,$J$2:$J$656)</f>
        <v/>
      </c>
      <c r="B581" s="3" t="inlineStr">
        <is>
          <t>LISP開発用の部品</t>
        </is>
      </c>
      <c r="C581" s="3" t="inlineStr">
        <is>
          <t>@lisp Dev-tools</t>
        </is>
      </c>
      <c r="D581" s="4" t="inlineStr">
        <is>
          <t>@lisp Dev-tools</t>
        </is>
      </c>
      <c r="E581" s="4" t="inlineStr">
        <is>
          <t>パッケージ作成・コンパイル・公開ツール</t>
        </is>
      </c>
      <c r="F581" s="2" t="n">
        <v>12</v>
      </c>
      <c r="G581" s="2" t="n">
        <v>10</v>
      </c>
      <c r="H581" s="2" t="n">
        <v>4</v>
      </c>
      <c r="I581" s="2" t="n">
        <v>6</v>
      </c>
      <c r="J581" s="5">
        <f>SUM(F581:I581)</f>
        <v/>
      </c>
      <c r="K581" s="4" t="inlineStr">
        <is>
          <t>配布基盤</t>
        </is>
      </c>
      <c r="L581" s="3" t="inlineStr">
        <is>
          <t>VitalGG</t>
        </is>
      </c>
      <c r="M581" s="3" t="inlineStr">
        <is>
          <t>@lisp 应用云</t>
        </is>
      </c>
      <c r="N581" s="6" t="inlineStr">
        <is>
          <t>開く</t>
        </is>
      </c>
    </row>
    <row r="582">
      <c r="A582" s="2">
        <f>RANK(J582,$J$2:$J$656)</f>
        <v/>
      </c>
      <c r="B582" s="3" t="inlineStr">
        <is>
          <t>印刷・レイアウト・図枠</t>
        </is>
      </c>
      <c r="C582" s="3" t="inlineStr">
        <is>
          <t>@lisp布局</t>
        </is>
      </c>
      <c r="D582" s="4" t="inlineStr">
        <is>
          <t>@lisp布局</t>
        </is>
      </c>
      <c r="E582" s="4" t="inlineStr">
        <is>
          <t>レイアウト関連ツール</t>
        </is>
      </c>
      <c r="F582" s="2" t="n">
        <v>6</v>
      </c>
      <c r="G582" s="2" t="n">
        <v>4</v>
      </c>
      <c r="H582" s="2" t="n">
        <v>8</v>
      </c>
      <c r="I582" s="2" t="n">
        <v>14</v>
      </c>
      <c r="J582" s="5">
        <f>SUM(F582:I582)</f>
        <v/>
      </c>
      <c r="K582" s="4" t="inlineStr">
        <is>
          <t>布局補助</t>
        </is>
      </c>
      <c r="L582" s="3" t="inlineStr">
        <is>
          <t>VitalGG</t>
        </is>
      </c>
      <c r="M582" s="3" t="inlineStr">
        <is>
          <t>@lisp 应用云</t>
        </is>
      </c>
      <c r="N582" s="6" t="inlineStr">
        <is>
          <t>開く</t>
        </is>
      </c>
    </row>
    <row r="583">
      <c r="A583" s="2">
        <f>RANK(J583,$J$2:$J$656)</f>
        <v/>
      </c>
      <c r="B583" s="3" t="inlineStr">
        <is>
          <t>LISP開発用の部品</t>
        </is>
      </c>
      <c r="C583" s="3" t="inlineStr">
        <is>
          <t>-</t>
        </is>
      </c>
      <c r="D583" s="4" t="inlineStr">
        <is>
          <t>clipboard: 剪贴板</t>
        </is>
      </c>
      <c r="E583" s="4" t="inlineStr">
        <is>
          <t>クリップボード取得・設定</t>
        </is>
      </c>
      <c r="F583" s="2" t="n">
        <v>10</v>
      </c>
      <c r="G583" s="2" t="n">
        <v>6</v>
      </c>
      <c r="H583" s="2" t="n">
        <v>4</v>
      </c>
      <c r="I583" s="2" t="n">
        <v>12</v>
      </c>
      <c r="J583" s="5">
        <f>SUM(F583:I583)</f>
        <v/>
      </c>
      <c r="K583" s="4" t="inlineStr">
        <is>
          <t>外部連携の基礎</t>
        </is>
      </c>
      <c r="L583" s="3" t="inlineStr">
        <is>
          <t>VitalGG</t>
        </is>
      </c>
      <c r="M583" s="3" t="inlineStr">
        <is>
          <t>GitHub: atlisp-org/atlisp-lib</t>
        </is>
      </c>
      <c r="N583" s="6" t="inlineStr">
        <is>
          <t>開く</t>
        </is>
      </c>
    </row>
    <row r="584">
      <c r="A584" s="2">
        <f>RANK(J584,$J$2:$J$656)</f>
        <v/>
      </c>
      <c r="B584" s="3" t="inlineStr">
        <is>
          <t>LISP開発用の部品</t>
        </is>
      </c>
      <c r="C584" s="3" t="inlineStr">
        <is>
          <t>-</t>
        </is>
      </c>
      <c r="D584" s="4" t="inlineStr">
        <is>
          <t>layout: 布局</t>
        </is>
      </c>
      <c r="E584" s="4" t="inlineStr">
        <is>
          <t>レイアウト並べ替え・改名・モデルから生成</t>
        </is>
      </c>
      <c r="F584" s="2" t="n">
        <v>9</v>
      </c>
      <c r="G584" s="2" t="n">
        <v>6</v>
      </c>
      <c r="H584" s="2" t="n">
        <v>5</v>
      </c>
      <c r="I584" s="2" t="n">
        <v>12</v>
      </c>
      <c r="J584" s="5">
        <f>SUM(F584:I584)</f>
        <v/>
      </c>
      <c r="K584" s="4" t="inlineStr">
        <is>
          <t>レイアウト名順ソート</t>
        </is>
      </c>
      <c r="L584" s="3" t="inlineStr">
        <is>
          <t>VitalGG</t>
        </is>
      </c>
      <c r="M584" s="3" t="inlineStr">
        <is>
          <t>GitHub: atlisp-org/atlisp-lib</t>
        </is>
      </c>
      <c r="N584" s="6" t="inlineStr">
        <is>
          <t>開く</t>
        </is>
      </c>
    </row>
    <row r="585">
      <c r="A585" s="2">
        <f>RANK(J585,$J$2:$J$656)</f>
        <v/>
      </c>
      <c r="B585" s="3" t="inlineStr">
        <is>
          <t>LISP開発用の部品</t>
        </is>
      </c>
      <c r="C585" s="3" t="inlineStr">
        <is>
          <t>-</t>
        </is>
      </c>
      <c r="D585" s="4" t="inlineStr">
        <is>
          <t>string: 字符串</t>
        </is>
      </c>
      <c r="E585" s="4" t="inlineStr">
        <is>
          <t>文字列分割（数字・英字・漢字自動区切り）等</t>
        </is>
      </c>
      <c r="F585" s="2" t="n">
        <v>7</v>
      </c>
      <c r="G585" s="2" t="n">
        <v>8</v>
      </c>
      <c r="H585" s="2" t="n">
        <v>4</v>
      </c>
      <c r="I585" s="2" t="n">
        <v>13</v>
      </c>
      <c r="J585" s="5">
        <f>SUM(F585:I585)</f>
        <v/>
      </c>
      <c r="K585" s="4" t="inlineStr">
        <is>
          <t>漢字対応の分割が独自</t>
        </is>
      </c>
      <c r="L585" s="3" t="inlineStr">
        <is>
          <t>VitalGG</t>
        </is>
      </c>
      <c r="M585" s="3" t="inlineStr">
        <is>
          <t>GitHub: atlisp-org/atlisp-lib</t>
        </is>
      </c>
      <c r="N585" s="6" t="inlineStr">
        <is>
          <t>開く</t>
        </is>
      </c>
    </row>
    <row r="586">
      <c r="A586" s="2">
        <f>RANK(J586,$J$2:$J$656)</f>
        <v/>
      </c>
      <c r="B586" s="3" t="inlineStr">
        <is>
          <t>建築</t>
        </is>
      </c>
      <c r="C586" s="3" t="inlineStr">
        <is>
          <t>园林植物</t>
        </is>
      </c>
      <c r="D586" s="4" t="inlineStr">
        <is>
          <t>园林植物设计</t>
        </is>
      </c>
      <c r="E586" s="4" t="inlineStr">
        <is>
          <t>造園植栽設計プラグイン(XXLH)</t>
        </is>
      </c>
      <c r="F586" s="2" t="n">
        <v>12</v>
      </c>
      <c r="G586" s="2" t="n">
        <v>6</v>
      </c>
      <c r="H586" s="2" t="n">
        <v>10</v>
      </c>
      <c r="I586" s="2" t="n">
        <v>4</v>
      </c>
      <c r="J586" s="5">
        <f>SUM(F586:I586)</f>
        <v/>
      </c>
      <c r="K586" s="4" t="inlineStr">
        <is>
          <t>造園専用</t>
        </is>
      </c>
      <c r="L586" s="3" t="inlineStr">
        <is>
          <t>VitalGG</t>
        </is>
      </c>
      <c r="M586" s="3" t="inlineStr">
        <is>
          <t>@lisp 应用云</t>
        </is>
      </c>
      <c r="N586" s="6" t="inlineStr">
        <is>
          <t>開く</t>
        </is>
      </c>
    </row>
    <row r="587">
      <c r="A587" s="2">
        <f>RANK(J587,$J$2:$J$656)</f>
        <v/>
      </c>
      <c r="B587" s="3" t="inlineStr">
        <is>
          <t>外部参照・図面管理・一括処理</t>
        </is>
      </c>
      <c r="C587" s="3" t="inlineStr">
        <is>
          <t>-</t>
        </is>
      </c>
      <c r="D587" s="4" t="inlineStr">
        <is>
          <t>外部参照文件管理</t>
        </is>
      </c>
      <c r="E587" s="4" t="inlineStr">
        <is>
          <t>XREFの管理</t>
        </is>
      </c>
      <c r="F587" s="2" t="n">
        <v>6</v>
      </c>
      <c r="G587" s="2" t="n">
        <v>4</v>
      </c>
      <c r="H587" s="2" t="n">
        <v>8</v>
      </c>
      <c r="I587" s="2" t="n">
        <v>14</v>
      </c>
      <c r="J587" s="5">
        <f>SUM(F587:I587)</f>
        <v/>
      </c>
      <c r="K587" s="4" t="inlineStr">
        <is>
          <t>XREFパレットで可</t>
        </is>
      </c>
      <c r="L587" s="3" t="inlineStr">
        <is>
          <t>zhaomc520</t>
        </is>
      </c>
      <c r="M587" s="3" t="inlineStr">
        <is>
          <t>明经CAD社区</t>
        </is>
      </c>
      <c r="N587" s="6" t="inlineStr">
        <is>
          <t>開く</t>
        </is>
      </c>
    </row>
    <row r="588">
      <c r="A588" s="2">
        <f>RANK(J588,$J$2:$J$656)</f>
        <v/>
      </c>
      <c r="B588" s="3" t="inlineStr">
        <is>
          <t>建築</t>
        </is>
      </c>
      <c r="C588" s="3" t="inlineStr">
        <is>
          <t>天正建筑</t>
        </is>
      </c>
      <c r="D588" s="4" t="inlineStr">
        <is>
          <t>天正建筑操作</t>
        </is>
      </c>
      <c r="E588" s="4" t="inlineStr">
        <is>
          <t>天正建築オブジェクトの操作補助</t>
        </is>
      </c>
      <c r="F588" s="2" t="n">
        <v>15</v>
      </c>
      <c r="G588" s="2" t="n">
        <v>6</v>
      </c>
      <c r="H588" s="2" t="n">
        <v>8</v>
      </c>
      <c r="I588" s="2" t="n">
        <v>3</v>
      </c>
      <c r="J588" s="5">
        <f>SUM(F588:I588)</f>
        <v/>
      </c>
      <c r="K588" s="4" t="inlineStr">
        <is>
          <t>天正専用</t>
        </is>
      </c>
      <c r="L588" s="3" t="inlineStr">
        <is>
          <t>VitalGG</t>
        </is>
      </c>
      <c r="M588" s="3" t="inlineStr">
        <is>
          <t>@lisp 应用云</t>
        </is>
      </c>
      <c r="N588" s="6" t="inlineStr">
        <is>
          <t>開く</t>
        </is>
      </c>
    </row>
    <row r="589">
      <c r="A589" s="2">
        <f>RANK(J589,$J$2:$J$656)</f>
        <v/>
      </c>
      <c r="B589" s="3" t="inlineStr">
        <is>
          <t>作図</t>
        </is>
      </c>
      <c r="C589" s="3" t="inlineStr">
        <is>
          <t>少数派</t>
        </is>
      </c>
      <c r="D589" s="4" t="inlineStr">
        <is>
          <t>少数派 参数化绘图</t>
        </is>
      </c>
      <c r="E589" s="4" t="inlineStr">
        <is>
          <t>パラメトリック作図</t>
        </is>
      </c>
      <c r="F589" s="2" t="n">
        <v>10</v>
      </c>
      <c r="G589" s="2" t="n">
        <v>8</v>
      </c>
      <c r="H589" s="2" t="n">
        <v>6</v>
      </c>
      <c r="I589" s="2" t="n">
        <v>8</v>
      </c>
      <c r="J589" s="5">
        <f>SUM(F589:I589)</f>
        <v/>
      </c>
      <c r="K589" s="4" t="inlineStr">
        <is>
          <t>内容不詳</t>
        </is>
      </c>
      <c r="L589" s="3" t="inlineStr">
        <is>
          <t>VitalGG</t>
        </is>
      </c>
      <c r="M589" s="3" t="inlineStr">
        <is>
          <t>@lisp 应用云</t>
        </is>
      </c>
      <c r="N589" s="6" t="inlineStr">
        <is>
          <t>開く</t>
        </is>
      </c>
    </row>
    <row r="590">
      <c r="A590" s="2">
        <f>RANK(J590,$J$2:$J$656)</f>
        <v/>
      </c>
      <c r="B590" s="3" t="inlineStr">
        <is>
          <t>構造・鉄骨・機械</t>
        </is>
      </c>
      <c r="C590" s="3" t="inlineStr">
        <is>
          <t>LSS</t>
        </is>
      </c>
      <c r="D590" s="4" t="inlineStr">
        <is>
          <t>常用螺栓命令</t>
        </is>
      </c>
      <c r="E590" s="4" t="inlineStr">
        <is>
          <t>標準ボルトの作図</t>
        </is>
      </c>
      <c r="F590" s="2" t="n">
        <v>12</v>
      </c>
      <c r="G590" s="2" t="n">
        <v>4</v>
      </c>
      <c r="H590" s="2" t="n">
        <v>10</v>
      </c>
      <c r="I590" s="2" t="n">
        <v>6</v>
      </c>
      <c r="J590" s="5">
        <f>SUM(F590:I590)</f>
        <v/>
      </c>
      <c r="K590" s="4" t="inlineStr">
        <is>
          <t>部品作図</t>
        </is>
      </c>
      <c r="L590" s="3" t="inlineStr">
        <is>
          <t>自贡黄明儒</t>
        </is>
      </c>
      <c r="M590" s="3" t="inlineStr">
        <is>
          <t>明经CAD社区</t>
        </is>
      </c>
      <c r="N590" s="6" t="inlineStr">
        <is>
          <t>開く</t>
        </is>
      </c>
    </row>
    <row r="591">
      <c r="A591" s="2">
        <f>RANK(J591,$J$2:$J$656)</f>
        <v/>
      </c>
      <c r="B591" s="3" t="inlineStr">
        <is>
          <t>構造・鉄骨・機械</t>
        </is>
      </c>
      <c r="C591" s="3" t="inlineStr">
        <is>
          <t>常用螺栓绘制</t>
        </is>
      </c>
      <c r="D591" s="4" t="inlineStr">
        <is>
          <t>常用螺栓绘制</t>
        </is>
      </c>
      <c r="E591" s="4" t="inlineStr">
        <is>
          <t>規格ボルトを作図</t>
        </is>
      </c>
      <c r="F591" s="2" t="n">
        <v>12</v>
      </c>
      <c r="G591" s="2" t="n">
        <v>4</v>
      </c>
      <c r="H591" s="2" t="n">
        <v>10</v>
      </c>
      <c r="I591" s="2" t="n">
        <v>6</v>
      </c>
      <c r="J591" s="5">
        <f>SUM(F591:I591)</f>
        <v/>
      </c>
      <c r="K591" s="4" t="inlineStr">
        <is>
          <t>標準部品作図</t>
        </is>
      </c>
      <c r="L591" s="3" t="inlineStr">
        <is>
          <t>黄儒明</t>
        </is>
      </c>
      <c r="M591" s="3" t="inlineStr">
        <is>
          <t>@lisp 应用云</t>
        </is>
      </c>
      <c r="N591" s="6" t="inlineStr">
        <is>
          <t>開く</t>
        </is>
      </c>
    </row>
    <row r="592">
      <c r="A592" s="2">
        <f>RANK(J592,$J$2:$J$656)</f>
        <v/>
      </c>
      <c r="B592" s="3" t="inlineStr">
        <is>
          <t>文字・テキスト</t>
        </is>
      </c>
      <c r="C592" s="3" t="inlineStr">
        <is>
          <t>插特殊符号</t>
        </is>
      </c>
      <c r="D592" s="4" t="inlineStr">
        <is>
          <t>插特殊符号</t>
        </is>
      </c>
      <c r="E592" s="4" t="inlineStr">
        <is>
          <t>鉄筋記号等の特殊記号を挿入</t>
        </is>
      </c>
      <c r="F592" s="2" t="n">
        <v>8</v>
      </c>
      <c r="G592" s="2" t="n">
        <v>4</v>
      </c>
      <c r="H592" s="2" t="n">
        <v>8</v>
      </c>
      <c r="I592" s="2" t="n">
        <v>12</v>
      </c>
      <c r="J592" s="5">
        <f>SUM(F592:I592)</f>
        <v/>
      </c>
      <c r="K592" s="4" t="inlineStr">
        <is>
          <t>記号入力補助</t>
        </is>
      </c>
      <c r="L592" s="3" t="inlineStr">
        <is>
          <t>VitalGG</t>
        </is>
      </c>
      <c r="M592" s="3" t="inlineStr">
        <is>
          <t>@lisp 应用云</t>
        </is>
      </c>
      <c r="N592" s="6" t="inlineStr">
        <is>
          <t>開く</t>
        </is>
      </c>
    </row>
    <row r="593">
      <c r="A593" s="2">
        <f>RANK(J593,$J$2:$J$656)</f>
        <v/>
      </c>
      <c r="B593" s="3" t="inlineStr">
        <is>
          <t>表示・UCS・ビュー</t>
        </is>
      </c>
      <c r="C593" s="3" t="inlineStr">
        <is>
          <t>RV</t>
        </is>
      </c>
      <c r="D593" s="4" t="inlineStr">
        <is>
          <t>旋转视图_v1.7</t>
        </is>
      </c>
      <c r="E593" s="4" t="inlineStr">
        <is>
          <t>モデルUCS/VPのビューを回転</t>
        </is>
      </c>
      <c r="F593" s="2" t="n">
        <v>6</v>
      </c>
      <c r="G593" s="2" t="n">
        <v>4</v>
      </c>
      <c r="H593" s="2" t="n">
        <v>8</v>
      </c>
      <c r="I593" s="2" t="n">
        <v>14</v>
      </c>
      <c r="J593" s="5">
        <f>SUM(F593:I593)</f>
        <v/>
      </c>
      <c r="K593" s="4" t="inlineStr">
        <is>
          <t>標準で可</t>
        </is>
      </c>
      <c r="L593" s="3" t="inlineStr">
        <is>
          <t>kucha007</t>
        </is>
      </c>
      <c r="M593" s="3" t="inlineStr">
        <is>
          <t>明经CAD社区</t>
        </is>
      </c>
      <c r="N593" s="6" t="inlineStr">
        <is>
          <t>開く</t>
        </is>
      </c>
    </row>
    <row r="594">
      <c r="A594" s="2">
        <f>RANK(J594,$J$2:$J$656)</f>
        <v/>
      </c>
      <c r="B594" s="3" t="inlineStr">
        <is>
          <t>LISP開発用の部品</t>
        </is>
      </c>
      <c r="C594" s="3" t="inlineStr">
        <is>
          <t>-</t>
        </is>
      </c>
      <c r="D594" s="4" t="inlineStr">
        <is>
          <t>点与多边形位置关系判断</t>
        </is>
      </c>
      <c r="E594" s="4" t="inlineStr">
        <is>
          <t>点が多角形内外かを判定する関数</t>
        </is>
      </c>
      <c r="F594" s="2" t="n">
        <v>12</v>
      </c>
      <c r="G594" s="2" t="n">
        <v>8</v>
      </c>
      <c r="H594" s="2" t="n">
        <v>4</v>
      </c>
      <c r="I594" s="2" t="n">
        <v>8</v>
      </c>
      <c r="J594" s="5">
        <f>SUM(F594:I594)</f>
        <v/>
      </c>
      <c r="K594" s="4" t="inlineStr">
        <is>
          <t>内外判定</t>
        </is>
      </c>
      <c r="L594" s="3" t="inlineStr">
        <is>
          <t>danberlove</t>
        </is>
      </c>
      <c r="M594" s="3" t="inlineStr">
        <is>
          <t>明经CAD社区</t>
        </is>
      </c>
      <c r="N594" s="6" t="inlineStr">
        <is>
          <t>開く</t>
        </is>
      </c>
    </row>
    <row r="595">
      <c r="A595" s="2">
        <f>RANK(J595,$J$2:$J$656)</f>
        <v/>
      </c>
      <c r="B595" s="3" t="inlineStr">
        <is>
          <t>作図</t>
        </is>
      </c>
      <c r="C595" s="3" t="inlineStr">
        <is>
          <t>-</t>
        </is>
      </c>
      <c r="D595" s="4" t="inlineStr">
        <is>
          <t>画剖面线的小程序</t>
        </is>
      </c>
      <c r="E595" s="4" t="inlineStr">
        <is>
          <t>断面線（切断線）を作図</t>
        </is>
      </c>
      <c r="F595" s="2" t="n">
        <v>10</v>
      </c>
      <c r="G595" s="2" t="n">
        <v>4</v>
      </c>
      <c r="H595" s="2" t="n">
        <v>8</v>
      </c>
      <c r="I595" s="2" t="n">
        <v>10</v>
      </c>
      <c r="J595" s="5">
        <f>SUM(F595:I595)</f>
        <v/>
      </c>
      <c r="K595" s="4" t="inlineStr">
        <is>
          <t>断面線</t>
        </is>
      </c>
      <c r="L595" s="3" t="inlineStr">
        <is>
          <t>ttmc</t>
        </is>
      </c>
      <c r="M595" s="3" t="inlineStr">
        <is>
          <t>明经CAD社区</t>
        </is>
      </c>
      <c r="N595" s="6" t="inlineStr">
        <is>
          <t>開く</t>
        </is>
      </c>
    </row>
    <row r="596">
      <c r="A596" s="2">
        <f>RANK(J596,$J$2:$J$656)</f>
        <v/>
      </c>
      <c r="B596" s="3" t="inlineStr">
        <is>
          <t>作図</t>
        </is>
      </c>
      <c r="C596" s="3" t="inlineStr">
        <is>
          <t>-</t>
        </is>
      </c>
      <c r="D596" s="4" t="inlineStr">
        <is>
          <t>长圆形槽</t>
        </is>
      </c>
      <c r="E596" s="4" t="inlineStr">
        <is>
          <t>長円スロットを作図</t>
        </is>
      </c>
      <c r="F596" s="2" t="n">
        <v>10</v>
      </c>
      <c r="G596" s="2" t="n">
        <v>4</v>
      </c>
      <c r="H596" s="2" t="n">
        <v>8</v>
      </c>
      <c r="I596" s="2" t="n">
        <v>10</v>
      </c>
      <c r="J596" s="5">
        <f>SUM(F596:I596)</f>
        <v/>
      </c>
      <c r="K596" s="4" t="inlineStr">
        <is>
          <t>長円作図</t>
        </is>
      </c>
      <c r="L596" s="3" t="inlineStr">
        <is>
          <t>biya</t>
        </is>
      </c>
      <c r="M596" s="3" t="inlineStr">
        <is>
          <t>明经CAD社区</t>
        </is>
      </c>
      <c r="N596" s="6" t="inlineStr">
        <is>
          <t>開く</t>
        </is>
      </c>
    </row>
    <row r="597">
      <c r="A597" s="2">
        <f>RANK(J597,$J$2:$J$656)</f>
        <v/>
      </c>
      <c r="B597" s="3" t="inlineStr">
        <is>
          <t>引出線・注記</t>
        </is>
      </c>
      <c r="C597" s="3" t="inlineStr">
        <is>
          <t>BALLOON</t>
        </is>
      </c>
      <c r="D597" s="4" t="inlineStr">
        <is>
          <t>BALLOON 气泡式标注</t>
        </is>
      </c>
      <c r="E597" s="4" t="inlineStr">
        <is>
          <t>引出線付きバルーン注記</t>
        </is>
      </c>
      <c r="F597" s="2" t="n">
        <v>4</v>
      </c>
      <c r="G597" s="2" t="n">
        <v>3</v>
      </c>
      <c r="H597" s="2" t="n">
        <v>10</v>
      </c>
      <c r="I597" s="2" t="n">
        <v>14</v>
      </c>
      <c r="J597" s="5">
        <f>SUM(F597:I597)</f>
        <v/>
      </c>
      <c r="K597" s="4" t="inlineStr">
        <is>
          <t>MLEADERブロックで代替</t>
        </is>
      </c>
      <c r="L597" s="3" t="inlineStr"/>
      <c r="M597" s="3" t="inlineStr">
        <is>
          <t>GitHub: zhugecaomao/AutoLISP</t>
        </is>
      </c>
      <c r="N597" s="6" t="inlineStr">
        <is>
          <t>開く</t>
        </is>
      </c>
    </row>
    <row r="598">
      <c r="A598" s="2">
        <f>RANK(J598,$J$2:$J$656)</f>
        <v/>
      </c>
      <c r="B598" s="3" t="inlineStr">
        <is>
          <t>構造・鉄骨・機械</t>
        </is>
      </c>
      <c r="C598" s="3" t="inlineStr">
        <is>
          <t>ccd</t>
        </is>
      </c>
      <c r="D598" s="4" t="inlineStr">
        <is>
          <t>ccd 表面粗糙度标注</t>
        </is>
      </c>
      <c r="E598" s="4" t="inlineStr">
        <is>
          <t>表面粗さ記号を記入</t>
        </is>
      </c>
      <c r="F598" s="2" t="n">
        <v>10</v>
      </c>
      <c r="G598" s="2" t="n">
        <v>3</v>
      </c>
      <c r="H598" s="2" t="n">
        <v>12</v>
      </c>
      <c r="I598" s="2" t="n">
        <v>6</v>
      </c>
      <c r="J598" s="5">
        <f>SUM(F598:I598)</f>
        <v/>
      </c>
      <c r="K598" s="4" t="inlineStr">
        <is>
          <t>機械記号</t>
        </is>
      </c>
      <c r="L598" s="3" t="inlineStr"/>
      <c r="M598" s="3" t="inlineStr">
        <is>
          <t>GitHub: zhugecaomao/AutoLISP</t>
        </is>
      </c>
      <c r="N598" s="6" t="inlineStr">
        <is>
          <t>開く</t>
        </is>
      </c>
    </row>
    <row r="599">
      <c r="A599" s="2">
        <f>RANK(J599,$J$2:$J$656)</f>
        <v/>
      </c>
      <c r="B599" s="3" t="inlineStr">
        <is>
          <t>LISP開発用の部品</t>
        </is>
      </c>
      <c r="C599" s="3" t="inlineStr">
        <is>
          <t>-</t>
        </is>
      </c>
      <c r="D599" s="4" t="inlineStr">
        <is>
          <t>word: Word操作</t>
        </is>
      </c>
      <c r="E599" s="4" t="inlineStr">
        <is>
          <t>Word文書の新規・開く・保存</t>
        </is>
      </c>
      <c r="F599" s="2" t="n">
        <v>11</v>
      </c>
      <c r="G599" s="2" t="n">
        <v>8</v>
      </c>
      <c r="H599" s="2" t="n">
        <v>3</v>
      </c>
      <c r="I599" s="2" t="n">
        <v>9</v>
      </c>
      <c r="J599" s="5">
        <f>SUM(F599:I599)</f>
        <v/>
      </c>
      <c r="K599" s="4" t="inlineStr">
        <is>
          <t>Word連携は珍しい</t>
        </is>
      </c>
      <c r="L599" s="3" t="inlineStr">
        <is>
          <t>VitalGG</t>
        </is>
      </c>
      <c r="M599" s="3" t="inlineStr">
        <is>
          <t>GitHub: atlisp-org/atlisp-lib</t>
        </is>
      </c>
      <c r="N599" s="6" t="inlineStr">
        <is>
          <t>開く</t>
        </is>
      </c>
    </row>
    <row r="600">
      <c r="A600" s="2">
        <f>RANK(J600,$J$2:$J$656)</f>
        <v/>
      </c>
      <c r="B600" s="3" t="inlineStr">
        <is>
          <t>ブロック・属性</t>
        </is>
      </c>
      <c r="C600" s="3" t="inlineStr">
        <is>
          <t>-</t>
        </is>
      </c>
      <c r="D600" s="4" t="inlineStr">
        <is>
          <t>一键炸开所有块</t>
        </is>
      </c>
      <c r="E600" s="4" t="inlineStr">
        <is>
          <t>図面内全ブロックを一括分解</t>
        </is>
      </c>
      <c r="F600" s="2" t="n">
        <v>6</v>
      </c>
      <c r="G600" s="2" t="n">
        <v>3</v>
      </c>
      <c r="H600" s="2" t="n">
        <v>8</v>
      </c>
      <c r="I600" s="2" t="n">
        <v>14</v>
      </c>
      <c r="J600" s="5">
        <f>SUM(F600:I600)</f>
        <v/>
      </c>
      <c r="K600" s="4" t="inlineStr">
        <is>
          <t>標準で可能</t>
        </is>
      </c>
      <c r="L600" s="3" t="inlineStr">
        <is>
          <t>地美橄榄树</t>
        </is>
      </c>
      <c r="M600" s="3" t="inlineStr">
        <is>
          <t>明经CAD社区</t>
        </is>
      </c>
      <c r="N600" s="6" t="inlineStr">
        <is>
          <t>開く</t>
        </is>
      </c>
    </row>
    <row r="601">
      <c r="A601" s="2">
        <f>RANK(J601,$J$2:$J$656)</f>
        <v/>
      </c>
      <c r="B601" s="3" t="inlineStr">
        <is>
          <t>寸法</t>
        </is>
      </c>
      <c r="C601" s="3" t="inlineStr">
        <is>
          <t>-</t>
        </is>
      </c>
      <c r="D601" s="4" t="inlineStr">
        <is>
          <t>标注对齐</t>
        </is>
      </c>
      <c r="E601" s="4" t="inlineStr">
        <is>
          <t>寸法線位置を揃える</t>
        </is>
      </c>
      <c r="F601" s="2" t="n">
        <v>4</v>
      </c>
      <c r="G601" s="2" t="n">
        <v>3</v>
      </c>
      <c r="H601" s="2" t="n">
        <v>8</v>
      </c>
      <c r="I601" s="2" t="n">
        <v>16</v>
      </c>
      <c r="J601" s="5">
        <f>SUM(F601:I601)</f>
        <v/>
      </c>
      <c r="K601" s="4" t="inlineStr">
        <is>
          <t>DIMSPACEで代替</t>
        </is>
      </c>
      <c r="L601" s="3" t="inlineStr">
        <is>
          <t>biya</t>
        </is>
      </c>
      <c r="M601" s="3" t="inlineStr">
        <is>
          <t>明经CAD社区</t>
        </is>
      </c>
      <c r="N601" s="6" t="inlineStr">
        <is>
          <t>開く</t>
        </is>
      </c>
    </row>
    <row r="602">
      <c r="A602" s="2">
        <f>RANK(J602,$J$2:$J$656)</f>
        <v/>
      </c>
      <c r="B602" s="3" t="inlineStr">
        <is>
          <t>建築</t>
        </is>
      </c>
      <c r="C602" s="3" t="inlineStr">
        <is>
          <t>-</t>
        </is>
      </c>
      <c r="D602" s="4" t="inlineStr">
        <is>
          <t>caad4lisp 建筑设计工具库</t>
        </is>
      </c>
      <c r="E602" s="4" t="inlineStr">
        <is>
          <t>建築設計用LISPライブラリとツール</t>
        </is>
      </c>
      <c r="F602" s="2" t="n">
        <v>10</v>
      </c>
      <c r="G602" s="2" t="n">
        <v>8</v>
      </c>
      <c r="H602" s="2" t="n">
        <v>6</v>
      </c>
      <c r="I602" s="2" t="n">
        <v>6</v>
      </c>
      <c r="J602" s="5">
        <f>SUM(F602:I602)</f>
        <v/>
      </c>
      <c r="K602" s="4" t="inlineStr">
        <is>
          <t>建築ライブラリ</t>
        </is>
      </c>
      <c r="L602" s="3" t="inlineStr">
        <is>
          <t>caadxyz</t>
        </is>
      </c>
      <c r="M602" s="3" t="inlineStr">
        <is>
          <t>GitHub: caadxyz/caad4lisp</t>
        </is>
      </c>
      <c r="N602" s="6" t="inlineStr">
        <is>
          <t>開く</t>
        </is>
      </c>
    </row>
    <row r="603">
      <c r="A603" s="2">
        <f>RANK(J603,$J$2:$J$656)</f>
        <v/>
      </c>
      <c r="B603" s="3" t="inlineStr">
        <is>
          <t>文字・テキスト</t>
        </is>
      </c>
      <c r="C603" s="3" t="inlineStr">
        <is>
          <t>ch5</t>
        </is>
      </c>
      <c r="D603" s="4" t="inlineStr">
        <is>
          <t>ch5 字体两头对齐</t>
        </is>
      </c>
      <c r="E603" s="4" t="inlineStr">
        <is>
          <t>PKPM文字を両端揃えに</t>
        </is>
      </c>
      <c r="F603" s="2" t="n">
        <v>10</v>
      </c>
      <c r="G603" s="2" t="n">
        <v>6</v>
      </c>
      <c r="H603" s="2" t="n">
        <v>8</v>
      </c>
      <c r="I603" s="2" t="n">
        <v>6</v>
      </c>
      <c r="J603" s="5">
        <f>SUM(F603:I603)</f>
        <v/>
      </c>
      <c r="K603" s="4" t="inlineStr">
        <is>
          <t>PKPM専用</t>
        </is>
      </c>
      <c r="L603" s="3" t="inlineStr"/>
      <c r="M603" s="3" t="inlineStr">
        <is>
          <t>GitHub: zhugecaomao/AutoLISP</t>
        </is>
      </c>
      <c r="N603" s="6" t="inlineStr">
        <is>
          <t>開く</t>
        </is>
      </c>
    </row>
    <row r="604">
      <c r="A604" s="2">
        <f>RANK(J604,$J$2:$J$656)</f>
        <v/>
      </c>
      <c r="B604" s="3" t="inlineStr">
        <is>
          <t>ブロック・属性</t>
        </is>
      </c>
      <c r="C604" s="3" t="inlineStr">
        <is>
          <t>chattdef</t>
        </is>
      </c>
      <c r="D604" s="4" t="inlineStr">
        <is>
          <t>chattdef 块属性编辑</t>
        </is>
      </c>
      <c r="E604" s="4" t="inlineStr">
        <is>
          <t>ブロック属性定義の編集</t>
        </is>
      </c>
      <c r="F604" s="2" t="n">
        <v>5</v>
      </c>
      <c r="G604" s="2" t="n">
        <v>3</v>
      </c>
      <c r="H604" s="2" t="n">
        <v>8</v>
      </c>
      <c r="I604" s="2" t="n">
        <v>14</v>
      </c>
      <c r="J604" s="5">
        <f>SUM(F604:I604)</f>
        <v/>
      </c>
      <c r="K604" s="4" t="inlineStr">
        <is>
          <t>BATTMANで代替</t>
        </is>
      </c>
      <c r="L604" s="3" t="inlineStr">
        <is>
          <t>HQD9639</t>
        </is>
      </c>
      <c r="M604" s="3" t="inlineStr">
        <is>
          <t>GitHub: zhugecaomao/AutoLISP</t>
        </is>
      </c>
      <c r="N604" s="6" t="inlineStr">
        <is>
          <t>開く</t>
        </is>
      </c>
    </row>
    <row r="605">
      <c r="A605" s="2">
        <f>RANK(J605,$J$2:$J$656)</f>
        <v/>
      </c>
      <c r="B605" s="3" t="inlineStr">
        <is>
          <t>寸法</t>
        </is>
      </c>
      <c r="C605" s="3" t="inlineStr">
        <is>
          <t>CHDIM1/CHDIM2</t>
        </is>
      </c>
      <c r="D605" s="4" t="inlineStr">
        <is>
          <t>chdim 切断尺寸关联</t>
        </is>
      </c>
      <c r="E605" s="4" t="inlineStr">
        <is>
          <t>寸法の関連付け解除/値固定</t>
        </is>
      </c>
      <c r="F605" s="2" t="n">
        <v>6</v>
      </c>
      <c r="G605" s="2" t="n">
        <v>6</v>
      </c>
      <c r="H605" s="2" t="n">
        <v>6</v>
      </c>
      <c r="I605" s="2" t="n">
        <v>12</v>
      </c>
      <c r="J605" s="5">
        <f>SUM(F605:I605)</f>
        <v/>
      </c>
      <c r="K605" s="4" t="inlineStr">
        <is>
          <t>DIMDISASSOCIATEで可</t>
        </is>
      </c>
      <c r="L605" s="3" t="inlineStr"/>
      <c r="M605" s="3" t="inlineStr">
        <is>
          <t>GitHub: zhugecaomao/AutoLISP</t>
        </is>
      </c>
      <c r="N605" s="6" t="inlineStr">
        <is>
          <t>開く</t>
        </is>
      </c>
    </row>
    <row r="606">
      <c r="A606" s="2">
        <f>RANK(J606,$J$2:$J$656)</f>
        <v/>
      </c>
      <c r="B606" s="3" t="inlineStr">
        <is>
          <t>画層</t>
        </is>
      </c>
      <c r="C606" s="3" t="inlineStr">
        <is>
          <t>CHLAY/openlay</t>
        </is>
      </c>
      <c r="D606" s="4" t="inlineStr">
        <is>
          <t>cjjlay 只显示想要的图层</t>
        </is>
      </c>
      <c r="E606" s="4" t="inlineStr">
        <is>
          <t>選んだ画層だけを表示</t>
        </is>
      </c>
      <c r="F606" s="2" t="n">
        <v>2</v>
      </c>
      <c r="G606" s="2" t="n">
        <v>2</v>
      </c>
      <c r="H606" s="2" t="n">
        <v>8</v>
      </c>
      <c r="I606" s="2" t="n">
        <v>18</v>
      </c>
      <c r="J606" s="5">
        <f>SUM(F606:I606)</f>
        <v/>
      </c>
      <c r="K606" s="4" t="inlineStr">
        <is>
          <t>LAYISOで代替</t>
        </is>
      </c>
      <c r="L606" s="3" t="inlineStr"/>
      <c r="M606" s="3" t="inlineStr">
        <is>
          <t>GitHub: zhugecaomao/AutoLISP</t>
        </is>
      </c>
      <c r="N606" s="6" t="inlineStr">
        <is>
          <t>開く</t>
        </is>
      </c>
    </row>
    <row r="607">
      <c r="A607" s="2">
        <f>RANK(J607,$J$2:$J$656)</f>
        <v/>
      </c>
      <c r="B607" s="3" t="inlineStr">
        <is>
          <t>線・ポリライン編集</t>
        </is>
      </c>
      <c r="C607" s="3" t="inlineStr">
        <is>
          <t>Jjj</t>
        </is>
      </c>
      <c r="D607" s="4" t="inlineStr">
        <is>
          <t>jjj 连接多义线</t>
        </is>
      </c>
      <c r="E607" s="4" t="inlineStr">
        <is>
          <t>複数の線・PLを1本のPLに結合</t>
        </is>
      </c>
      <c r="F607" s="2" t="n">
        <v>3</v>
      </c>
      <c r="G607" s="2" t="n">
        <v>3</v>
      </c>
      <c r="H607" s="2" t="n">
        <v>8</v>
      </c>
      <c r="I607" s="2" t="n">
        <v>16</v>
      </c>
      <c r="J607" s="5">
        <f>SUM(F607:I607)</f>
        <v/>
      </c>
      <c r="K607" s="4" t="inlineStr">
        <is>
          <t>JOINで代替</t>
        </is>
      </c>
      <c r="L607" s="3" t="inlineStr"/>
      <c r="M607" s="3" t="inlineStr">
        <is>
          <t>GitHub: zhugecaomao/AutoLISP</t>
        </is>
      </c>
      <c r="N607" s="6" t="inlineStr">
        <is>
          <t>開く</t>
        </is>
      </c>
    </row>
    <row r="608">
      <c r="A608" s="2">
        <f>RANK(J608,$J$2:$J$656)</f>
        <v/>
      </c>
      <c r="B608" s="3" t="inlineStr">
        <is>
          <t>線・ポリライン編集</t>
        </is>
      </c>
      <c r="C608" s="3" t="inlineStr">
        <is>
          <t>-</t>
        </is>
      </c>
      <c r="D608" s="4" t="inlineStr">
        <is>
          <t>多段线合并或闭合</t>
        </is>
      </c>
      <c r="E608" s="4" t="inlineStr">
        <is>
          <t>線を1本のPLに結合・閉合</t>
        </is>
      </c>
      <c r="F608" s="2" t="n">
        <v>3</v>
      </c>
      <c r="G608" s="2" t="n">
        <v>3</v>
      </c>
      <c r="H608" s="2" t="n">
        <v>8</v>
      </c>
      <c r="I608" s="2" t="n">
        <v>16</v>
      </c>
      <c r="J608" s="5">
        <f>SUM(F608:I608)</f>
        <v/>
      </c>
      <c r="K608" s="4" t="inlineStr">
        <is>
          <t>JOIN/PEDITで代替</t>
        </is>
      </c>
      <c r="L608" s="3" t="inlineStr">
        <is>
          <t>shenme150</t>
        </is>
      </c>
      <c r="M608" s="3" t="inlineStr">
        <is>
          <t>明经CAD社区</t>
        </is>
      </c>
      <c r="N608" s="6" t="inlineStr">
        <is>
          <t>開く</t>
        </is>
      </c>
    </row>
    <row r="609">
      <c r="A609" s="2">
        <f>RANK(J609,$J$2:$J$656)</f>
        <v/>
      </c>
      <c r="B609" s="3" t="inlineStr">
        <is>
          <t>設定・環境</t>
        </is>
      </c>
      <c r="C609" s="3" t="inlineStr">
        <is>
          <t>整合专业系统</t>
        </is>
      </c>
      <c r="D609" s="4" t="inlineStr">
        <is>
          <t>整合专业系统</t>
        </is>
      </c>
      <c r="E609" s="4" t="inlineStr">
        <is>
          <t>素のCADに天正・探索者等を統合ロード</t>
        </is>
      </c>
      <c r="F609" s="2" t="n">
        <v>12</v>
      </c>
      <c r="G609" s="2" t="n">
        <v>8</v>
      </c>
      <c r="H609" s="2" t="n">
        <v>6</v>
      </c>
      <c r="I609" s="2" t="n">
        <v>4</v>
      </c>
      <c r="J609" s="5">
        <f>SUM(F609:I609)</f>
        <v/>
      </c>
      <c r="K609" s="4" t="inlineStr">
        <is>
          <t>中国専門ソフト前提</t>
        </is>
      </c>
      <c r="L609" s="3" t="inlineStr">
        <is>
          <t>VitalGG</t>
        </is>
      </c>
      <c r="M609" s="3" t="inlineStr">
        <is>
          <t>@lisp 应用云</t>
        </is>
      </c>
      <c r="N609" s="6" t="inlineStr">
        <is>
          <t>開く</t>
        </is>
      </c>
    </row>
    <row r="610">
      <c r="A610" s="2">
        <f>RANK(J610,$J$2:$J$656)</f>
        <v/>
      </c>
      <c r="B610" s="3" t="inlineStr">
        <is>
          <t>線・ポリライン編集</t>
        </is>
      </c>
      <c r="C610" s="3" t="inlineStr">
        <is>
          <t>-</t>
        </is>
      </c>
      <c r="D610" s="4" t="inlineStr">
        <is>
          <t>线形换向</t>
        </is>
      </c>
      <c r="E610" s="4" t="inlineStr">
        <is>
          <t>線の方向（線種向き）を反転</t>
        </is>
      </c>
      <c r="F610" s="2" t="n">
        <v>4</v>
      </c>
      <c r="G610" s="2" t="n">
        <v>4</v>
      </c>
      <c r="H610" s="2" t="n">
        <v>8</v>
      </c>
      <c r="I610" s="2" t="n">
        <v>14</v>
      </c>
      <c r="J610" s="5">
        <f>SUM(F610:I610)</f>
        <v/>
      </c>
      <c r="K610" s="4" t="inlineStr">
        <is>
          <t>REVERSEで代替</t>
        </is>
      </c>
      <c r="L610" s="3" t="inlineStr">
        <is>
          <t>yfy2003</t>
        </is>
      </c>
      <c r="M610" s="3" t="inlineStr">
        <is>
          <t>明经CAD社区</t>
        </is>
      </c>
      <c r="N610" s="6" t="inlineStr">
        <is>
          <t>開く</t>
        </is>
      </c>
    </row>
    <row r="611">
      <c r="A611" s="2">
        <f>RANK(J611,$J$2:$J$656)</f>
        <v/>
      </c>
      <c r="B611" s="3" t="inlineStr">
        <is>
          <t>線・ポリライン編集</t>
        </is>
      </c>
      <c r="C611" s="3" t="inlineStr">
        <is>
          <t>CX</t>
        </is>
      </c>
      <c r="D611" s="4" t="inlineStr">
        <is>
          <t>绘制垂线_v1.1</t>
        </is>
      </c>
      <c r="E611" s="4" t="inlineStr">
        <is>
          <t>線に対する垂線を作図</t>
        </is>
      </c>
      <c r="F611" s="2" t="n">
        <v>4</v>
      </c>
      <c r="G611" s="2" t="n">
        <v>4</v>
      </c>
      <c r="H611" s="2" t="n">
        <v>8</v>
      </c>
      <c r="I611" s="2" t="n">
        <v>14</v>
      </c>
      <c r="J611" s="5">
        <f>SUM(F611:I611)</f>
        <v/>
      </c>
      <c r="K611" s="4" t="inlineStr">
        <is>
          <t>OSNAP垂線で可</t>
        </is>
      </c>
      <c r="L611" s="3" t="inlineStr">
        <is>
          <t>kucha007</t>
        </is>
      </c>
      <c r="M611" s="3" t="inlineStr">
        <is>
          <t>明经CAD社区</t>
        </is>
      </c>
      <c r="N611" s="6" t="inlineStr">
        <is>
          <t>開く</t>
        </is>
      </c>
    </row>
    <row r="612">
      <c r="A612" s="2">
        <f>RANK(J612,$J$2:$J$656)</f>
        <v/>
      </c>
      <c r="B612" s="3" t="inlineStr">
        <is>
          <t>構造・鉄骨・機械</t>
        </is>
      </c>
      <c r="C612" s="3" t="inlineStr">
        <is>
          <t>-</t>
        </is>
      </c>
      <c r="D612" s="4" t="inlineStr">
        <is>
          <t>绘螺栓螺母源程序</t>
        </is>
      </c>
      <c r="E612" s="4" t="inlineStr">
        <is>
          <t>ボルト・ナットを作図</t>
        </is>
      </c>
      <c r="F612" s="2" t="n">
        <v>10</v>
      </c>
      <c r="G612" s="2" t="n">
        <v>4</v>
      </c>
      <c r="H612" s="2" t="n">
        <v>10</v>
      </c>
      <c r="I612" s="2" t="n">
        <v>6</v>
      </c>
      <c r="J612" s="5">
        <f>SUM(F612:I612)</f>
        <v/>
      </c>
      <c r="K612" s="4" t="inlineStr">
        <is>
          <t>部品作図</t>
        </is>
      </c>
      <c r="L612" s="3" t="inlineStr"/>
      <c r="M612" s="3" t="inlineStr">
        <is>
          <t>GitHub: zhugecaomao/AutoLISP</t>
        </is>
      </c>
      <c r="N612" s="6" t="inlineStr">
        <is>
          <t>開く</t>
        </is>
      </c>
    </row>
    <row r="613">
      <c r="A613" s="2">
        <f>RANK(J613,$J$2:$J$656)</f>
        <v/>
      </c>
      <c r="B613" s="3" t="inlineStr">
        <is>
          <t>画層</t>
        </is>
      </c>
      <c r="C613" s="3" t="inlineStr">
        <is>
          <t>选图进层</t>
        </is>
      </c>
      <c r="D613" s="4" t="inlineStr">
        <is>
          <t>选图进层 (@lisp图层)</t>
        </is>
      </c>
      <c r="E613" s="4" t="inlineStr">
        <is>
          <t>選択図形を現在画層へ移動</t>
        </is>
      </c>
      <c r="F613" s="2" t="n">
        <v>4</v>
      </c>
      <c r="G613" s="2" t="n">
        <v>2</v>
      </c>
      <c r="H613" s="2" t="n">
        <v>6</v>
      </c>
      <c r="I613" s="2" t="n">
        <v>18</v>
      </c>
      <c r="J613" s="5">
        <f>SUM(F613:I613)</f>
        <v/>
      </c>
      <c r="K613" s="4" t="inlineStr">
        <is>
          <t>LAYCURで代替可</t>
        </is>
      </c>
      <c r="L613" s="3" t="inlineStr">
        <is>
          <t>VitalGG</t>
        </is>
      </c>
      <c r="M613" s="3" t="inlineStr">
        <is>
          <t>@lisp 应用云</t>
        </is>
      </c>
      <c r="N613" s="6" t="inlineStr">
        <is>
          <t>開く</t>
        </is>
      </c>
    </row>
    <row r="614">
      <c r="A614" s="2">
        <f>RANK(J614,$J$2:$J$656)</f>
        <v/>
      </c>
      <c r="B614" s="3" t="inlineStr">
        <is>
          <t>設備</t>
        </is>
      </c>
      <c r="C614" s="3" t="inlineStr">
        <is>
          <t>@lisp建筑电气</t>
        </is>
      </c>
      <c r="D614" s="4" t="inlineStr">
        <is>
          <t>@lisp建筑电气</t>
        </is>
      </c>
      <c r="E614" s="4" t="inlineStr">
        <is>
          <t>建築電気の設定・作図管理</t>
        </is>
      </c>
      <c r="F614" s="2" t="n">
        <v>10</v>
      </c>
      <c r="G614" s="2" t="n">
        <v>5</v>
      </c>
      <c r="H614" s="2" t="n">
        <v>8</v>
      </c>
      <c r="I614" s="2" t="n">
        <v>6</v>
      </c>
      <c r="J614" s="5">
        <f>SUM(F614:I614)</f>
        <v/>
      </c>
      <c r="K614" s="4" t="inlineStr">
        <is>
          <t>電気作図</t>
        </is>
      </c>
      <c r="L614" s="3" t="inlineStr">
        <is>
          <t>VitalGG</t>
        </is>
      </c>
      <c r="M614" s="3" t="inlineStr">
        <is>
          <t>@lisp 应用云</t>
        </is>
      </c>
      <c r="N614" s="6" t="inlineStr">
        <is>
          <t>開く</t>
        </is>
      </c>
    </row>
    <row r="615">
      <c r="A615" s="2">
        <f>RANK(J615,$J$2:$J$656)</f>
        <v/>
      </c>
      <c r="B615" s="3" t="inlineStr">
        <is>
          <t>寸法</t>
        </is>
      </c>
      <c r="C615" s="3" t="inlineStr">
        <is>
          <t>DS</t>
        </is>
      </c>
      <c r="D615" s="4" t="inlineStr">
        <is>
          <t>DS 标准化尺寸样式</t>
        </is>
      </c>
      <c r="E615" s="4" t="inlineStr">
        <is>
          <t>選択寸法に標準寸法書式を適用</t>
        </is>
      </c>
      <c r="F615" s="2" t="n">
        <v>4</v>
      </c>
      <c r="G615" s="2" t="n">
        <v>3</v>
      </c>
      <c r="H615" s="2" t="n">
        <v>8</v>
      </c>
      <c r="I615" s="2" t="n">
        <v>14</v>
      </c>
      <c r="J615" s="5">
        <f>SUM(F615:I615)</f>
        <v/>
      </c>
      <c r="K615" s="4" t="inlineStr">
        <is>
          <t>寸法スタイルで代替</t>
        </is>
      </c>
      <c r="L615" s="3" t="inlineStr">
        <is>
          <t>ch5721032-arch</t>
        </is>
      </c>
      <c r="M615" s="3" t="inlineStr">
        <is>
          <t>GitHub: ch5721032-arch/gstarcad-annotation-tools</t>
        </is>
      </c>
      <c r="N615" s="6" t="inlineStr">
        <is>
          <t>開く</t>
        </is>
      </c>
    </row>
    <row r="616">
      <c r="A616" s="2">
        <f>RANK(J616,$J$2:$J$656)</f>
        <v/>
      </c>
      <c r="B616" s="3" t="inlineStr">
        <is>
          <t>LISP開発用の部品</t>
        </is>
      </c>
      <c r="C616" s="3" t="inlineStr">
        <is>
          <t>-</t>
        </is>
      </c>
      <c r="D616" s="4" t="inlineStr">
        <is>
          <t>system: 系统</t>
        </is>
      </c>
      <c r="E616" s="4" t="inlineStr">
        <is>
          <t>フォルダ選択・エクスプローラ起動・OS情報</t>
        </is>
      </c>
      <c r="F616" s="2" t="n">
        <v>8</v>
      </c>
      <c r="G616" s="2" t="n">
        <v>5</v>
      </c>
      <c r="H616" s="2" t="n">
        <v>4</v>
      </c>
      <c r="I616" s="2" t="n">
        <v>12</v>
      </c>
      <c r="J616" s="5">
        <f>SUM(F616:I616)</f>
        <v/>
      </c>
      <c r="K616" s="4" t="inlineStr">
        <is>
          <t>Windows連携補助</t>
        </is>
      </c>
      <c r="L616" s="3" t="inlineStr">
        <is>
          <t>VitalGG</t>
        </is>
      </c>
      <c r="M616" s="3" t="inlineStr">
        <is>
          <t>GitHub: atlisp-org/atlisp-lib</t>
        </is>
      </c>
      <c r="N616" s="6" t="inlineStr">
        <is>
          <t>開く</t>
        </is>
      </c>
    </row>
    <row r="617">
      <c r="A617" s="2">
        <f>RANK(J617,$J$2:$J$656)</f>
        <v/>
      </c>
      <c r="B617" s="3" t="inlineStr">
        <is>
          <t>ブロック・属性</t>
        </is>
      </c>
      <c r="C617" s="3" t="inlineStr">
        <is>
          <t>-</t>
        </is>
      </c>
      <c r="D617" s="4" t="inlineStr">
        <is>
          <t>分解带属性块</t>
        </is>
      </c>
      <c r="E617" s="4" t="inlineStr">
        <is>
          <t>属性値を文字として残してブロック分解</t>
        </is>
      </c>
      <c r="F617" s="2" t="n">
        <v>4</v>
      </c>
      <c r="G617" s="2" t="n">
        <v>3</v>
      </c>
      <c r="H617" s="2" t="n">
        <v>8</v>
      </c>
      <c r="I617" s="2" t="n">
        <v>14</v>
      </c>
      <c r="J617" s="5">
        <f>SUM(F617:I617)</f>
        <v/>
      </c>
      <c r="K617" s="4" t="inlineStr">
        <is>
          <t>BURSTで代替</t>
        </is>
      </c>
      <c r="L617" s="3" t="inlineStr"/>
      <c r="M617" s="3" t="inlineStr">
        <is>
          <t>晓东CAD家园</t>
        </is>
      </c>
      <c r="N617" s="6" t="inlineStr">
        <is>
          <t>開く</t>
        </is>
      </c>
    </row>
    <row r="618">
      <c r="A618" s="2">
        <f>RANK(J618,$J$2:$J$656)</f>
        <v/>
      </c>
      <c r="B618" s="3" t="inlineStr">
        <is>
          <t>構造・鉄骨・機械</t>
        </is>
      </c>
      <c r="C618" s="3" t="inlineStr">
        <is>
          <t>型钢截面特性</t>
        </is>
      </c>
      <c r="D618" s="4" t="inlineStr">
        <is>
          <t>型钢截面特性</t>
        </is>
      </c>
      <c r="E618" s="4" t="inlineStr">
        <is>
          <t>形鋼断面性能の照会</t>
        </is>
      </c>
      <c r="F618" s="2" t="n">
        <v>12</v>
      </c>
      <c r="G618" s="2" t="n">
        <v>4</v>
      </c>
      <c r="H618" s="2" t="n">
        <v>7</v>
      </c>
      <c r="I618" s="2" t="n">
        <v>6</v>
      </c>
      <c r="J618" s="5">
        <f>SUM(F618:I618)</f>
        <v/>
      </c>
      <c r="K618" s="4" t="inlineStr">
        <is>
          <t>形鋼表照会</t>
        </is>
      </c>
      <c r="L618" s="3" t="inlineStr">
        <is>
          <t>VitalGG</t>
        </is>
      </c>
      <c r="M618" s="3" t="inlineStr">
        <is>
          <t>@lisp 应用云</t>
        </is>
      </c>
      <c r="N618" s="6" t="inlineStr">
        <is>
          <t>開く</t>
        </is>
      </c>
    </row>
    <row r="619">
      <c r="A619" s="2">
        <f>RANK(J619,$J$2:$J$656)</f>
        <v/>
      </c>
      <c r="B619" s="3" t="inlineStr">
        <is>
          <t>画層</t>
        </is>
      </c>
      <c r="C619" s="3" t="inlineStr">
        <is>
          <t>lf/lm</t>
        </is>
      </c>
      <c r="D619" s="4" t="inlineStr">
        <is>
          <t>CSLF/CSLM 关闭图层/设当前层</t>
        </is>
      </c>
      <c r="E619" s="4" t="inlineStr">
        <is>
          <t>図形選択で画層を閉じる/現在化</t>
        </is>
      </c>
      <c r="F619" s="2" t="n">
        <v>2</v>
      </c>
      <c r="G619" s="2" t="n">
        <v>2</v>
      </c>
      <c r="H619" s="2" t="n">
        <v>6</v>
      </c>
      <c r="I619" s="2" t="n">
        <v>18</v>
      </c>
      <c r="J619" s="5">
        <f>SUM(F619:I619)</f>
        <v/>
      </c>
      <c r="K619" s="4" t="inlineStr">
        <is>
          <t>LAYOFF/LAYMCURで代替</t>
        </is>
      </c>
      <c r="L619" s="3" t="inlineStr"/>
      <c r="M619" s="3" t="inlineStr">
        <is>
          <t>GitHub: zhugecaomao/AutoLISP</t>
        </is>
      </c>
      <c r="N619" s="6" t="inlineStr">
        <is>
          <t>開く</t>
        </is>
      </c>
    </row>
    <row r="620">
      <c r="A620" s="2">
        <f>RANK(J620,$J$2:$J$656)</f>
        <v/>
      </c>
      <c r="B620" s="3" t="inlineStr">
        <is>
          <t>LISP開発用の部品</t>
        </is>
      </c>
      <c r="C620" s="3" t="inlineStr">
        <is>
          <t>-</t>
        </is>
      </c>
      <c r="D620" s="4" t="inlineStr">
        <is>
          <t>point: 点</t>
        </is>
      </c>
      <c r="E620" s="4" t="inlineStr">
        <is>
          <t>形心・N等分点・点が曲線内か判定</t>
        </is>
      </c>
      <c r="F620" s="2" t="n">
        <v>7</v>
      </c>
      <c r="G620" s="2" t="n">
        <v>5</v>
      </c>
      <c r="H620" s="2" t="n">
        <v>4</v>
      </c>
      <c r="I620" s="2" t="n">
        <v>12</v>
      </c>
      <c r="J620" s="5">
        <f>SUM(F620:I620)</f>
        <v/>
      </c>
      <c r="K620" s="4" t="inlineStr">
        <is>
          <t>点内外判定が便利</t>
        </is>
      </c>
      <c r="L620" s="3" t="inlineStr">
        <is>
          <t>VitalGG</t>
        </is>
      </c>
      <c r="M620" s="3" t="inlineStr">
        <is>
          <t>GitHub: atlisp-org/atlisp-lib</t>
        </is>
      </c>
      <c r="N620" s="6" t="inlineStr">
        <is>
          <t>開く</t>
        </is>
      </c>
    </row>
    <row r="621">
      <c r="A621" s="2">
        <f>RANK(J621,$J$2:$J$656)</f>
        <v/>
      </c>
      <c r="B621" s="3" t="inlineStr">
        <is>
          <t>線・ポリライン編集</t>
        </is>
      </c>
      <c r="C621" s="3" t="inlineStr">
        <is>
          <t>pw</t>
        </is>
      </c>
      <c r="D621" s="4" t="inlineStr">
        <is>
          <t>PW 修改线宽度</t>
        </is>
      </c>
      <c r="E621" s="4" t="inlineStr">
        <is>
          <t>線・円弧・円の幅を変更</t>
        </is>
      </c>
      <c r="F621" s="2" t="n">
        <v>4</v>
      </c>
      <c r="G621" s="2" t="n">
        <v>3</v>
      </c>
      <c r="H621" s="2" t="n">
        <v>7</v>
      </c>
      <c r="I621" s="2" t="n">
        <v>14</v>
      </c>
      <c r="J621" s="5">
        <f>SUM(F621:I621)</f>
        <v/>
      </c>
      <c r="K621" s="4" t="inlineStr">
        <is>
          <t>PEDITで可</t>
        </is>
      </c>
      <c r="L621" s="3" t="inlineStr"/>
      <c r="M621" s="3" t="inlineStr">
        <is>
          <t>GitHub: zhugecaomao/AutoLISP</t>
        </is>
      </c>
      <c r="N621" s="6" t="inlineStr">
        <is>
          <t>開く</t>
        </is>
      </c>
    </row>
    <row r="622">
      <c r="A622" s="2">
        <f>RANK(J622,$J$2:$J$656)</f>
        <v/>
      </c>
      <c r="B622" s="3" t="inlineStr">
        <is>
          <t>その他</t>
        </is>
      </c>
      <c r="C622" s="3" t="inlineStr">
        <is>
          <t>QL</t>
        </is>
      </c>
      <c r="D622" s="4" t="inlineStr">
        <is>
          <t>RuiCAD QL 清理零长度/重合线</t>
        </is>
      </c>
      <c r="E622" s="4" t="inlineStr">
        <is>
          <t>長さ0・完全重複線分を削除</t>
        </is>
      </c>
      <c r="F622" s="2" t="n">
        <v>3</v>
      </c>
      <c r="G622" s="2" t="n">
        <v>3</v>
      </c>
      <c r="H622" s="2" t="n">
        <v>8</v>
      </c>
      <c r="I622" s="2" t="n">
        <v>14</v>
      </c>
      <c r="J622" s="5">
        <f>SUM(F622:I622)</f>
        <v/>
      </c>
      <c r="K622" s="4" t="inlineStr">
        <is>
          <t>OVERKILLで代替</t>
        </is>
      </c>
      <c r="L622" s="3" t="inlineStr">
        <is>
          <t>sschiplee</t>
        </is>
      </c>
      <c r="M622" s="3" t="inlineStr">
        <is>
          <t>GitHub: sschiplee/RuiCAD</t>
        </is>
      </c>
      <c r="N622" s="6" t="inlineStr">
        <is>
          <t>開く</t>
        </is>
      </c>
    </row>
    <row r="623">
      <c r="A623" s="2">
        <f>RANK(J623,$J$2:$J$656)</f>
        <v/>
      </c>
      <c r="B623" s="3" t="inlineStr">
        <is>
          <t>LISP開発用の部品</t>
        </is>
      </c>
      <c r="C623" s="3" t="inlineStr">
        <is>
          <t>-</t>
        </is>
      </c>
      <c r="D623" s="4" t="inlineStr">
        <is>
          <t>std: 基础</t>
        </is>
      </c>
      <c r="E623" s="4" t="inlineStr">
        <is>
          <t>メニュー追加・サポートパス・ツールバー登録</t>
        </is>
      </c>
      <c r="F623" s="2" t="n">
        <v>7</v>
      </c>
      <c r="G623" s="2" t="n">
        <v>5</v>
      </c>
      <c r="H623" s="2" t="n">
        <v>4</v>
      </c>
      <c r="I623" s="2" t="n">
        <v>12</v>
      </c>
      <c r="J623" s="5">
        <f>SUM(F623:I623)</f>
        <v/>
      </c>
      <c r="K623" s="4" t="inlineStr">
        <is>
          <t>環境整備用の基礎関数</t>
        </is>
      </c>
      <c r="L623" s="3" t="inlineStr">
        <is>
          <t>VitalGG</t>
        </is>
      </c>
      <c r="M623" s="3" t="inlineStr">
        <is>
          <t>GitHub: atlisp-org/atlisp-lib</t>
        </is>
      </c>
      <c r="N623" s="6" t="inlineStr">
        <is>
          <t>開く</t>
        </is>
      </c>
    </row>
    <row r="624">
      <c r="A624" s="2">
        <f>RANK(J624,$J$2:$J$656)</f>
        <v/>
      </c>
      <c r="B624" s="3" t="inlineStr">
        <is>
          <t>表示・UCS・ビュー</t>
        </is>
      </c>
      <c r="C624" s="3" t="inlineStr">
        <is>
          <t>fa/af</t>
        </is>
      </c>
      <c r="D624" s="4" t="inlineStr">
        <is>
          <t>tmp 转换坐标系</t>
        </is>
      </c>
      <c r="E624" s="4" t="inlineStr">
        <is>
          <t>斜線に合わせてUCSを切替</t>
        </is>
      </c>
      <c r="F624" s="2" t="n">
        <v>3</v>
      </c>
      <c r="G624" s="2" t="n">
        <v>3</v>
      </c>
      <c r="H624" s="2" t="n">
        <v>8</v>
      </c>
      <c r="I624" s="2" t="n">
        <v>14</v>
      </c>
      <c r="J624" s="5">
        <f>SUM(F624:I624)</f>
        <v/>
      </c>
      <c r="K624" s="4" t="inlineStr">
        <is>
          <t>UCS OBで代替</t>
        </is>
      </c>
      <c r="L624" s="3" t="inlineStr"/>
      <c r="M624" s="3" t="inlineStr">
        <is>
          <t>GitHub: zhugecaomao/AutoLISP</t>
        </is>
      </c>
      <c r="N624" s="6" t="inlineStr">
        <is>
          <t>開く</t>
        </is>
      </c>
    </row>
    <row r="625">
      <c r="A625" s="2">
        <f>RANK(J625,$J$2:$J$656)</f>
        <v/>
      </c>
      <c r="B625" s="3" t="inlineStr">
        <is>
          <t>表・Excel連携</t>
        </is>
      </c>
      <c r="C625" s="3" t="inlineStr">
        <is>
          <t>-</t>
        </is>
      </c>
      <c r="D625" s="4" t="inlineStr">
        <is>
          <t>快速查询图元属性</t>
        </is>
      </c>
      <c r="E625" s="4" t="inlineStr">
        <is>
          <t>図元の特性を素早く照会</t>
        </is>
      </c>
      <c r="F625" s="2" t="n">
        <v>4</v>
      </c>
      <c r="G625" s="2" t="n">
        <v>4</v>
      </c>
      <c r="H625" s="2" t="n">
        <v>6</v>
      </c>
      <c r="I625" s="2" t="n">
        <v>14</v>
      </c>
      <c r="J625" s="5">
        <f>SUM(F625:I625)</f>
        <v/>
      </c>
      <c r="K625" s="4" t="inlineStr">
        <is>
          <t>LIST/特性で可</t>
        </is>
      </c>
      <c r="L625" s="3" t="inlineStr">
        <is>
          <t>biya</t>
        </is>
      </c>
      <c r="M625" s="3" t="inlineStr">
        <is>
          <t>明经CAD社区</t>
        </is>
      </c>
      <c r="N625" s="6" t="inlineStr">
        <is>
          <t>開く</t>
        </is>
      </c>
    </row>
    <row r="626">
      <c r="A626" s="2">
        <f>RANK(J626,$J$2:$J$656)</f>
        <v/>
      </c>
      <c r="B626" s="3" t="inlineStr">
        <is>
          <t>寸法</t>
        </is>
      </c>
      <c r="C626" s="3" t="inlineStr">
        <is>
          <t>adh</t>
        </is>
      </c>
      <c r="D626" s="4" t="inlineStr">
        <is>
          <t>adh 快速斜边标注</t>
        </is>
      </c>
      <c r="E626" s="4" t="inlineStr">
        <is>
          <t>斜辺の寸法を素早く記入</t>
        </is>
      </c>
      <c r="F626" s="2" t="n">
        <v>4</v>
      </c>
      <c r="G626" s="2" t="n">
        <v>3</v>
      </c>
      <c r="H626" s="2" t="n">
        <v>8</v>
      </c>
      <c r="I626" s="2" t="n">
        <v>12</v>
      </c>
      <c r="J626" s="5">
        <f>SUM(F626:I626)</f>
        <v/>
      </c>
      <c r="K626" s="4" t="inlineStr">
        <is>
          <t>DIMALIGNEDで可</t>
        </is>
      </c>
      <c r="L626" s="3" t="inlineStr">
        <is>
          <t>jianpf</t>
        </is>
      </c>
      <c r="M626" s="3" t="inlineStr">
        <is>
          <t>GitHub: jianpf/autolisp</t>
        </is>
      </c>
      <c r="N626" s="6" t="inlineStr">
        <is>
          <t>開く</t>
        </is>
      </c>
    </row>
    <row r="627">
      <c r="A627" s="2">
        <f>RANK(J627,$J$2:$J$656)</f>
        <v/>
      </c>
      <c r="B627" s="3" t="inlineStr">
        <is>
          <t>文字・テキスト</t>
        </is>
      </c>
      <c r="C627" s="3" t="inlineStr">
        <is>
          <t>chhang</t>
        </is>
      </c>
      <c r="D627" s="4" t="inlineStr">
        <is>
          <t>chhang 批量修改文字角度</t>
        </is>
      </c>
      <c r="E627" s="4" t="inlineStr">
        <is>
          <t>文字の回転角を一括変更</t>
        </is>
      </c>
      <c r="F627" s="2" t="n">
        <v>3</v>
      </c>
      <c r="G627" s="2" t="n">
        <v>2</v>
      </c>
      <c r="H627" s="2" t="n">
        <v>6</v>
      </c>
      <c r="I627" s="2" t="n">
        <v>16</v>
      </c>
      <c r="J627" s="5">
        <f>SUM(F627:I627)</f>
        <v/>
      </c>
      <c r="K627" s="4" t="inlineStr">
        <is>
          <t>特性で可</t>
        </is>
      </c>
      <c r="L627" s="3" t="inlineStr"/>
      <c r="M627" s="3" t="inlineStr">
        <is>
          <t>GitHub: zhugecaomao/AutoLISP</t>
        </is>
      </c>
      <c r="N627" s="6" t="inlineStr">
        <is>
          <t>開く</t>
        </is>
      </c>
    </row>
    <row r="628">
      <c r="A628" s="2">
        <f>RANK(J628,$J$2:$J$656)</f>
        <v/>
      </c>
      <c r="B628" s="3" t="inlineStr">
        <is>
          <t>作図</t>
        </is>
      </c>
      <c r="C628" s="3" t="inlineStr">
        <is>
          <t>dbl</t>
        </is>
      </c>
      <c r="D628" s="4" t="inlineStr">
        <is>
          <t>CSDB 绘双线</t>
        </is>
      </c>
      <c r="E628" s="4" t="inlineStr">
        <is>
          <t>二重線（壁線）を作図</t>
        </is>
      </c>
      <c r="F628" s="2" t="n">
        <v>4</v>
      </c>
      <c r="G628" s="2" t="n">
        <v>3</v>
      </c>
      <c r="H628" s="2" t="n">
        <v>8</v>
      </c>
      <c r="I628" s="2" t="n">
        <v>12</v>
      </c>
      <c r="J628" s="5">
        <f>SUM(F628:I628)</f>
        <v/>
      </c>
      <c r="K628" s="4" t="inlineStr">
        <is>
          <t>MLINEで代替</t>
        </is>
      </c>
      <c r="L628" s="3" t="inlineStr"/>
      <c r="M628" s="3" t="inlineStr">
        <is>
          <t>GitHub: zhugecaomao/AutoLISP</t>
        </is>
      </c>
      <c r="N628" s="6" t="inlineStr">
        <is>
          <t>開く</t>
        </is>
      </c>
    </row>
    <row r="629">
      <c r="A629" s="2">
        <f>RANK(J629,$J$2:$J$656)</f>
        <v/>
      </c>
      <c r="B629" s="3" t="inlineStr">
        <is>
          <t>寸法</t>
        </is>
      </c>
      <c r="C629" s="3" t="inlineStr">
        <is>
          <t>lx/ly</t>
        </is>
      </c>
      <c r="D629" s="4" t="inlineStr">
        <is>
          <t>L_X_Y 标注X/Y尺寸</t>
        </is>
      </c>
      <c r="E629" s="4" t="inlineStr">
        <is>
          <t>X・Y方向寸法を素早く記入</t>
        </is>
      </c>
      <c r="F629" s="2" t="n">
        <v>3</v>
      </c>
      <c r="G629" s="2" t="n">
        <v>2</v>
      </c>
      <c r="H629" s="2" t="n">
        <v>8</v>
      </c>
      <c r="I629" s="2" t="n">
        <v>14</v>
      </c>
      <c r="J629" s="5">
        <f>SUM(F629:I629)</f>
        <v/>
      </c>
      <c r="K629" s="4" t="inlineStr">
        <is>
          <t>DIMLINEARで可</t>
        </is>
      </c>
      <c r="L629" s="3" t="inlineStr"/>
      <c r="M629" s="3" t="inlineStr">
        <is>
          <t>GitHub: zhugecaomao/AutoLISP</t>
        </is>
      </c>
      <c r="N629" s="6" t="inlineStr">
        <is>
          <t>開く</t>
        </is>
      </c>
    </row>
    <row r="630">
      <c r="A630" s="2">
        <f>RANK(J630,$J$2:$J$656)</f>
        <v/>
      </c>
      <c r="B630" s="3" t="inlineStr">
        <is>
          <t>LISP開発用の部品</t>
        </is>
      </c>
      <c r="C630" s="3" t="inlineStr">
        <is>
          <t>-</t>
        </is>
      </c>
      <c r="D630" s="4" t="inlineStr">
        <is>
          <t>matrix: 矩阵</t>
        </is>
      </c>
      <c r="E630" s="4" t="inlineStr">
        <is>
          <t>行列積・変換行列・クロネッカー積</t>
        </is>
      </c>
      <c r="F630" s="2" t="n">
        <v>8</v>
      </c>
      <c r="G630" s="2" t="n">
        <v>6</v>
      </c>
      <c r="H630" s="2" t="n">
        <v>3</v>
      </c>
      <c r="I630" s="2" t="n">
        <v>10</v>
      </c>
      <c r="J630" s="5">
        <f>SUM(F630:I630)</f>
        <v/>
      </c>
      <c r="K630" s="4" t="inlineStr">
        <is>
          <t>座標変換の基礎</t>
        </is>
      </c>
      <c r="L630" s="3" t="inlineStr">
        <is>
          <t>VitalGG</t>
        </is>
      </c>
      <c r="M630" s="3" t="inlineStr">
        <is>
          <t>GitHub: atlisp-org/atlisp-lib</t>
        </is>
      </c>
      <c r="N630" s="6" t="inlineStr">
        <is>
          <t>開く</t>
        </is>
      </c>
    </row>
    <row r="631">
      <c r="A631" s="2">
        <f>RANK(J631,$J$2:$J$656)</f>
        <v/>
      </c>
      <c r="B631" s="3" t="inlineStr">
        <is>
          <t>選択・絞り込み</t>
        </is>
      </c>
      <c r="C631" s="3" t="inlineStr">
        <is>
          <t>testa</t>
        </is>
      </c>
      <c r="D631" s="4" t="inlineStr">
        <is>
          <t>testa 亮显指定颜色实体</t>
        </is>
      </c>
      <c r="E631" s="4" t="inlineStr">
        <is>
          <t>指定色の図形をハイライト</t>
        </is>
      </c>
      <c r="F631" s="2" t="n">
        <v>4</v>
      </c>
      <c r="G631" s="2" t="n">
        <v>3</v>
      </c>
      <c r="H631" s="2" t="n">
        <v>6</v>
      </c>
      <c r="I631" s="2" t="n">
        <v>14</v>
      </c>
      <c r="J631" s="5">
        <f>SUM(F631:I631)</f>
        <v/>
      </c>
      <c r="K631" s="4" t="inlineStr">
        <is>
          <t>QSELECTで可</t>
        </is>
      </c>
      <c r="L631" s="3" t="inlineStr"/>
      <c r="M631" s="3" t="inlineStr">
        <is>
          <t>GitHub: zhugecaomao/AutoLISP</t>
        </is>
      </c>
      <c r="N631" s="6" t="inlineStr">
        <is>
          <t>開く</t>
        </is>
      </c>
    </row>
    <row r="632">
      <c r="A632" s="2">
        <f>RANK(J632,$J$2:$J$656)</f>
        <v/>
      </c>
      <c r="B632" s="3" t="inlineStr">
        <is>
          <t>その他</t>
        </is>
      </c>
      <c r="C632" s="3" t="inlineStr">
        <is>
          <t>zzx</t>
        </is>
      </c>
      <c r="D632" s="4" t="inlineStr">
        <is>
          <t>加花边程序</t>
        </is>
      </c>
      <c r="E632" s="4" t="inlineStr">
        <is>
          <t>図形に飾り枠（花辺）を付加</t>
        </is>
      </c>
      <c r="F632" s="2" t="n">
        <v>12</v>
      </c>
      <c r="G632" s="2" t="n">
        <v>8</v>
      </c>
      <c r="H632" s="2" t="n">
        <v>3</v>
      </c>
      <c r="I632" s="2" t="n">
        <v>4</v>
      </c>
      <c r="J632" s="5">
        <f>SUM(F632:I632)</f>
        <v/>
      </c>
      <c r="K632" s="4" t="inlineStr">
        <is>
          <t>装飾枠</t>
        </is>
      </c>
      <c r="L632" s="3" t="inlineStr"/>
      <c r="M632" s="3" t="inlineStr">
        <is>
          <t>GitHub: zhugecaomao/AutoLISP</t>
        </is>
      </c>
      <c r="N632" s="6" t="inlineStr">
        <is>
          <t>開く</t>
        </is>
      </c>
    </row>
    <row r="633">
      <c r="A633" s="2">
        <f>RANK(J633,$J$2:$J$656)</f>
        <v/>
      </c>
      <c r="B633" s="3" t="inlineStr">
        <is>
          <t>文字・テキスト</t>
        </is>
      </c>
      <c r="C633" s="3" t="inlineStr">
        <is>
          <t>CHTEXT</t>
        </is>
      </c>
      <c r="D633" s="4" t="inlineStr">
        <is>
          <t>chgtext 批量替换字符</t>
        </is>
      </c>
      <c r="E633" s="4" t="inlineStr">
        <is>
          <t>文字列を一括置換</t>
        </is>
      </c>
      <c r="F633" s="2" t="n">
        <v>2</v>
      </c>
      <c r="G633" s="2" t="n">
        <v>2</v>
      </c>
      <c r="H633" s="2" t="n">
        <v>6</v>
      </c>
      <c r="I633" s="2" t="n">
        <v>16</v>
      </c>
      <c r="J633" s="5">
        <f>SUM(F633:I633)</f>
        <v/>
      </c>
      <c r="K633" s="4" t="inlineStr">
        <is>
          <t>FIND/REPLACEで代替</t>
        </is>
      </c>
      <c r="L633" s="3" t="inlineStr">
        <is>
          <t>Autodesk</t>
        </is>
      </c>
      <c r="M633" s="3" t="inlineStr">
        <is>
          <t>GitHub: zhugecaomao/AutoLISP</t>
        </is>
      </c>
      <c r="N633" s="6" t="inlineStr">
        <is>
          <t>開く</t>
        </is>
      </c>
    </row>
    <row r="634">
      <c r="A634" s="2">
        <f>RANK(J634,$J$2:$J$656)</f>
        <v/>
      </c>
      <c r="B634" s="3" t="inlineStr">
        <is>
          <t>線・ポリライン編集</t>
        </is>
      </c>
      <c r="C634" s="3" t="inlineStr">
        <is>
          <t>cspe</t>
        </is>
      </c>
      <c r="D634" s="4" t="inlineStr">
        <is>
          <t>CSPEDIT 改变线宽</t>
        </is>
      </c>
      <c r="E634" s="4" t="inlineStr">
        <is>
          <t>PLの幅を一括変更</t>
        </is>
      </c>
      <c r="F634" s="2" t="n">
        <v>3</v>
      </c>
      <c r="G634" s="2" t="n">
        <v>2</v>
      </c>
      <c r="H634" s="2" t="n">
        <v>7</v>
      </c>
      <c r="I634" s="2" t="n">
        <v>14</v>
      </c>
      <c r="J634" s="5">
        <f>SUM(F634:I634)</f>
        <v/>
      </c>
      <c r="K634" s="4" t="inlineStr">
        <is>
          <t>PEDIT複数で可</t>
        </is>
      </c>
      <c r="L634" s="3" t="inlineStr"/>
      <c r="M634" s="3" t="inlineStr">
        <is>
          <t>GitHub: zhugecaomao/AutoLISP</t>
        </is>
      </c>
      <c r="N634" s="6" t="inlineStr">
        <is>
          <t>開く</t>
        </is>
      </c>
    </row>
    <row r="635">
      <c r="A635" s="2">
        <f>RANK(J635,$J$2:$J$656)</f>
        <v/>
      </c>
      <c r="B635" s="3" t="inlineStr">
        <is>
          <t>線・ポリライン編集</t>
        </is>
      </c>
      <c r="C635" s="3" t="inlineStr">
        <is>
          <t>fx</t>
        </is>
      </c>
      <c r="D635" s="4" t="inlineStr">
        <is>
          <t>fx 线形反向</t>
        </is>
      </c>
      <c r="E635" s="4" t="inlineStr">
        <is>
          <t>線の方向を反転</t>
        </is>
      </c>
      <c r="F635" s="2" t="n">
        <v>3</v>
      </c>
      <c r="G635" s="2" t="n">
        <v>3</v>
      </c>
      <c r="H635" s="2" t="n">
        <v>6</v>
      </c>
      <c r="I635" s="2" t="n">
        <v>14</v>
      </c>
      <c r="J635" s="5">
        <f>SUM(F635:I635)</f>
        <v/>
      </c>
      <c r="K635" s="4" t="inlineStr">
        <is>
          <t>REVERSEで代替</t>
        </is>
      </c>
      <c r="L635" s="3" t="inlineStr"/>
      <c r="M635" s="3" t="inlineStr">
        <is>
          <t>GitHub: zhugecaomao/AutoLISP</t>
        </is>
      </c>
      <c r="N635" s="6" t="inlineStr">
        <is>
          <t>開く</t>
        </is>
      </c>
    </row>
    <row r="636">
      <c r="A636" s="2">
        <f>RANK(J636,$J$2:$J$656)</f>
        <v/>
      </c>
      <c r="B636" s="3" t="inlineStr">
        <is>
          <t>LISP開発用の部品</t>
        </is>
      </c>
      <c r="C636" s="3" t="inlineStr">
        <is>
          <t>-</t>
        </is>
      </c>
      <c r="D636" s="4" t="inlineStr">
        <is>
          <t>list: 列表操作</t>
        </is>
      </c>
      <c r="E636" s="4" t="inlineStr">
        <is>
          <t>連想リスト・リスト演算の補助関数</t>
        </is>
      </c>
      <c r="F636" s="2" t="n">
        <v>5</v>
      </c>
      <c r="G636" s="2" t="n">
        <v>4</v>
      </c>
      <c r="H636" s="2" t="n">
        <v>4</v>
      </c>
      <c r="I636" s="2" t="n">
        <v>13</v>
      </c>
      <c r="J636" s="5">
        <f>SUM(F636:I636)</f>
        <v/>
      </c>
      <c r="K636" s="4" t="inlineStr">
        <is>
          <t>標準関数で概ね代替可</t>
        </is>
      </c>
      <c r="L636" s="3" t="inlineStr">
        <is>
          <t>VitalGG</t>
        </is>
      </c>
      <c r="M636" s="3" t="inlineStr">
        <is>
          <t>GitHub: atlisp-org/atlisp-lib</t>
        </is>
      </c>
      <c r="N636" s="6" t="inlineStr">
        <is>
          <t>開く</t>
        </is>
      </c>
    </row>
    <row r="637">
      <c r="A637" s="2">
        <f>RANK(J637,$J$2:$J$656)</f>
        <v/>
      </c>
      <c r="B637" s="3" t="inlineStr">
        <is>
          <t>文字・テキスト</t>
        </is>
      </c>
      <c r="C637" s="3" t="inlineStr">
        <is>
          <t>tch</t>
        </is>
      </c>
      <c r="D637" s="4" t="inlineStr">
        <is>
          <t>Tc 修改字高</t>
        </is>
      </c>
      <c r="E637" s="4" t="inlineStr">
        <is>
          <t>文字高を一括変更</t>
        </is>
      </c>
      <c r="F637" s="2" t="n">
        <v>2</v>
      </c>
      <c r="G637" s="2" t="n">
        <v>2</v>
      </c>
      <c r="H637" s="2" t="n">
        <v>6</v>
      </c>
      <c r="I637" s="2" t="n">
        <v>16</v>
      </c>
      <c r="J637" s="5">
        <f>SUM(F637:I637)</f>
        <v/>
      </c>
      <c r="K637" s="4" t="inlineStr">
        <is>
          <t>特性/SCALETEXTで可</t>
        </is>
      </c>
      <c r="L637" s="3" t="inlineStr"/>
      <c r="M637" s="3" t="inlineStr">
        <is>
          <t>GitHub: zhugecaomao/AutoLISP</t>
        </is>
      </c>
      <c r="N637" s="6" t="inlineStr">
        <is>
          <t>開く</t>
        </is>
      </c>
    </row>
    <row r="638">
      <c r="A638" s="2">
        <f>RANK(J638,$J$2:$J$656)</f>
        <v/>
      </c>
      <c r="B638" s="3" t="inlineStr">
        <is>
          <t>LISP開発用の部品</t>
        </is>
      </c>
      <c r="C638" s="3" t="inlineStr">
        <is>
          <t>-</t>
        </is>
      </c>
      <c r="D638" s="4" t="inlineStr">
        <is>
          <t>vla: ActiveX辅助</t>
        </is>
      </c>
      <c r="E638" s="4" t="inlineStr">
        <is>
          <t>variant変換・プロパティ一覧・安全配列</t>
        </is>
      </c>
      <c r="F638" s="2" t="n">
        <v>6</v>
      </c>
      <c r="G638" s="2" t="n">
        <v>4</v>
      </c>
      <c r="H638" s="2" t="n">
        <v>4</v>
      </c>
      <c r="I638" s="2" t="n">
        <v>12</v>
      </c>
      <c r="J638" s="5">
        <f>SUM(F638:I638)</f>
        <v/>
      </c>
      <c r="K638" s="4" t="inlineStr">
        <is>
          <t>variant処理の定番</t>
        </is>
      </c>
      <c r="L638" s="3" t="inlineStr">
        <is>
          <t>VitalGG</t>
        </is>
      </c>
      <c r="M638" s="3" t="inlineStr">
        <is>
          <t>GitHub: atlisp-org/atlisp-lib</t>
        </is>
      </c>
      <c r="N638" s="6" t="inlineStr">
        <is>
          <t>開く</t>
        </is>
      </c>
    </row>
    <row r="639">
      <c r="A639" s="2">
        <f>RANK(J639,$J$2:$J$656)</f>
        <v/>
      </c>
      <c r="B639" s="3" t="inlineStr">
        <is>
          <t>文字・テキスト</t>
        </is>
      </c>
      <c r="C639" s="3" t="inlineStr">
        <is>
          <t>插入时间戳</t>
        </is>
      </c>
      <c r="D639" s="4" t="inlineStr">
        <is>
          <t>插入时间戳 (@lisp文本)</t>
        </is>
      </c>
      <c r="E639" s="4" t="inlineStr">
        <is>
          <t>指定位置に現在日時の文字を挿入</t>
        </is>
      </c>
      <c r="F639" s="2" t="n">
        <v>6</v>
      </c>
      <c r="G639" s="2" t="n">
        <v>4</v>
      </c>
      <c r="H639" s="2" t="n">
        <v>4</v>
      </c>
      <c r="I639" s="2" t="n">
        <v>12</v>
      </c>
      <c r="J639" s="5">
        <f>SUM(F639:I639)</f>
        <v/>
      </c>
      <c r="K639" s="4" t="inlineStr">
        <is>
          <t>フィールドで代替可</t>
        </is>
      </c>
      <c r="L639" s="3" t="inlineStr">
        <is>
          <t>VitalGG</t>
        </is>
      </c>
      <c r="M639" s="3" t="inlineStr">
        <is>
          <t>@lisp 应用云</t>
        </is>
      </c>
      <c r="N639" s="6" t="inlineStr">
        <is>
          <t>開く</t>
        </is>
      </c>
    </row>
    <row r="640">
      <c r="A640" s="2">
        <f>RANK(J640,$J$2:$J$656)</f>
        <v/>
      </c>
      <c r="B640" s="3" t="inlineStr">
        <is>
          <t>LISP開発用の部品</t>
        </is>
      </c>
      <c r="C640" s="3" t="inlineStr">
        <is>
          <t>-</t>
        </is>
      </c>
      <c r="D640" s="4" t="inlineStr">
        <is>
          <t>查看实体的所有数据</t>
        </is>
      </c>
      <c r="E640" s="4" t="inlineStr">
        <is>
          <t>図元の全DXFデータを表示</t>
        </is>
      </c>
      <c r="F640" s="2" t="n">
        <v>8</v>
      </c>
      <c r="G640" s="2" t="n">
        <v>4</v>
      </c>
      <c r="H640" s="2" t="n">
        <v>4</v>
      </c>
      <c r="I640" s="2" t="n">
        <v>10</v>
      </c>
      <c r="J640" s="5">
        <f>SUM(F640:I640)</f>
        <v/>
      </c>
      <c r="K640" s="4" t="inlineStr">
        <is>
          <t>開発用</t>
        </is>
      </c>
      <c r="L640" s="3" t="inlineStr">
        <is>
          <t>yangchao2005090</t>
        </is>
      </c>
      <c r="M640" s="3" t="inlineStr">
        <is>
          <t>明经CAD社区</t>
        </is>
      </c>
      <c r="N640" s="6" t="inlineStr">
        <is>
          <t>開く</t>
        </is>
      </c>
    </row>
    <row r="641">
      <c r="A641" s="2">
        <f>RANK(J641,$J$2:$J$656)</f>
        <v/>
      </c>
      <c r="B641" s="3" t="inlineStr">
        <is>
          <t>線・ポリライン編集</t>
        </is>
      </c>
      <c r="C641" s="3" t="inlineStr">
        <is>
          <t>样条转多段</t>
        </is>
      </c>
      <c r="D641" s="4" t="inlineStr">
        <is>
          <t>样条转多段 (@lisp curve)</t>
        </is>
      </c>
      <c r="E641" s="4" t="inlineStr">
        <is>
          <t>スプラインをポリラインに変換</t>
        </is>
      </c>
      <c r="F641" s="2" t="n">
        <v>4</v>
      </c>
      <c r="G641" s="2" t="n">
        <v>3</v>
      </c>
      <c r="H641" s="2" t="n">
        <v>6</v>
      </c>
      <c r="I641" s="2" t="n">
        <v>13</v>
      </c>
      <c r="J641" s="5">
        <f>SUM(F641:I641)</f>
        <v/>
      </c>
      <c r="K641" s="4" t="inlineStr">
        <is>
          <t>PEDIT/SPLINEDITで可</t>
        </is>
      </c>
      <c r="L641" s="3" t="inlineStr">
        <is>
          <t>VitalGG</t>
        </is>
      </c>
      <c r="M641" s="3" t="inlineStr">
        <is>
          <t>@lisp 应用云</t>
        </is>
      </c>
      <c r="N641" s="6" t="inlineStr">
        <is>
          <t>開く</t>
        </is>
      </c>
    </row>
    <row r="642">
      <c r="A642" s="2">
        <f>RANK(J642,$J$2:$J$656)</f>
        <v/>
      </c>
      <c r="B642" s="3" t="inlineStr">
        <is>
          <t>設備</t>
        </is>
      </c>
      <c r="C642" s="3" t="inlineStr">
        <is>
          <t>管道绘制</t>
        </is>
      </c>
      <c r="D642" s="4" t="inlineStr">
        <is>
          <t>管道绘制</t>
        </is>
      </c>
      <c r="E642" s="4" t="inlineStr">
        <is>
          <t>配管の作図</t>
        </is>
      </c>
      <c r="F642" s="2" t="n">
        <v>8</v>
      </c>
      <c r="G642" s="2" t="n">
        <v>4</v>
      </c>
      <c r="H642" s="2" t="n">
        <v>8</v>
      </c>
      <c r="I642" s="2" t="n">
        <v>6</v>
      </c>
      <c r="J642" s="5">
        <f>SUM(F642:I642)</f>
        <v/>
      </c>
      <c r="K642" s="4" t="inlineStr">
        <is>
          <t>配管作図</t>
        </is>
      </c>
      <c r="L642" s="3" t="inlineStr">
        <is>
          <t>网络收集</t>
        </is>
      </c>
      <c r="M642" s="3" t="inlineStr">
        <is>
          <t>@lisp 应用云</t>
        </is>
      </c>
      <c r="N642" s="6" t="inlineStr">
        <is>
          <t>開く</t>
        </is>
      </c>
    </row>
    <row r="643">
      <c r="A643" s="2">
        <f>RANK(J643,$J$2:$J$656)</f>
        <v/>
      </c>
      <c r="B643" s="3" t="inlineStr">
        <is>
          <t>LISP開発用の部品</t>
        </is>
      </c>
      <c r="C643" s="3" t="inlineStr">
        <is>
          <t>-</t>
        </is>
      </c>
      <c r="D643" s="4" t="inlineStr">
        <is>
          <t>layer: 图层</t>
        </is>
      </c>
      <c r="E643" s="4" t="inlineStr">
        <is>
          <t>画層の作成・凍結・削除等の関数</t>
        </is>
      </c>
      <c r="F643" s="2" t="n">
        <v>5</v>
      </c>
      <c r="G643" s="2" t="n">
        <v>3</v>
      </c>
      <c r="H643" s="2" t="n">
        <v>4</v>
      </c>
      <c r="I643" s="2" t="n">
        <v>13</v>
      </c>
      <c r="J643" s="5">
        <f>SUM(F643:I643)</f>
        <v/>
      </c>
      <c r="K643" s="4" t="inlineStr">
        <is>
          <t>定番ラッパー</t>
        </is>
      </c>
      <c r="L643" s="3" t="inlineStr">
        <is>
          <t>VitalGG</t>
        </is>
      </c>
      <c r="M643" s="3" t="inlineStr">
        <is>
          <t>GitHub: atlisp-org/atlisp-lib</t>
        </is>
      </c>
      <c r="N643" s="6" t="inlineStr">
        <is>
          <t>開く</t>
        </is>
      </c>
    </row>
    <row r="644">
      <c r="A644" s="2">
        <f>RANK(J644,$J$2:$J$656)</f>
        <v/>
      </c>
      <c r="B644" s="3" t="inlineStr">
        <is>
          <t>外部参照・図面管理・一括処理</t>
        </is>
      </c>
      <c r="C644" s="3" t="inlineStr">
        <is>
          <t>建筑云发布工具</t>
        </is>
      </c>
      <c r="D644" s="4" t="inlineStr">
        <is>
          <t>建筑云发布工具</t>
        </is>
      </c>
      <c r="E644" s="4" t="inlineStr">
        <is>
          <t>図面を建築クラウドへ発行（開発中）</t>
        </is>
      </c>
      <c r="F644" s="2" t="n">
        <v>8</v>
      </c>
      <c r="G644" s="2" t="n">
        <v>8</v>
      </c>
      <c r="H644" s="2" t="n">
        <v>3</v>
      </c>
      <c r="I644" s="2" t="n">
        <v>6</v>
      </c>
      <c r="J644" s="5">
        <f>SUM(F644:I644)</f>
        <v/>
      </c>
      <c r="K644" s="4" t="inlineStr">
        <is>
          <t>未実装</t>
        </is>
      </c>
      <c r="L644" s="3" t="inlineStr">
        <is>
          <t>VitalGG</t>
        </is>
      </c>
      <c r="M644" s="3" t="inlineStr">
        <is>
          <t>@lisp 应用云</t>
        </is>
      </c>
      <c r="N644" s="6" t="inlineStr">
        <is>
          <t>開く</t>
        </is>
      </c>
    </row>
    <row r="645">
      <c r="A645" s="2">
        <f>RANK(J645,$J$2:$J$656)</f>
        <v/>
      </c>
      <c r="B645" s="3" t="inlineStr">
        <is>
          <t>外部参照・図面管理・一括処理</t>
        </is>
      </c>
      <c r="C645" s="3" t="inlineStr">
        <is>
          <t>-</t>
        </is>
      </c>
      <c r="D645" s="4" t="inlineStr">
        <is>
          <t>快速输出dxf</t>
        </is>
      </c>
      <c r="E645" s="4" t="inlineStr">
        <is>
          <t>DXFへ素早く書出</t>
        </is>
      </c>
      <c r="F645" s="2" t="n">
        <v>4</v>
      </c>
      <c r="G645" s="2" t="n">
        <v>3</v>
      </c>
      <c r="H645" s="2" t="n">
        <v>6</v>
      </c>
      <c r="I645" s="2" t="n">
        <v>12</v>
      </c>
      <c r="J645" s="5">
        <f>SUM(F645:I645)</f>
        <v/>
      </c>
      <c r="K645" s="4" t="inlineStr">
        <is>
          <t>DXFOUTで可</t>
        </is>
      </c>
      <c r="L645" s="3" t="inlineStr">
        <is>
          <t>mengsi</t>
        </is>
      </c>
      <c r="M645" s="3" t="inlineStr">
        <is>
          <t>明经CAD社区</t>
        </is>
      </c>
      <c r="N645" s="6" t="inlineStr">
        <is>
          <t>開く</t>
        </is>
      </c>
    </row>
    <row r="646">
      <c r="A646" s="2">
        <f>RANK(J646,$J$2:$J$656)</f>
        <v/>
      </c>
      <c r="B646" s="3" t="inlineStr">
        <is>
          <t>設備</t>
        </is>
      </c>
      <c r="C646" s="3" t="inlineStr">
        <is>
          <t>给排水说明/图例</t>
        </is>
      </c>
      <c r="D646" s="4" t="inlineStr">
        <is>
          <t>给排水样例 (@lisp给排水)</t>
        </is>
      </c>
      <c r="E646" s="4" t="inlineStr">
        <is>
          <t>給排水の説明・凡例・系統図雛形を挿入</t>
        </is>
      </c>
      <c r="F646" s="2" t="n">
        <v>8</v>
      </c>
      <c r="G646" s="2" t="n">
        <v>4</v>
      </c>
      <c r="H646" s="2" t="n">
        <v>8</v>
      </c>
      <c r="I646" s="2" t="n">
        <v>5</v>
      </c>
      <c r="J646" s="5">
        <f>SUM(F646:I646)</f>
        <v/>
      </c>
      <c r="K646" s="4" t="inlineStr">
        <is>
          <t>テンプレ挿入</t>
        </is>
      </c>
      <c r="L646" s="3" t="inlineStr">
        <is>
          <t>VitalGG</t>
        </is>
      </c>
      <c r="M646" s="3" t="inlineStr">
        <is>
          <t>@lisp 应用云</t>
        </is>
      </c>
      <c r="N646" s="6" t="inlineStr">
        <is>
          <t>開く</t>
        </is>
      </c>
    </row>
    <row r="647">
      <c r="A647" s="2">
        <f>RANK(J647,$J$2:$J$656)</f>
        <v/>
      </c>
      <c r="B647" s="3" t="inlineStr">
        <is>
          <t>LISP開発用の部品</t>
        </is>
      </c>
      <c r="C647" s="3" t="inlineStr">
        <is>
          <t>-</t>
        </is>
      </c>
      <c r="D647" s="4" t="inlineStr">
        <is>
          <t>color: 颜色</t>
        </is>
      </c>
      <c r="E647" s="4" t="inlineStr">
        <is>
          <t>ACI⇔RGB⇔真彩色の変換</t>
        </is>
      </c>
      <c r="F647" s="2" t="n">
        <v>6</v>
      </c>
      <c r="G647" s="2" t="n">
        <v>4</v>
      </c>
      <c r="H647" s="2" t="n">
        <v>3</v>
      </c>
      <c r="I647" s="2" t="n">
        <v>11</v>
      </c>
      <c r="J647" s="5">
        <f>SUM(F647:I647)</f>
        <v/>
      </c>
      <c r="K647" s="4" t="inlineStr">
        <is>
          <t>色変換補助</t>
        </is>
      </c>
      <c r="L647" s="3" t="inlineStr">
        <is>
          <t>VitalGG</t>
        </is>
      </c>
      <c r="M647" s="3" t="inlineStr">
        <is>
          <t>GitHub: atlisp-org/atlisp-lib</t>
        </is>
      </c>
      <c r="N647" s="6" t="inlineStr">
        <is>
          <t>開く</t>
        </is>
      </c>
    </row>
    <row r="648">
      <c r="A648" s="2">
        <f>RANK(J648,$J$2:$J$656)</f>
        <v/>
      </c>
      <c r="B648" s="3" t="inlineStr">
        <is>
          <t>LISP開発用の部品</t>
        </is>
      </c>
      <c r="C648" s="3" t="inlineStr">
        <is>
          <t>-</t>
        </is>
      </c>
      <c r="D648" s="4" t="inlineStr">
        <is>
          <t>m: 数学函数</t>
        </is>
      </c>
      <c r="E648" s="4" t="inlineStr">
        <is>
          <t>逆三角・双曲線・方位角等の数学関数</t>
        </is>
      </c>
      <c r="F648" s="2" t="n">
        <v>6</v>
      </c>
      <c r="G648" s="2" t="n">
        <v>4</v>
      </c>
      <c r="H648" s="2" t="n">
        <v>3</v>
      </c>
      <c r="I648" s="2" t="n">
        <v>11</v>
      </c>
      <c r="J648" s="5">
        <f>SUM(F648:I648)</f>
        <v/>
      </c>
      <c r="K648" s="4" t="inlineStr">
        <is>
          <t>数学補助関数</t>
        </is>
      </c>
      <c r="L648" s="3" t="inlineStr">
        <is>
          <t>VitalGG</t>
        </is>
      </c>
      <c r="M648" s="3" t="inlineStr">
        <is>
          <t>GitHub: atlisp-org/atlisp-lib</t>
        </is>
      </c>
      <c r="N648" s="6" t="inlineStr">
        <is>
          <t>開く</t>
        </is>
      </c>
    </row>
    <row r="649">
      <c r="A649" s="2">
        <f>RANK(J649,$J$2:$J$656)</f>
        <v/>
      </c>
      <c r="B649" s="3" t="inlineStr">
        <is>
          <t>文字・テキスト</t>
        </is>
      </c>
      <c r="C649" s="3" t="inlineStr">
        <is>
          <t>-</t>
        </is>
      </c>
      <c r="D649" s="4" t="inlineStr">
        <is>
          <t>修改文字大小写</t>
        </is>
      </c>
      <c r="E649" s="4" t="inlineStr">
        <is>
          <t>文字の大小文字変換</t>
        </is>
      </c>
      <c r="F649" s="2" t="n">
        <v>3</v>
      </c>
      <c r="G649" s="2" t="n">
        <v>2</v>
      </c>
      <c r="H649" s="2" t="n">
        <v>5</v>
      </c>
      <c r="I649" s="2" t="n">
        <v>14</v>
      </c>
      <c r="J649" s="5">
        <f>SUM(F649:I649)</f>
        <v/>
      </c>
      <c r="K649" s="4" t="inlineStr">
        <is>
          <t>TCASEで代替</t>
        </is>
      </c>
      <c r="L649" s="3" t="inlineStr">
        <is>
          <t>ucuc2003</t>
        </is>
      </c>
      <c r="M649" s="3" t="inlineStr">
        <is>
          <t>明经CAD社区</t>
        </is>
      </c>
      <c r="N649" s="6" t="inlineStr">
        <is>
          <t>開く</t>
        </is>
      </c>
    </row>
    <row r="650">
      <c r="A650" s="2">
        <f>RANK(J650,$J$2:$J$656)</f>
        <v/>
      </c>
      <c r="B650" s="3" t="inlineStr">
        <is>
          <t>その他</t>
        </is>
      </c>
      <c r="C650" s="3" t="inlineStr">
        <is>
          <t>表达式计算器</t>
        </is>
      </c>
      <c r="D650" s="4" t="inlineStr">
        <is>
          <t>表达式计算器</t>
        </is>
      </c>
      <c r="E650" s="4" t="inlineStr">
        <is>
          <t>数式計算機</t>
        </is>
      </c>
      <c r="F650" s="2" t="n">
        <v>4</v>
      </c>
      <c r="G650" s="2" t="n">
        <v>3</v>
      </c>
      <c r="H650" s="2" t="n">
        <v>5</v>
      </c>
      <c r="I650" s="2" t="n">
        <v>12</v>
      </c>
      <c r="J650" s="5">
        <f>SUM(F650:I650)</f>
        <v/>
      </c>
      <c r="K650" s="4" t="inlineStr">
        <is>
          <t>QUICKCALCで代替</t>
        </is>
      </c>
      <c r="L650" s="3" t="inlineStr">
        <is>
          <t>zixuan203344</t>
        </is>
      </c>
      <c r="M650" s="3" t="inlineStr">
        <is>
          <t>@lisp 应用云</t>
        </is>
      </c>
      <c r="N650" s="6" t="inlineStr">
        <is>
          <t>開く</t>
        </is>
      </c>
    </row>
    <row r="651">
      <c r="A651" s="2">
        <f>RANK(J651,$J$2:$J$656)</f>
        <v/>
      </c>
      <c r="B651" s="3" t="inlineStr">
        <is>
          <t>LISP開発用の部品</t>
        </is>
      </c>
      <c r="C651" s="3" t="inlineStr">
        <is>
          <t>-</t>
        </is>
      </c>
      <c r="D651" s="4" t="inlineStr">
        <is>
          <t>p: 谓词</t>
        </is>
      </c>
      <c r="E651" s="4" t="inlineStr">
        <is>
          <t>図元・点対表・曲線かどうか等の判定関数</t>
        </is>
      </c>
      <c r="F651" s="2" t="n">
        <v>5</v>
      </c>
      <c r="G651" s="2" t="n">
        <v>3</v>
      </c>
      <c r="H651" s="2" t="n">
        <v>3</v>
      </c>
      <c r="I651" s="2" t="n">
        <v>12</v>
      </c>
      <c r="J651" s="5">
        <f>SUM(F651:I651)</f>
        <v/>
      </c>
      <c r="K651" s="4" t="inlineStr">
        <is>
          <t>判定関数集</t>
        </is>
      </c>
      <c r="L651" s="3" t="inlineStr">
        <is>
          <t>VitalGG</t>
        </is>
      </c>
      <c r="M651" s="3" t="inlineStr">
        <is>
          <t>GitHub: atlisp-org/atlisp-lib</t>
        </is>
      </c>
      <c r="N651" s="6" t="inlineStr">
        <is>
          <t>開く</t>
        </is>
      </c>
    </row>
    <row r="652">
      <c r="A652" s="2">
        <f>RANK(J652,$J$2:$J$656)</f>
        <v/>
      </c>
      <c r="B652" s="3" t="inlineStr">
        <is>
          <t>その他</t>
        </is>
      </c>
      <c r="C652" s="3" t="inlineStr">
        <is>
          <t>五子棋/中国象棋</t>
        </is>
      </c>
      <c r="D652" s="4" t="inlineStr">
        <is>
          <t>CAD游戏（五子棋・象棋・切水果）</t>
        </is>
      </c>
      <c r="E652" s="4" t="inlineStr">
        <is>
          <t>CAD内で遊べるゲーム</t>
        </is>
      </c>
      <c r="F652" s="2" t="n">
        <v>10</v>
      </c>
      <c r="G652" s="2" t="n">
        <v>12</v>
      </c>
      <c r="H652" s="2" t="n">
        <v>0</v>
      </c>
      <c r="I652" s="2" t="n">
        <v>0</v>
      </c>
      <c r="J652" s="5">
        <f>SUM(F652:I652)</f>
        <v/>
      </c>
      <c r="K652" s="4" t="inlineStr">
        <is>
          <t>ゲーム</t>
        </is>
      </c>
      <c r="L652" s="3" t="inlineStr">
        <is>
          <t>HuangBang/VitalGG</t>
        </is>
      </c>
      <c r="M652" s="3" t="inlineStr">
        <is>
          <t>@lisp 应用云</t>
        </is>
      </c>
      <c r="N652" s="6" t="inlineStr">
        <is>
          <t>開く</t>
        </is>
      </c>
    </row>
    <row r="653">
      <c r="A653" s="2">
        <f>RANK(J653,$J$2:$J$656)</f>
        <v/>
      </c>
      <c r="B653" s="3" t="inlineStr">
        <is>
          <t>LISP開発用の部品</t>
        </is>
      </c>
      <c r="C653" s="3" t="inlineStr">
        <is>
          <t>-</t>
        </is>
      </c>
      <c r="D653" s="4" t="inlineStr">
        <is>
          <t>datetime: 日期</t>
        </is>
      </c>
      <c r="E653" s="4" t="inlineStr">
        <is>
          <t>日時書式化・現在時刻取得</t>
        </is>
      </c>
      <c r="F653" s="2" t="n">
        <v>5</v>
      </c>
      <c r="G653" s="2" t="n">
        <v>3</v>
      </c>
      <c r="H653" s="2" t="n">
        <v>3</v>
      </c>
      <c r="I653" s="2" t="n">
        <v>11</v>
      </c>
      <c r="J653" s="5">
        <f>SUM(F653:I653)</f>
        <v/>
      </c>
      <c r="K653" s="4" t="inlineStr">
        <is>
          <t>CDATE処理の定番</t>
        </is>
      </c>
      <c r="L653" s="3" t="inlineStr">
        <is>
          <t>VitalGG</t>
        </is>
      </c>
      <c r="M653" s="3" t="inlineStr">
        <is>
          <t>GitHub: atlisp-org/atlisp-lib</t>
        </is>
      </c>
      <c r="N653" s="6" t="inlineStr">
        <is>
          <t>開く</t>
        </is>
      </c>
    </row>
    <row r="654">
      <c r="A654" s="2">
        <f>RANK(J654,$J$2:$J$656)</f>
        <v/>
      </c>
      <c r="B654" s="3" t="inlineStr">
        <is>
          <t>寸法</t>
        </is>
      </c>
      <c r="C654" s="3" t="inlineStr">
        <is>
          <t>hu</t>
        </is>
      </c>
      <c r="D654" s="4" t="inlineStr">
        <is>
          <t>hu 弧长标注</t>
        </is>
      </c>
      <c r="E654" s="4" t="inlineStr">
        <is>
          <t>円弧の弧長寸法</t>
        </is>
      </c>
      <c r="F654" s="2" t="n">
        <v>2</v>
      </c>
      <c r="G654" s="2" t="n">
        <v>2</v>
      </c>
      <c r="H654" s="2" t="n">
        <v>5</v>
      </c>
      <c r="I654" s="2" t="n">
        <v>12</v>
      </c>
      <c r="J654" s="5">
        <f>SUM(F654:I654)</f>
        <v/>
      </c>
      <c r="K654" s="4" t="inlineStr">
        <is>
          <t>DIMARCで代替</t>
        </is>
      </c>
      <c r="L654" s="3" t="inlineStr"/>
      <c r="M654" s="3" t="inlineStr">
        <is>
          <t>GitHub: zhugecaomao/AutoLISP</t>
        </is>
      </c>
      <c r="N654" s="6" t="inlineStr">
        <is>
          <t>開く</t>
        </is>
      </c>
    </row>
    <row r="655">
      <c r="A655" s="2">
        <f>RANK(J655,$J$2:$J$656)</f>
        <v/>
      </c>
      <c r="B655" s="3" t="inlineStr">
        <is>
          <t>外部参照・図面管理・一括処理</t>
        </is>
      </c>
      <c r="C655" s="3" t="inlineStr">
        <is>
          <t>WMF</t>
        </is>
      </c>
      <c r="D655" s="4" t="inlineStr">
        <is>
          <t>WMF输出</t>
        </is>
      </c>
      <c r="E655" s="4" t="inlineStr">
        <is>
          <t>WMF形式で出力</t>
        </is>
      </c>
      <c r="F655" s="2" t="n">
        <v>4</v>
      </c>
      <c r="G655" s="2" t="n">
        <v>3</v>
      </c>
      <c r="H655" s="2" t="n">
        <v>4</v>
      </c>
      <c r="I655" s="2" t="n">
        <v>10</v>
      </c>
      <c r="J655" s="5">
        <f>SUM(F655:I655)</f>
        <v/>
      </c>
      <c r="K655" s="4" t="inlineStr">
        <is>
          <t>WMFOUTで可</t>
        </is>
      </c>
      <c r="L655" s="3" t="inlineStr">
        <is>
          <t>1028695446</t>
        </is>
      </c>
      <c r="M655" s="3" t="inlineStr">
        <is>
          <t>明经CAD社区</t>
        </is>
      </c>
      <c r="N655" s="6" t="inlineStr">
        <is>
          <t>開く</t>
        </is>
      </c>
    </row>
    <row r="656">
      <c r="A656" s="2">
        <f>RANK(J656,$J$2:$J$656)</f>
        <v/>
      </c>
      <c r="B656" s="3" t="inlineStr">
        <is>
          <t>LISP開発用の部品</t>
        </is>
      </c>
      <c r="C656" s="3" t="inlineStr">
        <is>
          <t>-</t>
        </is>
      </c>
      <c r="D656" s="4" t="inlineStr">
        <is>
          <t>表处理函数介绍</t>
        </is>
      </c>
      <c r="E656" s="4" t="inlineStr">
        <is>
          <t>リスト処理関数の紹介</t>
        </is>
      </c>
      <c r="F656" s="2" t="n">
        <v>5</v>
      </c>
      <c r="G656" s="2" t="n">
        <v>4</v>
      </c>
      <c r="H656" s="2" t="n">
        <v>3</v>
      </c>
      <c r="I656" s="2" t="n">
        <v>8</v>
      </c>
      <c r="J656" s="5">
        <f>SUM(F656:I656)</f>
        <v/>
      </c>
      <c r="K656" s="4" t="inlineStr">
        <is>
          <t>学習用</t>
        </is>
      </c>
      <c r="L656" s="3" t="inlineStr">
        <is>
          <t>greatlmy</t>
        </is>
      </c>
      <c r="M656" s="3" t="inlineStr">
        <is>
          <t>明经CAD社区</t>
        </is>
      </c>
      <c r="N656" s="6" t="inlineStr">
        <is>
          <t>開く</t>
        </is>
      </c>
    </row>
  </sheetData>
  <autoFilter ref="A1:N656"/>
  <conditionalFormatting sqref="J2:J656">
    <cfRule type="colorScale" priority="1">
      <colorScale>
        <cfvo type="num" val="10"/>
        <cfvo type="num" val="50"/>
        <cfvo type="num" val="80"/>
        <color rgb="00FFFFFF"/>
        <color rgb="00FFE699"/>
        <color rgb="00F4B084"/>
      </colorScale>
    </cfRule>
  </conditionalFormatting>
  <conditionalFormatting sqref="F2:I656">
    <cfRule type="colorScale" priority="2">
      <colorScale>
        <cfvo type="num" val="0"/>
        <cfvo type="num" val="25"/>
        <color rgb="00FFFFFF"/>
        <color rgb="009BC2E6"/>
      </colorScale>
    </cfRule>
  </conditionalFormatting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  <hyperlink xmlns:r="http://schemas.openxmlformats.org/officeDocument/2006/relationships" ref="N197" r:id="rId196"/>
    <hyperlink xmlns:r="http://schemas.openxmlformats.org/officeDocument/2006/relationships" ref="N198" r:id="rId197"/>
    <hyperlink xmlns:r="http://schemas.openxmlformats.org/officeDocument/2006/relationships" ref="N199" r:id="rId198"/>
    <hyperlink xmlns:r="http://schemas.openxmlformats.org/officeDocument/2006/relationships" ref="N200" r:id="rId199"/>
    <hyperlink xmlns:r="http://schemas.openxmlformats.org/officeDocument/2006/relationships" ref="N201" r:id="rId200"/>
    <hyperlink xmlns:r="http://schemas.openxmlformats.org/officeDocument/2006/relationships" ref="N202" r:id="rId201"/>
    <hyperlink xmlns:r="http://schemas.openxmlformats.org/officeDocument/2006/relationships" ref="N203" r:id="rId202"/>
    <hyperlink xmlns:r="http://schemas.openxmlformats.org/officeDocument/2006/relationships" ref="N204" r:id="rId203"/>
    <hyperlink xmlns:r="http://schemas.openxmlformats.org/officeDocument/2006/relationships" ref="N205" r:id="rId204"/>
    <hyperlink xmlns:r="http://schemas.openxmlformats.org/officeDocument/2006/relationships" ref="N206" r:id="rId205"/>
    <hyperlink xmlns:r="http://schemas.openxmlformats.org/officeDocument/2006/relationships" ref="N207" r:id="rId206"/>
    <hyperlink xmlns:r="http://schemas.openxmlformats.org/officeDocument/2006/relationships" ref="N208" r:id="rId207"/>
    <hyperlink xmlns:r="http://schemas.openxmlformats.org/officeDocument/2006/relationships" ref="N209" r:id="rId208"/>
    <hyperlink xmlns:r="http://schemas.openxmlformats.org/officeDocument/2006/relationships" ref="N210" r:id="rId209"/>
    <hyperlink xmlns:r="http://schemas.openxmlformats.org/officeDocument/2006/relationships" ref="N211" r:id="rId210"/>
    <hyperlink xmlns:r="http://schemas.openxmlformats.org/officeDocument/2006/relationships" ref="N212" r:id="rId211"/>
    <hyperlink xmlns:r="http://schemas.openxmlformats.org/officeDocument/2006/relationships" ref="N213" r:id="rId212"/>
    <hyperlink xmlns:r="http://schemas.openxmlformats.org/officeDocument/2006/relationships" ref="N214" r:id="rId213"/>
    <hyperlink xmlns:r="http://schemas.openxmlformats.org/officeDocument/2006/relationships" ref="N215" r:id="rId214"/>
    <hyperlink xmlns:r="http://schemas.openxmlformats.org/officeDocument/2006/relationships" ref="N216" r:id="rId215"/>
    <hyperlink xmlns:r="http://schemas.openxmlformats.org/officeDocument/2006/relationships" ref="N217" r:id="rId216"/>
    <hyperlink xmlns:r="http://schemas.openxmlformats.org/officeDocument/2006/relationships" ref="N218" r:id="rId217"/>
    <hyperlink xmlns:r="http://schemas.openxmlformats.org/officeDocument/2006/relationships" ref="N219" r:id="rId218"/>
    <hyperlink xmlns:r="http://schemas.openxmlformats.org/officeDocument/2006/relationships" ref="N220" r:id="rId219"/>
    <hyperlink xmlns:r="http://schemas.openxmlformats.org/officeDocument/2006/relationships" ref="N221" r:id="rId220"/>
    <hyperlink xmlns:r="http://schemas.openxmlformats.org/officeDocument/2006/relationships" ref="N222" r:id="rId221"/>
    <hyperlink xmlns:r="http://schemas.openxmlformats.org/officeDocument/2006/relationships" ref="N223" r:id="rId222"/>
    <hyperlink xmlns:r="http://schemas.openxmlformats.org/officeDocument/2006/relationships" ref="N224" r:id="rId223"/>
    <hyperlink xmlns:r="http://schemas.openxmlformats.org/officeDocument/2006/relationships" ref="N225" r:id="rId224"/>
    <hyperlink xmlns:r="http://schemas.openxmlformats.org/officeDocument/2006/relationships" ref="N226" r:id="rId225"/>
    <hyperlink xmlns:r="http://schemas.openxmlformats.org/officeDocument/2006/relationships" ref="N227" r:id="rId226"/>
    <hyperlink xmlns:r="http://schemas.openxmlformats.org/officeDocument/2006/relationships" ref="N228" r:id="rId227"/>
    <hyperlink xmlns:r="http://schemas.openxmlformats.org/officeDocument/2006/relationships" ref="N229" r:id="rId228"/>
    <hyperlink xmlns:r="http://schemas.openxmlformats.org/officeDocument/2006/relationships" ref="N230" r:id="rId229"/>
    <hyperlink xmlns:r="http://schemas.openxmlformats.org/officeDocument/2006/relationships" ref="N231" r:id="rId230"/>
    <hyperlink xmlns:r="http://schemas.openxmlformats.org/officeDocument/2006/relationships" ref="N232" r:id="rId231"/>
    <hyperlink xmlns:r="http://schemas.openxmlformats.org/officeDocument/2006/relationships" ref="N233" r:id="rId232"/>
    <hyperlink xmlns:r="http://schemas.openxmlformats.org/officeDocument/2006/relationships" ref="N234" r:id="rId233"/>
    <hyperlink xmlns:r="http://schemas.openxmlformats.org/officeDocument/2006/relationships" ref="N235" r:id="rId234"/>
    <hyperlink xmlns:r="http://schemas.openxmlformats.org/officeDocument/2006/relationships" ref="N236" r:id="rId235"/>
    <hyperlink xmlns:r="http://schemas.openxmlformats.org/officeDocument/2006/relationships" ref="N237" r:id="rId236"/>
    <hyperlink xmlns:r="http://schemas.openxmlformats.org/officeDocument/2006/relationships" ref="N238" r:id="rId237"/>
    <hyperlink xmlns:r="http://schemas.openxmlformats.org/officeDocument/2006/relationships" ref="N239" r:id="rId238"/>
    <hyperlink xmlns:r="http://schemas.openxmlformats.org/officeDocument/2006/relationships" ref="N240" r:id="rId239"/>
    <hyperlink xmlns:r="http://schemas.openxmlformats.org/officeDocument/2006/relationships" ref="N241" r:id="rId240"/>
    <hyperlink xmlns:r="http://schemas.openxmlformats.org/officeDocument/2006/relationships" ref="N242" r:id="rId241"/>
    <hyperlink xmlns:r="http://schemas.openxmlformats.org/officeDocument/2006/relationships" ref="N243" r:id="rId242"/>
    <hyperlink xmlns:r="http://schemas.openxmlformats.org/officeDocument/2006/relationships" ref="N244" r:id="rId243"/>
    <hyperlink xmlns:r="http://schemas.openxmlformats.org/officeDocument/2006/relationships" ref="N245" r:id="rId244"/>
    <hyperlink xmlns:r="http://schemas.openxmlformats.org/officeDocument/2006/relationships" ref="N246" r:id="rId245"/>
    <hyperlink xmlns:r="http://schemas.openxmlformats.org/officeDocument/2006/relationships" ref="N247" r:id="rId246"/>
    <hyperlink xmlns:r="http://schemas.openxmlformats.org/officeDocument/2006/relationships" ref="N248" r:id="rId247"/>
    <hyperlink xmlns:r="http://schemas.openxmlformats.org/officeDocument/2006/relationships" ref="N249" r:id="rId248"/>
    <hyperlink xmlns:r="http://schemas.openxmlformats.org/officeDocument/2006/relationships" ref="N250" r:id="rId249"/>
    <hyperlink xmlns:r="http://schemas.openxmlformats.org/officeDocument/2006/relationships" ref="N251" r:id="rId250"/>
    <hyperlink xmlns:r="http://schemas.openxmlformats.org/officeDocument/2006/relationships" ref="N252" r:id="rId251"/>
    <hyperlink xmlns:r="http://schemas.openxmlformats.org/officeDocument/2006/relationships" ref="N253" r:id="rId252"/>
    <hyperlink xmlns:r="http://schemas.openxmlformats.org/officeDocument/2006/relationships" ref="N254" r:id="rId253"/>
    <hyperlink xmlns:r="http://schemas.openxmlformats.org/officeDocument/2006/relationships" ref="N255" r:id="rId254"/>
    <hyperlink xmlns:r="http://schemas.openxmlformats.org/officeDocument/2006/relationships" ref="N256" r:id="rId255"/>
    <hyperlink xmlns:r="http://schemas.openxmlformats.org/officeDocument/2006/relationships" ref="N257" r:id="rId256"/>
    <hyperlink xmlns:r="http://schemas.openxmlformats.org/officeDocument/2006/relationships" ref="N258" r:id="rId257"/>
    <hyperlink xmlns:r="http://schemas.openxmlformats.org/officeDocument/2006/relationships" ref="N259" r:id="rId258"/>
    <hyperlink xmlns:r="http://schemas.openxmlformats.org/officeDocument/2006/relationships" ref="N260" r:id="rId259"/>
    <hyperlink xmlns:r="http://schemas.openxmlformats.org/officeDocument/2006/relationships" ref="N261" r:id="rId260"/>
    <hyperlink xmlns:r="http://schemas.openxmlformats.org/officeDocument/2006/relationships" ref="N262" r:id="rId261"/>
    <hyperlink xmlns:r="http://schemas.openxmlformats.org/officeDocument/2006/relationships" ref="N263" r:id="rId262"/>
    <hyperlink xmlns:r="http://schemas.openxmlformats.org/officeDocument/2006/relationships" ref="N264" r:id="rId263"/>
    <hyperlink xmlns:r="http://schemas.openxmlformats.org/officeDocument/2006/relationships" ref="N265" r:id="rId264"/>
    <hyperlink xmlns:r="http://schemas.openxmlformats.org/officeDocument/2006/relationships" ref="N266" r:id="rId265"/>
    <hyperlink xmlns:r="http://schemas.openxmlformats.org/officeDocument/2006/relationships" ref="N267" r:id="rId266"/>
    <hyperlink xmlns:r="http://schemas.openxmlformats.org/officeDocument/2006/relationships" ref="N268" r:id="rId267"/>
    <hyperlink xmlns:r="http://schemas.openxmlformats.org/officeDocument/2006/relationships" ref="N269" r:id="rId268"/>
    <hyperlink xmlns:r="http://schemas.openxmlformats.org/officeDocument/2006/relationships" ref="N270" r:id="rId269"/>
    <hyperlink xmlns:r="http://schemas.openxmlformats.org/officeDocument/2006/relationships" ref="N271" r:id="rId270"/>
    <hyperlink xmlns:r="http://schemas.openxmlformats.org/officeDocument/2006/relationships" ref="N272" r:id="rId271"/>
    <hyperlink xmlns:r="http://schemas.openxmlformats.org/officeDocument/2006/relationships" ref="N273" r:id="rId272"/>
    <hyperlink xmlns:r="http://schemas.openxmlformats.org/officeDocument/2006/relationships" ref="N274" r:id="rId273"/>
    <hyperlink xmlns:r="http://schemas.openxmlformats.org/officeDocument/2006/relationships" ref="N275" r:id="rId274"/>
    <hyperlink xmlns:r="http://schemas.openxmlformats.org/officeDocument/2006/relationships" ref="N276" r:id="rId275"/>
    <hyperlink xmlns:r="http://schemas.openxmlformats.org/officeDocument/2006/relationships" ref="N277" r:id="rId276"/>
    <hyperlink xmlns:r="http://schemas.openxmlformats.org/officeDocument/2006/relationships" ref="N278" r:id="rId277"/>
    <hyperlink xmlns:r="http://schemas.openxmlformats.org/officeDocument/2006/relationships" ref="N279" r:id="rId278"/>
    <hyperlink xmlns:r="http://schemas.openxmlformats.org/officeDocument/2006/relationships" ref="N280" r:id="rId279"/>
    <hyperlink xmlns:r="http://schemas.openxmlformats.org/officeDocument/2006/relationships" ref="N281" r:id="rId280"/>
    <hyperlink xmlns:r="http://schemas.openxmlformats.org/officeDocument/2006/relationships" ref="N282" r:id="rId281"/>
    <hyperlink xmlns:r="http://schemas.openxmlformats.org/officeDocument/2006/relationships" ref="N283" r:id="rId282"/>
    <hyperlink xmlns:r="http://schemas.openxmlformats.org/officeDocument/2006/relationships" ref="N284" r:id="rId283"/>
    <hyperlink xmlns:r="http://schemas.openxmlformats.org/officeDocument/2006/relationships" ref="N285" r:id="rId284"/>
    <hyperlink xmlns:r="http://schemas.openxmlformats.org/officeDocument/2006/relationships" ref="N286" r:id="rId285"/>
    <hyperlink xmlns:r="http://schemas.openxmlformats.org/officeDocument/2006/relationships" ref="N287" r:id="rId286"/>
    <hyperlink xmlns:r="http://schemas.openxmlformats.org/officeDocument/2006/relationships" ref="N288" r:id="rId287"/>
    <hyperlink xmlns:r="http://schemas.openxmlformats.org/officeDocument/2006/relationships" ref="N289" r:id="rId288"/>
    <hyperlink xmlns:r="http://schemas.openxmlformats.org/officeDocument/2006/relationships" ref="N290" r:id="rId289"/>
    <hyperlink xmlns:r="http://schemas.openxmlformats.org/officeDocument/2006/relationships" ref="N291" r:id="rId290"/>
    <hyperlink xmlns:r="http://schemas.openxmlformats.org/officeDocument/2006/relationships" ref="N292" r:id="rId291"/>
    <hyperlink xmlns:r="http://schemas.openxmlformats.org/officeDocument/2006/relationships" ref="N293" r:id="rId292"/>
    <hyperlink xmlns:r="http://schemas.openxmlformats.org/officeDocument/2006/relationships" ref="N294" r:id="rId293"/>
    <hyperlink xmlns:r="http://schemas.openxmlformats.org/officeDocument/2006/relationships" ref="N295" r:id="rId294"/>
    <hyperlink xmlns:r="http://schemas.openxmlformats.org/officeDocument/2006/relationships" ref="N296" r:id="rId295"/>
    <hyperlink xmlns:r="http://schemas.openxmlformats.org/officeDocument/2006/relationships" ref="N297" r:id="rId296"/>
    <hyperlink xmlns:r="http://schemas.openxmlformats.org/officeDocument/2006/relationships" ref="N298" r:id="rId297"/>
    <hyperlink xmlns:r="http://schemas.openxmlformats.org/officeDocument/2006/relationships" ref="N299" r:id="rId298"/>
    <hyperlink xmlns:r="http://schemas.openxmlformats.org/officeDocument/2006/relationships" ref="N300" r:id="rId299"/>
    <hyperlink xmlns:r="http://schemas.openxmlformats.org/officeDocument/2006/relationships" ref="N301" r:id="rId300"/>
    <hyperlink xmlns:r="http://schemas.openxmlformats.org/officeDocument/2006/relationships" ref="N302" r:id="rId301"/>
    <hyperlink xmlns:r="http://schemas.openxmlformats.org/officeDocument/2006/relationships" ref="N303" r:id="rId302"/>
    <hyperlink xmlns:r="http://schemas.openxmlformats.org/officeDocument/2006/relationships" ref="N304" r:id="rId303"/>
    <hyperlink xmlns:r="http://schemas.openxmlformats.org/officeDocument/2006/relationships" ref="N305" r:id="rId304"/>
    <hyperlink xmlns:r="http://schemas.openxmlformats.org/officeDocument/2006/relationships" ref="N306" r:id="rId305"/>
    <hyperlink xmlns:r="http://schemas.openxmlformats.org/officeDocument/2006/relationships" ref="N307" r:id="rId306"/>
    <hyperlink xmlns:r="http://schemas.openxmlformats.org/officeDocument/2006/relationships" ref="N308" r:id="rId307"/>
    <hyperlink xmlns:r="http://schemas.openxmlformats.org/officeDocument/2006/relationships" ref="N309" r:id="rId308"/>
    <hyperlink xmlns:r="http://schemas.openxmlformats.org/officeDocument/2006/relationships" ref="N310" r:id="rId309"/>
    <hyperlink xmlns:r="http://schemas.openxmlformats.org/officeDocument/2006/relationships" ref="N311" r:id="rId310"/>
    <hyperlink xmlns:r="http://schemas.openxmlformats.org/officeDocument/2006/relationships" ref="N312" r:id="rId311"/>
    <hyperlink xmlns:r="http://schemas.openxmlformats.org/officeDocument/2006/relationships" ref="N313" r:id="rId312"/>
    <hyperlink xmlns:r="http://schemas.openxmlformats.org/officeDocument/2006/relationships" ref="N314" r:id="rId313"/>
    <hyperlink xmlns:r="http://schemas.openxmlformats.org/officeDocument/2006/relationships" ref="N315" r:id="rId314"/>
    <hyperlink xmlns:r="http://schemas.openxmlformats.org/officeDocument/2006/relationships" ref="N316" r:id="rId315"/>
    <hyperlink xmlns:r="http://schemas.openxmlformats.org/officeDocument/2006/relationships" ref="N317" r:id="rId316"/>
    <hyperlink xmlns:r="http://schemas.openxmlformats.org/officeDocument/2006/relationships" ref="N318" r:id="rId317"/>
    <hyperlink xmlns:r="http://schemas.openxmlformats.org/officeDocument/2006/relationships" ref="N319" r:id="rId318"/>
    <hyperlink xmlns:r="http://schemas.openxmlformats.org/officeDocument/2006/relationships" ref="N320" r:id="rId319"/>
    <hyperlink xmlns:r="http://schemas.openxmlformats.org/officeDocument/2006/relationships" ref="N321" r:id="rId320"/>
    <hyperlink xmlns:r="http://schemas.openxmlformats.org/officeDocument/2006/relationships" ref="N322" r:id="rId321"/>
    <hyperlink xmlns:r="http://schemas.openxmlformats.org/officeDocument/2006/relationships" ref="N323" r:id="rId322"/>
    <hyperlink xmlns:r="http://schemas.openxmlformats.org/officeDocument/2006/relationships" ref="N324" r:id="rId323"/>
    <hyperlink xmlns:r="http://schemas.openxmlformats.org/officeDocument/2006/relationships" ref="N325" r:id="rId324"/>
    <hyperlink xmlns:r="http://schemas.openxmlformats.org/officeDocument/2006/relationships" ref="N326" r:id="rId325"/>
    <hyperlink xmlns:r="http://schemas.openxmlformats.org/officeDocument/2006/relationships" ref="N327" r:id="rId326"/>
    <hyperlink xmlns:r="http://schemas.openxmlformats.org/officeDocument/2006/relationships" ref="N328" r:id="rId327"/>
    <hyperlink xmlns:r="http://schemas.openxmlformats.org/officeDocument/2006/relationships" ref="N329" r:id="rId328"/>
    <hyperlink xmlns:r="http://schemas.openxmlformats.org/officeDocument/2006/relationships" ref="N330" r:id="rId329"/>
    <hyperlink xmlns:r="http://schemas.openxmlformats.org/officeDocument/2006/relationships" ref="N331" r:id="rId330"/>
    <hyperlink xmlns:r="http://schemas.openxmlformats.org/officeDocument/2006/relationships" ref="N332" r:id="rId331"/>
    <hyperlink xmlns:r="http://schemas.openxmlformats.org/officeDocument/2006/relationships" ref="N333" r:id="rId332"/>
    <hyperlink xmlns:r="http://schemas.openxmlformats.org/officeDocument/2006/relationships" ref="N334" r:id="rId333"/>
    <hyperlink xmlns:r="http://schemas.openxmlformats.org/officeDocument/2006/relationships" ref="N335" r:id="rId334"/>
    <hyperlink xmlns:r="http://schemas.openxmlformats.org/officeDocument/2006/relationships" ref="N336" r:id="rId335"/>
    <hyperlink xmlns:r="http://schemas.openxmlformats.org/officeDocument/2006/relationships" ref="N337" r:id="rId336"/>
    <hyperlink xmlns:r="http://schemas.openxmlformats.org/officeDocument/2006/relationships" ref="N338" r:id="rId337"/>
    <hyperlink xmlns:r="http://schemas.openxmlformats.org/officeDocument/2006/relationships" ref="N339" r:id="rId338"/>
    <hyperlink xmlns:r="http://schemas.openxmlformats.org/officeDocument/2006/relationships" ref="N340" r:id="rId339"/>
    <hyperlink xmlns:r="http://schemas.openxmlformats.org/officeDocument/2006/relationships" ref="N341" r:id="rId340"/>
    <hyperlink xmlns:r="http://schemas.openxmlformats.org/officeDocument/2006/relationships" ref="N342" r:id="rId341"/>
    <hyperlink xmlns:r="http://schemas.openxmlformats.org/officeDocument/2006/relationships" ref="N343" r:id="rId342"/>
    <hyperlink xmlns:r="http://schemas.openxmlformats.org/officeDocument/2006/relationships" ref="N344" r:id="rId343"/>
    <hyperlink xmlns:r="http://schemas.openxmlformats.org/officeDocument/2006/relationships" ref="N345" r:id="rId344"/>
    <hyperlink xmlns:r="http://schemas.openxmlformats.org/officeDocument/2006/relationships" ref="N346" r:id="rId345"/>
    <hyperlink xmlns:r="http://schemas.openxmlformats.org/officeDocument/2006/relationships" ref="N347" r:id="rId346"/>
    <hyperlink xmlns:r="http://schemas.openxmlformats.org/officeDocument/2006/relationships" ref="N348" r:id="rId347"/>
    <hyperlink xmlns:r="http://schemas.openxmlformats.org/officeDocument/2006/relationships" ref="N349" r:id="rId348"/>
    <hyperlink xmlns:r="http://schemas.openxmlformats.org/officeDocument/2006/relationships" ref="N350" r:id="rId349"/>
    <hyperlink xmlns:r="http://schemas.openxmlformats.org/officeDocument/2006/relationships" ref="N351" r:id="rId350"/>
    <hyperlink xmlns:r="http://schemas.openxmlformats.org/officeDocument/2006/relationships" ref="N352" r:id="rId351"/>
    <hyperlink xmlns:r="http://schemas.openxmlformats.org/officeDocument/2006/relationships" ref="N353" r:id="rId352"/>
    <hyperlink xmlns:r="http://schemas.openxmlformats.org/officeDocument/2006/relationships" ref="N354" r:id="rId353"/>
    <hyperlink xmlns:r="http://schemas.openxmlformats.org/officeDocument/2006/relationships" ref="N355" r:id="rId354"/>
    <hyperlink xmlns:r="http://schemas.openxmlformats.org/officeDocument/2006/relationships" ref="N356" r:id="rId355"/>
    <hyperlink xmlns:r="http://schemas.openxmlformats.org/officeDocument/2006/relationships" ref="N357" r:id="rId356"/>
    <hyperlink xmlns:r="http://schemas.openxmlformats.org/officeDocument/2006/relationships" ref="N358" r:id="rId357"/>
    <hyperlink xmlns:r="http://schemas.openxmlformats.org/officeDocument/2006/relationships" ref="N359" r:id="rId358"/>
    <hyperlink xmlns:r="http://schemas.openxmlformats.org/officeDocument/2006/relationships" ref="N360" r:id="rId359"/>
    <hyperlink xmlns:r="http://schemas.openxmlformats.org/officeDocument/2006/relationships" ref="N361" r:id="rId360"/>
    <hyperlink xmlns:r="http://schemas.openxmlformats.org/officeDocument/2006/relationships" ref="N362" r:id="rId361"/>
    <hyperlink xmlns:r="http://schemas.openxmlformats.org/officeDocument/2006/relationships" ref="N363" r:id="rId362"/>
    <hyperlink xmlns:r="http://schemas.openxmlformats.org/officeDocument/2006/relationships" ref="N364" r:id="rId363"/>
    <hyperlink xmlns:r="http://schemas.openxmlformats.org/officeDocument/2006/relationships" ref="N365" r:id="rId364"/>
    <hyperlink xmlns:r="http://schemas.openxmlformats.org/officeDocument/2006/relationships" ref="N366" r:id="rId365"/>
    <hyperlink xmlns:r="http://schemas.openxmlformats.org/officeDocument/2006/relationships" ref="N367" r:id="rId366"/>
    <hyperlink xmlns:r="http://schemas.openxmlformats.org/officeDocument/2006/relationships" ref="N368" r:id="rId367"/>
    <hyperlink xmlns:r="http://schemas.openxmlformats.org/officeDocument/2006/relationships" ref="N369" r:id="rId368"/>
    <hyperlink xmlns:r="http://schemas.openxmlformats.org/officeDocument/2006/relationships" ref="N370" r:id="rId369"/>
    <hyperlink xmlns:r="http://schemas.openxmlformats.org/officeDocument/2006/relationships" ref="N371" r:id="rId370"/>
    <hyperlink xmlns:r="http://schemas.openxmlformats.org/officeDocument/2006/relationships" ref="N372" r:id="rId371"/>
    <hyperlink xmlns:r="http://schemas.openxmlformats.org/officeDocument/2006/relationships" ref="N373" r:id="rId372"/>
    <hyperlink xmlns:r="http://schemas.openxmlformats.org/officeDocument/2006/relationships" ref="N374" r:id="rId373"/>
    <hyperlink xmlns:r="http://schemas.openxmlformats.org/officeDocument/2006/relationships" ref="N375" r:id="rId374"/>
    <hyperlink xmlns:r="http://schemas.openxmlformats.org/officeDocument/2006/relationships" ref="N376" r:id="rId375"/>
    <hyperlink xmlns:r="http://schemas.openxmlformats.org/officeDocument/2006/relationships" ref="N377" r:id="rId376"/>
    <hyperlink xmlns:r="http://schemas.openxmlformats.org/officeDocument/2006/relationships" ref="N378" r:id="rId377"/>
    <hyperlink xmlns:r="http://schemas.openxmlformats.org/officeDocument/2006/relationships" ref="N379" r:id="rId378"/>
    <hyperlink xmlns:r="http://schemas.openxmlformats.org/officeDocument/2006/relationships" ref="N380" r:id="rId379"/>
    <hyperlink xmlns:r="http://schemas.openxmlformats.org/officeDocument/2006/relationships" ref="N381" r:id="rId380"/>
    <hyperlink xmlns:r="http://schemas.openxmlformats.org/officeDocument/2006/relationships" ref="N382" r:id="rId381"/>
    <hyperlink xmlns:r="http://schemas.openxmlformats.org/officeDocument/2006/relationships" ref="N383" r:id="rId382"/>
    <hyperlink xmlns:r="http://schemas.openxmlformats.org/officeDocument/2006/relationships" ref="N384" r:id="rId383"/>
    <hyperlink xmlns:r="http://schemas.openxmlformats.org/officeDocument/2006/relationships" ref="N385" r:id="rId384"/>
    <hyperlink xmlns:r="http://schemas.openxmlformats.org/officeDocument/2006/relationships" ref="N386" r:id="rId385"/>
    <hyperlink xmlns:r="http://schemas.openxmlformats.org/officeDocument/2006/relationships" ref="N387" r:id="rId386"/>
    <hyperlink xmlns:r="http://schemas.openxmlformats.org/officeDocument/2006/relationships" ref="N388" r:id="rId387"/>
    <hyperlink xmlns:r="http://schemas.openxmlformats.org/officeDocument/2006/relationships" ref="N389" r:id="rId388"/>
    <hyperlink xmlns:r="http://schemas.openxmlformats.org/officeDocument/2006/relationships" ref="N390" r:id="rId389"/>
    <hyperlink xmlns:r="http://schemas.openxmlformats.org/officeDocument/2006/relationships" ref="N391" r:id="rId390"/>
    <hyperlink xmlns:r="http://schemas.openxmlformats.org/officeDocument/2006/relationships" ref="N392" r:id="rId391"/>
    <hyperlink xmlns:r="http://schemas.openxmlformats.org/officeDocument/2006/relationships" ref="N393" r:id="rId392"/>
    <hyperlink xmlns:r="http://schemas.openxmlformats.org/officeDocument/2006/relationships" ref="N394" r:id="rId393"/>
    <hyperlink xmlns:r="http://schemas.openxmlformats.org/officeDocument/2006/relationships" ref="N395" r:id="rId394"/>
    <hyperlink xmlns:r="http://schemas.openxmlformats.org/officeDocument/2006/relationships" ref="N396" r:id="rId395"/>
    <hyperlink xmlns:r="http://schemas.openxmlformats.org/officeDocument/2006/relationships" ref="N397" r:id="rId396"/>
    <hyperlink xmlns:r="http://schemas.openxmlformats.org/officeDocument/2006/relationships" ref="N398" r:id="rId397"/>
    <hyperlink xmlns:r="http://schemas.openxmlformats.org/officeDocument/2006/relationships" ref="N399" r:id="rId398"/>
    <hyperlink xmlns:r="http://schemas.openxmlformats.org/officeDocument/2006/relationships" ref="N400" r:id="rId399"/>
    <hyperlink xmlns:r="http://schemas.openxmlformats.org/officeDocument/2006/relationships" ref="N401" r:id="rId400"/>
    <hyperlink xmlns:r="http://schemas.openxmlformats.org/officeDocument/2006/relationships" ref="N402" r:id="rId401"/>
    <hyperlink xmlns:r="http://schemas.openxmlformats.org/officeDocument/2006/relationships" ref="N403" r:id="rId402"/>
    <hyperlink xmlns:r="http://schemas.openxmlformats.org/officeDocument/2006/relationships" ref="N404" r:id="rId403"/>
    <hyperlink xmlns:r="http://schemas.openxmlformats.org/officeDocument/2006/relationships" ref="N405" r:id="rId404"/>
    <hyperlink xmlns:r="http://schemas.openxmlformats.org/officeDocument/2006/relationships" ref="N406" r:id="rId405"/>
    <hyperlink xmlns:r="http://schemas.openxmlformats.org/officeDocument/2006/relationships" ref="N407" r:id="rId406"/>
    <hyperlink xmlns:r="http://schemas.openxmlformats.org/officeDocument/2006/relationships" ref="N408" r:id="rId407"/>
    <hyperlink xmlns:r="http://schemas.openxmlformats.org/officeDocument/2006/relationships" ref="N409" r:id="rId408"/>
    <hyperlink xmlns:r="http://schemas.openxmlformats.org/officeDocument/2006/relationships" ref="N410" r:id="rId409"/>
    <hyperlink xmlns:r="http://schemas.openxmlformats.org/officeDocument/2006/relationships" ref="N411" r:id="rId410"/>
    <hyperlink xmlns:r="http://schemas.openxmlformats.org/officeDocument/2006/relationships" ref="N412" r:id="rId411"/>
    <hyperlink xmlns:r="http://schemas.openxmlformats.org/officeDocument/2006/relationships" ref="N413" r:id="rId412"/>
    <hyperlink xmlns:r="http://schemas.openxmlformats.org/officeDocument/2006/relationships" ref="N414" r:id="rId413"/>
    <hyperlink xmlns:r="http://schemas.openxmlformats.org/officeDocument/2006/relationships" ref="N415" r:id="rId414"/>
    <hyperlink xmlns:r="http://schemas.openxmlformats.org/officeDocument/2006/relationships" ref="N416" r:id="rId415"/>
    <hyperlink xmlns:r="http://schemas.openxmlformats.org/officeDocument/2006/relationships" ref="N417" r:id="rId416"/>
    <hyperlink xmlns:r="http://schemas.openxmlformats.org/officeDocument/2006/relationships" ref="N418" r:id="rId417"/>
    <hyperlink xmlns:r="http://schemas.openxmlformats.org/officeDocument/2006/relationships" ref="N419" r:id="rId418"/>
    <hyperlink xmlns:r="http://schemas.openxmlformats.org/officeDocument/2006/relationships" ref="N420" r:id="rId419"/>
    <hyperlink xmlns:r="http://schemas.openxmlformats.org/officeDocument/2006/relationships" ref="N421" r:id="rId420"/>
    <hyperlink xmlns:r="http://schemas.openxmlformats.org/officeDocument/2006/relationships" ref="N422" r:id="rId421"/>
    <hyperlink xmlns:r="http://schemas.openxmlformats.org/officeDocument/2006/relationships" ref="N423" r:id="rId422"/>
    <hyperlink xmlns:r="http://schemas.openxmlformats.org/officeDocument/2006/relationships" ref="N424" r:id="rId423"/>
    <hyperlink xmlns:r="http://schemas.openxmlformats.org/officeDocument/2006/relationships" ref="N425" r:id="rId424"/>
    <hyperlink xmlns:r="http://schemas.openxmlformats.org/officeDocument/2006/relationships" ref="N426" r:id="rId425"/>
    <hyperlink xmlns:r="http://schemas.openxmlformats.org/officeDocument/2006/relationships" ref="N427" r:id="rId426"/>
    <hyperlink xmlns:r="http://schemas.openxmlformats.org/officeDocument/2006/relationships" ref="N428" r:id="rId427"/>
    <hyperlink xmlns:r="http://schemas.openxmlformats.org/officeDocument/2006/relationships" ref="N429" r:id="rId428"/>
    <hyperlink xmlns:r="http://schemas.openxmlformats.org/officeDocument/2006/relationships" ref="N430" r:id="rId429"/>
    <hyperlink xmlns:r="http://schemas.openxmlformats.org/officeDocument/2006/relationships" ref="N431" r:id="rId430"/>
    <hyperlink xmlns:r="http://schemas.openxmlformats.org/officeDocument/2006/relationships" ref="N432" r:id="rId431"/>
    <hyperlink xmlns:r="http://schemas.openxmlformats.org/officeDocument/2006/relationships" ref="N433" r:id="rId432"/>
    <hyperlink xmlns:r="http://schemas.openxmlformats.org/officeDocument/2006/relationships" ref="N434" r:id="rId433"/>
    <hyperlink xmlns:r="http://schemas.openxmlformats.org/officeDocument/2006/relationships" ref="N435" r:id="rId434"/>
    <hyperlink xmlns:r="http://schemas.openxmlformats.org/officeDocument/2006/relationships" ref="N436" r:id="rId435"/>
    <hyperlink xmlns:r="http://schemas.openxmlformats.org/officeDocument/2006/relationships" ref="N437" r:id="rId436"/>
    <hyperlink xmlns:r="http://schemas.openxmlformats.org/officeDocument/2006/relationships" ref="N438" r:id="rId437"/>
    <hyperlink xmlns:r="http://schemas.openxmlformats.org/officeDocument/2006/relationships" ref="N439" r:id="rId438"/>
    <hyperlink xmlns:r="http://schemas.openxmlformats.org/officeDocument/2006/relationships" ref="N440" r:id="rId439"/>
    <hyperlink xmlns:r="http://schemas.openxmlformats.org/officeDocument/2006/relationships" ref="N441" r:id="rId440"/>
    <hyperlink xmlns:r="http://schemas.openxmlformats.org/officeDocument/2006/relationships" ref="N442" r:id="rId441"/>
    <hyperlink xmlns:r="http://schemas.openxmlformats.org/officeDocument/2006/relationships" ref="N443" r:id="rId442"/>
    <hyperlink xmlns:r="http://schemas.openxmlformats.org/officeDocument/2006/relationships" ref="N444" r:id="rId443"/>
    <hyperlink xmlns:r="http://schemas.openxmlformats.org/officeDocument/2006/relationships" ref="N445" r:id="rId444"/>
    <hyperlink xmlns:r="http://schemas.openxmlformats.org/officeDocument/2006/relationships" ref="N446" r:id="rId445"/>
    <hyperlink xmlns:r="http://schemas.openxmlformats.org/officeDocument/2006/relationships" ref="N447" r:id="rId446"/>
    <hyperlink xmlns:r="http://schemas.openxmlformats.org/officeDocument/2006/relationships" ref="N448" r:id="rId447"/>
    <hyperlink xmlns:r="http://schemas.openxmlformats.org/officeDocument/2006/relationships" ref="N449" r:id="rId448"/>
    <hyperlink xmlns:r="http://schemas.openxmlformats.org/officeDocument/2006/relationships" ref="N450" r:id="rId449"/>
    <hyperlink xmlns:r="http://schemas.openxmlformats.org/officeDocument/2006/relationships" ref="N451" r:id="rId450"/>
    <hyperlink xmlns:r="http://schemas.openxmlformats.org/officeDocument/2006/relationships" ref="N452" r:id="rId451"/>
    <hyperlink xmlns:r="http://schemas.openxmlformats.org/officeDocument/2006/relationships" ref="N453" r:id="rId452"/>
    <hyperlink xmlns:r="http://schemas.openxmlformats.org/officeDocument/2006/relationships" ref="N454" r:id="rId453"/>
    <hyperlink xmlns:r="http://schemas.openxmlformats.org/officeDocument/2006/relationships" ref="N455" r:id="rId454"/>
    <hyperlink xmlns:r="http://schemas.openxmlformats.org/officeDocument/2006/relationships" ref="N456" r:id="rId455"/>
    <hyperlink xmlns:r="http://schemas.openxmlformats.org/officeDocument/2006/relationships" ref="N457" r:id="rId456"/>
    <hyperlink xmlns:r="http://schemas.openxmlformats.org/officeDocument/2006/relationships" ref="N458" r:id="rId457"/>
    <hyperlink xmlns:r="http://schemas.openxmlformats.org/officeDocument/2006/relationships" ref="N459" r:id="rId458"/>
    <hyperlink xmlns:r="http://schemas.openxmlformats.org/officeDocument/2006/relationships" ref="N460" r:id="rId459"/>
    <hyperlink xmlns:r="http://schemas.openxmlformats.org/officeDocument/2006/relationships" ref="N461" r:id="rId460"/>
    <hyperlink xmlns:r="http://schemas.openxmlformats.org/officeDocument/2006/relationships" ref="N462" r:id="rId461"/>
    <hyperlink xmlns:r="http://schemas.openxmlformats.org/officeDocument/2006/relationships" ref="N463" r:id="rId462"/>
    <hyperlink xmlns:r="http://schemas.openxmlformats.org/officeDocument/2006/relationships" ref="N464" r:id="rId463"/>
    <hyperlink xmlns:r="http://schemas.openxmlformats.org/officeDocument/2006/relationships" ref="N465" r:id="rId464"/>
    <hyperlink xmlns:r="http://schemas.openxmlformats.org/officeDocument/2006/relationships" ref="N466" r:id="rId465"/>
    <hyperlink xmlns:r="http://schemas.openxmlformats.org/officeDocument/2006/relationships" ref="N467" r:id="rId466"/>
    <hyperlink xmlns:r="http://schemas.openxmlformats.org/officeDocument/2006/relationships" ref="N468" r:id="rId467"/>
    <hyperlink xmlns:r="http://schemas.openxmlformats.org/officeDocument/2006/relationships" ref="N469" r:id="rId468"/>
    <hyperlink xmlns:r="http://schemas.openxmlformats.org/officeDocument/2006/relationships" ref="N470" r:id="rId469"/>
    <hyperlink xmlns:r="http://schemas.openxmlformats.org/officeDocument/2006/relationships" ref="N471" r:id="rId470"/>
    <hyperlink xmlns:r="http://schemas.openxmlformats.org/officeDocument/2006/relationships" ref="N472" r:id="rId471"/>
    <hyperlink xmlns:r="http://schemas.openxmlformats.org/officeDocument/2006/relationships" ref="N473" r:id="rId472"/>
    <hyperlink xmlns:r="http://schemas.openxmlformats.org/officeDocument/2006/relationships" ref="N474" r:id="rId473"/>
    <hyperlink xmlns:r="http://schemas.openxmlformats.org/officeDocument/2006/relationships" ref="N475" r:id="rId474"/>
    <hyperlink xmlns:r="http://schemas.openxmlformats.org/officeDocument/2006/relationships" ref="N476" r:id="rId475"/>
    <hyperlink xmlns:r="http://schemas.openxmlformats.org/officeDocument/2006/relationships" ref="N477" r:id="rId476"/>
    <hyperlink xmlns:r="http://schemas.openxmlformats.org/officeDocument/2006/relationships" ref="N478" r:id="rId477"/>
    <hyperlink xmlns:r="http://schemas.openxmlformats.org/officeDocument/2006/relationships" ref="N479" r:id="rId478"/>
    <hyperlink xmlns:r="http://schemas.openxmlformats.org/officeDocument/2006/relationships" ref="N480" r:id="rId479"/>
    <hyperlink xmlns:r="http://schemas.openxmlformats.org/officeDocument/2006/relationships" ref="N481" r:id="rId480"/>
    <hyperlink xmlns:r="http://schemas.openxmlformats.org/officeDocument/2006/relationships" ref="N482" r:id="rId481"/>
    <hyperlink xmlns:r="http://schemas.openxmlformats.org/officeDocument/2006/relationships" ref="N483" r:id="rId482"/>
    <hyperlink xmlns:r="http://schemas.openxmlformats.org/officeDocument/2006/relationships" ref="N484" r:id="rId483"/>
    <hyperlink xmlns:r="http://schemas.openxmlformats.org/officeDocument/2006/relationships" ref="N485" r:id="rId484"/>
    <hyperlink xmlns:r="http://schemas.openxmlformats.org/officeDocument/2006/relationships" ref="N486" r:id="rId485"/>
    <hyperlink xmlns:r="http://schemas.openxmlformats.org/officeDocument/2006/relationships" ref="N487" r:id="rId486"/>
    <hyperlink xmlns:r="http://schemas.openxmlformats.org/officeDocument/2006/relationships" ref="N488" r:id="rId487"/>
    <hyperlink xmlns:r="http://schemas.openxmlformats.org/officeDocument/2006/relationships" ref="N489" r:id="rId488"/>
    <hyperlink xmlns:r="http://schemas.openxmlformats.org/officeDocument/2006/relationships" ref="N490" r:id="rId489"/>
    <hyperlink xmlns:r="http://schemas.openxmlformats.org/officeDocument/2006/relationships" ref="N491" r:id="rId490"/>
    <hyperlink xmlns:r="http://schemas.openxmlformats.org/officeDocument/2006/relationships" ref="N492" r:id="rId491"/>
    <hyperlink xmlns:r="http://schemas.openxmlformats.org/officeDocument/2006/relationships" ref="N493" r:id="rId492"/>
    <hyperlink xmlns:r="http://schemas.openxmlformats.org/officeDocument/2006/relationships" ref="N494" r:id="rId493"/>
    <hyperlink xmlns:r="http://schemas.openxmlformats.org/officeDocument/2006/relationships" ref="N495" r:id="rId494"/>
    <hyperlink xmlns:r="http://schemas.openxmlformats.org/officeDocument/2006/relationships" ref="N496" r:id="rId495"/>
    <hyperlink xmlns:r="http://schemas.openxmlformats.org/officeDocument/2006/relationships" ref="N497" r:id="rId496"/>
    <hyperlink xmlns:r="http://schemas.openxmlformats.org/officeDocument/2006/relationships" ref="N498" r:id="rId497"/>
    <hyperlink xmlns:r="http://schemas.openxmlformats.org/officeDocument/2006/relationships" ref="N499" r:id="rId498"/>
    <hyperlink xmlns:r="http://schemas.openxmlformats.org/officeDocument/2006/relationships" ref="N500" r:id="rId499"/>
    <hyperlink xmlns:r="http://schemas.openxmlformats.org/officeDocument/2006/relationships" ref="N501" r:id="rId500"/>
    <hyperlink xmlns:r="http://schemas.openxmlformats.org/officeDocument/2006/relationships" ref="N502" r:id="rId501"/>
    <hyperlink xmlns:r="http://schemas.openxmlformats.org/officeDocument/2006/relationships" ref="N503" r:id="rId502"/>
    <hyperlink xmlns:r="http://schemas.openxmlformats.org/officeDocument/2006/relationships" ref="N504" r:id="rId503"/>
    <hyperlink xmlns:r="http://schemas.openxmlformats.org/officeDocument/2006/relationships" ref="N505" r:id="rId504"/>
    <hyperlink xmlns:r="http://schemas.openxmlformats.org/officeDocument/2006/relationships" ref="N506" r:id="rId505"/>
    <hyperlink xmlns:r="http://schemas.openxmlformats.org/officeDocument/2006/relationships" ref="N507" r:id="rId506"/>
    <hyperlink xmlns:r="http://schemas.openxmlformats.org/officeDocument/2006/relationships" ref="N508" r:id="rId507"/>
    <hyperlink xmlns:r="http://schemas.openxmlformats.org/officeDocument/2006/relationships" ref="N509" r:id="rId508"/>
    <hyperlink xmlns:r="http://schemas.openxmlformats.org/officeDocument/2006/relationships" ref="N510" r:id="rId509"/>
    <hyperlink xmlns:r="http://schemas.openxmlformats.org/officeDocument/2006/relationships" ref="N511" r:id="rId510"/>
    <hyperlink xmlns:r="http://schemas.openxmlformats.org/officeDocument/2006/relationships" ref="N512" r:id="rId511"/>
    <hyperlink xmlns:r="http://schemas.openxmlformats.org/officeDocument/2006/relationships" ref="N513" r:id="rId512"/>
    <hyperlink xmlns:r="http://schemas.openxmlformats.org/officeDocument/2006/relationships" ref="N514" r:id="rId513"/>
    <hyperlink xmlns:r="http://schemas.openxmlformats.org/officeDocument/2006/relationships" ref="N515" r:id="rId514"/>
    <hyperlink xmlns:r="http://schemas.openxmlformats.org/officeDocument/2006/relationships" ref="N516" r:id="rId515"/>
    <hyperlink xmlns:r="http://schemas.openxmlformats.org/officeDocument/2006/relationships" ref="N517" r:id="rId516"/>
    <hyperlink xmlns:r="http://schemas.openxmlformats.org/officeDocument/2006/relationships" ref="N518" r:id="rId517"/>
    <hyperlink xmlns:r="http://schemas.openxmlformats.org/officeDocument/2006/relationships" ref="N519" r:id="rId518"/>
    <hyperlink xmlns:r="http://schemas.openxmlformats.org/officeDocument/2006/relationships" ref="N520" r:id="rId519"/>
    <hyperlink xmlns:r="http://schemas.openxmlformats.org/officeDocument/2006/relationships" ref="N521" r:id="rId520"/>
    <hyperlink xmlns:r="http://schemas.openxmlformats.org/officeDocument/2006/relationships" ref="N522" r:id="rId521"/>
    <hyperlink xmlns:r="http://schemas.openxmlformats.org/officeDocument/2006/relationships" ref="N523" r:id="rId522"/>
    <hyperlink xmlns:r="http://schemas.openxmlformats.org/officeDocument/2006/relationships" ref="N524" r:id="rId523"/>
    <hyperlink xmlns:r="http://schemas.openxmlformats.org/officeDocument/2006/relationships" ref="N525" r:id="rId524"/>
    <hyperlink xmlns:r="http://schemas.openxmlformats.org/officeDocument/2006/relationships" ref="N526" r:id="rId525"/>
    <hyperlink xmlns:r="http://schemas.openxmlformats.org/officeDocument/2006/relationships" ref="N527" r:id="rId526"/>
    <hyperlink xmlns:r="http://schemas.openxmlformats.org/officeDocument/2006/relationships" ref="N528" r:id="rId527"/>
    <hyperlink xmlns:r="http://schemas.openxmlformats.org/officeDocument/2006/relationships" ref="N529" r:id="rId528"/>
    <hyperlink xmlns:r="http://schemas.openxmlformats.org/officeDocument/2006/relationships" ref="N530" r:id="rId529"/>
    <hyperlink xmlns:r="http://schemas.openxmlformats.org/officeDocument/2006/relationships" ref="N531" r:id="rId530"/>
    <hyperlink xmlns:r="http://schemas.openxmlformats.org/officeDocument/2006/relationships" ref="N532" r:id="rId531"/>
    <hyperlink xmlns:r="http://schemas.openxmlformats.org/officeDocument/2006/relationships" ref="N533" r:id="rId532"/>
    <hyperlink xmlns:r="http://schemas.openxmlformats.org/officeDocument/2006/relationships" ref="N534" r:id="rId533"/>
    <hyperlink xmlns:r="http://schemas.openxmlformats.org/officeDocument/2006/relationships" ref="N535" r:id="rId534"/>
    <hyperlink xmlns:r="http://schemas.openxmlformats.org/officeDocument/2006/relationships" ref="N536" r:id="rId535"/>
    <hyperlink xmlns:r="http://schemas.openxmlformats.org/officeDocument/2006/relationships" ref="N537" r:id="rId536"/>
    <hyperlink xmlns:r="http://schemas.openxmlformats.org/officeDocument/2006/relationships" ref="N538" r:id="rId537"/>
    <hyperlink xmlns:r="http://schemas.openxmlformats.org/officeDocument/2006/relationships" ref="N539" r:id="rId538"/>
    <hyperlink xmlns:r="http://schemas.openxmlformats.org/officeDocument/2006/relationships" ref="N540" r:id="rId539"/>
    <hyperlink xmlns:r="http://schemas.openxmlformats.org/officeDocument/2006/relationships" ref="N541" r:id="rId540"/>
    <hyperlink xmlns:r="http://schemas.openxmlformats.org/officeDocument/2006/relationships" ref="N542" r:id="rId541"/>
    <hyperlink xmlns:r="http://schemas.openxmlformats.org/officeDocument/2006/relationships" ref="N543" r:id="rId542"/>
    <hyperlink xmlns:r="http://schemas.openxmlformats.org/officeDocument/2006/relationships" ref="N544" r:id="rId543"/>
    <hyperlink xmlns:r="http://schemas.openxmlformats.org/officeDocument/2006/relationships" ref="N545" r:id="rId544"/>
    <hyperlink xmlns:r="http://schemas.openxmlformats.org/officeDocument/2006/relationships" ref="N546" r:id="rId545"/>
    <hyperlink xmlns:r="http://schemas.openxmlformats.org/officeDocument/2006/relationships" ref="N547" r:id="rId546"/>
    <hyperlink xmlns:r="http://schemas.openxmlformats.org/officeDocument/2006/relationships" ref="N548" r:id="rId547"/>
    <hyperlink xmlns:r="http://schemas.openxmlformats.org/officeDocument/2006/relationships" ref="N549" r:id="rId548"/>
    <hyperlink xmlns:r="http://schemas.openxmlformats.org/officeDocument/2006/relationships" ref="N550" r:id="rId549"/>
    <hyperlink xmlns:r="http://schemas.openxmlformats.org/officeDocument/2006/relationships" ref="N551" r:id="rId550"/>
    <hyperlink xmlns:r="http://schemas.openxmlformats.org/officeDocument/2006/relationships" ref="N552" r:id="rId551"/>
    <hyperlink xmlns:r="http://schemas.openxmlformats.org/officeDocument/2006/relationships" ref="N553" r:id="rId552"/>
    <hyperlink xmlns:r="http://schemas.openxmlformats.org/officeDocument/2006/relationships" ref="N554" r:id="rId553"/>
    <hyperlink xmlns:r="http://schemas.openxmlformats.org/officeDocument/2006/relationships" ref="N555" r:id="rId554"/>
    <hyperlink xmlns:r="http://schemas.openxmlformats.org/officeDocument/2006/relationships" ref="N556" r:id="rId555"/>
    <hyperlink xmlns:r="http://schemas.openxmlformats.org/officeDocument/2006/relationships" ref="N557" r:id="rId556"/>
    <hyperlink xmlns:r="http://schemas.openxmlformats.org/officeDocument/2006/relationships" ref="N558" r:id="rId557"/>
    <hyperlink xmlns:r="http://schemas.openxmlformats.org/officeDocument/2006/relationships" ref="N559" r:id="rId558"/>
    <hyperlink xmlns:r="http://schemas.openxmlformats.org/officeDocument/2006/relationships" ref="N560" r:id="rId559"/>
    <hyperlink xmlns:r="http://schemas.openxmlformats.org/officeDocument/2006/relationships" ref="N561" r:id="rId560"/>
    <hyperlink xmlns:r="http://schemas.openxmlformats.org/officeDocument/2006/relationships" ref="N562" r:id="rId561"/>
    <hyperlink xmlns:r="http://schemas.openxmlformats.org/officeDocument/2006/relationships" ref="N563" r:id="rId562"/>
    <hyperlink xmlns:r="http://schemas.openxmlformats.org/officeDocument/2006/relationships" ref="N564" r:id="rId563"/>
    <hyperlink xmlns:r="http://schemas.openxmlformats.org/officeDocument/2006/relationships" ref="N565" r:id="rId564"/>
    <hyperlink xmlns:r="http://schemas.openxmlformats.org/officeDocument/2006/relationships" ref="N566" r:id="rId565"/>
    <hyperlink xmlns:r="http://schemas.openxmlformats.org/officeDocument/2006/relationships" ref="N567" r:id="rId566"/>
    <hyperlink xmlns:r="http://schemas.openxmlformats.org/officeDocument/2006/relationships" ref="N568" r:id="rId567"/>
    <hyperlink xmlns:r="http://schemas.openxmlformats.org/officeDocument/2006/relationships" ref="N569" r:id="rId568"/>
    <hyperlink xmlns:r="http://schemas.openxmlformats.org/officeDocument/2006/relationships" ref="N570" r:id="rId569"/>
    <hyperlink xmlns:r="http://schemas.openxmlformats.org/officeDocument/2006/relationships" ref="N571" r:id="rId570"/>
    <hyperlink xmlns:r="http://schemas.openxmlformats.org/officeDocument/2006/relationships" ref="N572" r:id="rId571"/>
    <hyperlink xmlns:r="http://schemas.openxmlformats.org/officeDocument/2006/relationships" ref="N573" r:id="rId572"/>
    <hyperlink xmlns:r="http://schemas.openxmlformats.org/officeDocument/2006/relationships" ref="N574" r:id="rId573"/>
    <hyperlink xmlns:r="http://schemas.openxmlformats.org/officeDocument/2006/relationships" ref="N575" r:id="rId574"/>
    <hyperlink xmlns:r="http://schemas.openxmlformats.org/officeDocument/2006/relationships" ref="N576" r:id="rId575"/>
    <hyperlink xmlns:r="http://schemas.openxmlformats.org/officeDocument/2006/relationships" ref="N577" r:id="rId576"/>
    <hyperlink xmlns:r="http://schemas.openxmlformats.org/officeDocument/2006/relationships" ref="N578" r:id="rId577"/>
    <hyperlink xmlns:r="http://schemas.openxmlformats.org/officeDocument/2006/relationships" ref="N579" r:id="rId578"/>
    <hyperlink xmlns:r="http://schemas.openxmlformats.org/officeDocument/2006/relationships" ref="N580" r:id="rId579"/>
    <hyperlink xmlns:r="http://schemas.openxmlformats.org/officeDocument/2006/relationships" ref="N581" r:id="rId580"/>
    <hyperlink xmlns:r="http://schemas.openxmlformats.org/officeDocument/2006/relationships" ref="N582" r:id="rId581"/>
    <hyperlink xmlns:r="http://schemas.openxmlformats.org/officeDocument/2006/relationships" ref="N583" r:id="rId582"/>
    <hyperlink xmlns:r="http://schemas.openxmlformats.org/officeDocument/2006/relationships" ref="N584" r:id="rId583"/>
    <hyperlink xmlns:r="http://schemas.openxmlformats.org/officeDocument/2006/relationships" ref="N585" r:id="rId584"/>
    <hyperlink xmlns:r="http://schemas.openxmlformats.org/officeDocument/2006/relationships" ref="N586" r:id="rId585"/>
    <hyperlink xmlns:r="http://schemas.openxmlformats.org/officeDocument/2006/relationships" ref="N587" r:id="rId586"/>
    <hyperlink xmlns:r="http://schemas.openxmlformats.org/officeDocument/2006/relationships" ref="N588" r:id="rId587"/>
    <hyperlink xmlns:r="http://schemas.openxmlformats.org/officeDocument/2006/relationships" ref="N589" r:id="rId588"/>
    <hyperlink xmlns:r="http://schemas.openxmlformats.org/officeDocument/2006/relationships" ref="N590" r:id="rId589"/>
    <hyperlink xmlns:r="http://schemas.openxmlformats.org/officeDocument/2006/relationships" ref="N591" r:id="rId590"/>
    <hyperlink xmlns:r="http://schemas.openxmlformats.org/officeDocument/2006/relationships" ref="N592" r:id="rId591"/>
    <hyperlink xmlns:r="http://schemas.openxmlformats.org/officeDocument/2006/relationships" ref="N593" r:id="rId592"/>
    <hyperlink xmlns:r="http://schemas.openxmlformats.org/officeDocument/2006/relationships" ref="N594" r:id="rId593"/>
    <hyperlink xmlns:r="http://schemas.openxmlformats.org/officeDocument/2006/relationships" ref="N595" r:id="rId594"/>
    <hyperlink xmlns:r="http://schemas.openxmlformats.org/officeDocument/2006/relationships" ref="N596" r:id="rId595"/>
    <hyperlink xmlns:r="http://schemas.openxmlformats.org/officeDocument/2006/relationships" ref="N597" r:id="rId596"/>
    <hyperlink xmlns:r="http://schemas.openxmlformats.org/officeDocument/2006/relationships" ref="N598" r:id="rId597"/>
    <hyperlink xmlns:r="http://schemas.openxmlformats.org/officeDocument/2006/relationships" ref="N599" r:id="rId598"/>
    <hyperlink xmlns:r="http://schemas.openxmlformats.org/officeDocument/2006/relationships" ref="N600" r:id="rId599"/>
    <hyperlink xmlns:r="http://schemas.openxmlformats.org/officeDocument/2006/relationships" ref="N601" r:id="rId600"/>
    <hyperlink xmlns:r="http://schemas.openxmlformats.org/officeDocument/2006/relationships" ref="N602" r:id="rId601"/>
    <hyperlink xmlns:r="http://schemas.openxmlformats.org/officeDocument/2006/relationships" ref="N603" r:id="rId602"/>
    <hyperlink xmlns:r="http://schemas.openxmlformats.org/officeDocument/2006/relationships" ref="N604" r:id="rId603"/>
    <hyperlink xmlns:r="http://schemas.openxmlformats.org/officeDocument/2006/relationships" ref="N605" r:id="rId604"/>
    <hyperlink xmlns:r="http://schemas.openxmlformats.org/officeDocument/2006/relationships" ref="N606" r:id="rId605"/>
    <hyperlink xmlns:r="http://schemas.openxmlformats.org/officeDocument/2006/relationships" ref="N607" r:id="rId606"/>
    <hyperlink xmlns:r="http://schemas.openxmlformats.org/officeDocument/2006/relationships" ref="N608" r:id="rId607"/>
    <hyperlink xmlns:r="http://schemas.openxmlformats.org/officeDocument/2006/relationships" ref="N609" r:id="rId608"/>
    <hyperlink xmlns:r="http://schemas.openxmlformats.org/officeDocument/2006/relationships" ref="N610" r:id="rId609"/>
    <hyperlink xmlns:r="http://schemas.openxmlformats.org/officeDocument/2006/relationships" ref="N611" r:id="rId610"/>
    <hyperlink xmlns:r="http://schemas.openxmlformats.org/officeDocument/2006/relationships" ref="N612" r:id="rId611"/>
    <hyperlink xmlns:r="http://schemas.openxmlformats.org/officeDocument/2006/relationships" ref="N613" r:id="rId612"/>
    <hyperlink xmlns:r="http://schemas.openxmlformats.org/officeDocument/2006/relationships" ref="N614" r:id="rId613"/>
    <hyperlink xmlns:r="http://schemas.openxmlformats.org/officeDocument/2006/relationships" ref="N615" r:id="rId614"/>
    <hyperlink xmlns:r="http://schemas.openxmlformats.org/officeDocument/2006/relationships" ref="N616" r:id="rId615"/>
    <hyperlink xmlns:r="http://schemas.openxmlformats.org/officeDocument/2006/relationships" ref="N617" r:id="rId616"/>
    <hyperlink xmlns:r="http://schemas.openxmlformats.org/officeDocument/2006/relationships" ref="N618" r:id="rId617"/>
    <hyperlink xmlns:r="http://schemas.openxmlformats.org/officeDocument/2006/relationships" ref="N619" r:id="rId618"/>
    <hyperlink xmlns:r="http://schemas.openxmlformats.org/officeDocument/2006/relationships" ref="N620" r:id="rId619"/>
    <hyperlink xmlns:r="http://schemas.openxmlformats.org/officeDocument/2006/relationships" ref="N621" r:id="rId620"/>
    <hyperlink xmlns:r="http://schemas.openxmlformats.org/officeDocument/2006/relationships" ref="N622" r:id="rId621"/>
    <hyperlink xmlns:r="http://schemas.openxmlformats.org/officeDocument/2006/relationships" ref="N623" r:id="rId622"/>
    <hyperlink xmlns:r="http://schemas.openxmlformats.org/officeDocument/2006/relationships" ref="N624" r:id="rId623"/>
    <hyperlink xmlns:r="http://schemas.openxmlformats.org/officeDocument/2006/relationships" ref="N625" r:id="rId624"/>
    <hyperlink xmlns:r="http://schemas.openxmlformats.org/officeDocument/2006/relationships" ref="N626" r:id="rId625"/>
    <hyperlink xmlns:r="http://schemas.openxmlformats.org/officeDocument/2006/relationships" ref="N627" r:id="rId626"/>
    <hyperlink xmlns:r="http://schemas.openxmlformats.org/officeDocument/2006/relationships" ref="N628" r:id="rId627"/>
    <hyperlink xmlns:r="http://schemas.openxmlformats.org/officeDocument/2006/relationships" ref="N629" r:id="rId628"/>
    <hyperlink xmlns:r="http://schemas.openxmlformats.org/officeDocument/2006/relationships" ref="N630" r:id="rId629"/>
    <hyperlink xmlns:r="http://schemas.openxmlformats.org/officeDocument/2006/relationships" ref="N631" r:id="rId630"/>
    <hyperlink xmlns:r="http://schemas.openxmlformats.org/officeDocument/2006/relationships" ref="N632" r:id="rId631"/>
    <hyperlink xmlns:r="http://schemas.openxmlformats.org/officeDocument/2006/relationships" ref="N633" r:id="rId632"/>
    <hyperlink xmlns:r="http://schemas.openxmlformats.org/officeDocument/2006/relationships" ref="N634" r:id="rId633"/>
    <hyperlink xmlns:r="http://schemas.openxmlformats.org/officeDocument/2006/relationships" ref="N635" r:id="rId634"/>
    <hyperlink xmlns:r="http://schemas.openxmlformats.org/officeDocument/2006/relationships" ref="N636" r:id="rId635"/>
    <hyperlink xmlns:r="http://schemas.openxmlformats.org/officeDocument/2006/relationships" ref="N637" r:id="rId636"/>
    <hyperlink xmlns:r="http://schemas.openxmlformats.org/officeDocument/2006/relationships" ref="N638" r:id="rId637"/>
    <hyperlink xmlns:r="http://schemas.openxmlformats.org/officeDocument/2006/relationships" ref="N639" r:id="rId638"/>
    <hyperlink xmlns:r="http://schemas.openxmlformats.org/officeDocument/2006/relationships" ref="N640" r:id="rId639"/>
    <hyperlink xmlns:r="http://schemas.openxmlformats.org/officeDocument/2006/relationships" ref="N641" r:id="rId640"/>
    <hyperlink xmlns:r="http://schemas.openxmlformats.org/officeDocument/2006/relationships" ref="N642" r:id="rId641"/>
    <hyperlink xmlns:r="http://schemas.openxmlformats.org/officeDocument/2006/relationships" ref="N643" r:id="rId642"/>
    <hyperlink xmlns:r="http://schemas.openxmlformats.org/officeDocument/2006/relationships" ref="N644" r:id="rId643"/>
    <hyperlink xmlns:r="http://schemas.openxmlformats.org/officeDocument/2006/relationships" ref="N645" r:id="rId644"/>
    <hyperlink xmlns:r="http://schemas.openxmlformats.org/officeDocument/2006/relationships" ref="N646" r:id="rId645"/>
    <hyperlink xmlns:r="http://schemas.openxmlformats.org/officeDocument/2006/relationships" ref="N647" r:id="rId646"/>
    <hyperlink xmlns:r="http://schemas.openxmlformats.org/officeDocument/2006/relationships" ref="N648" r:id="rId647"/>
    <hyperlink xmlns:r="http://schemas.openxmlformats.org/officeDocument/2006/relationships" ref="N649" r:id="rId648"/>
    <hyperlink xmlns:r="http://schemas.openxmlformats.org/officeDocument/2006/relationships" ref="N650" r:id="rId649"/>
    <hyperlink xmlns:r="http://schemas.openxmlformats.org/officeDocument/2006/relationships" ref="N651" r:id="rId650"/>
    <hyperlink xmlns:r="http://schemas.openxmlformats.org/officeDocument/2006/relationships" ref="N652" r:id="rId651"/>
    <hyperlink xmlns:r="http://schemas.openxmlformats.org/officeDocument/2006/relationships" ref="N653" r:id="rId652"/>
    <hyperlink xmlns:r="http://schemas.openxmlformats.org/officeDocument/2006/relationships" ref="N654" r:id="rId653"/>
    <hyperlink xmlns:r="http://schemas.openxmlformats.org/officeDocument/2006/relationships" ref="N655" r:id="rId654"/>
    <hyperlink xmlns:r="http://schemas.openxmlformats.org/officeDocument/2006/relationships" ref="N656" r:id="rId65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45" customWidth="1" min="4" max="4"/>
  </cols>
  <sheetData>
    <row r="1">
      <c r="A1" s="7" t="inlineStr">
        <is>
          <t>採点基準（各25点満点・合計100点）</t>
        </is>
      </c>
      <c r="B1" s="7" t="n"/>
      <c r="C1" s="7" t="n"/>
      <c r="D1" s="7" t="n"/>
    </row>
    <row r="2">
      <c r="A2" s="8" t="n"/>
      <c r="B2" s="8" t="n"/>
      <c r="C2" s="8" t="n"/>
      <c r="D2" s="8" t="n"/>
    </row>
    <row r="3">
      <c r="A3" s="9" t="inlineStr">
        <is>
          <t>項目</t>
        </is>
      </c>
      <c r="B3" s="9" t="inlineStr">
        <is>
          <t>内容</t>
        </is>
      </c>
      <c r="C3" s="9" t="inlineStr">
        <is>
          <t>高得点（22〜25点）</t>
        </is>
      </c>
      <c r="D3" s="9" t="inlineStr">
        <is>
          <t>低得点（0〜7点）</t>
        </is>
      </c>
    </row>
    <row r="4">
      <c r="A4" s="8" t="inlineStr">
        <is>
          <t>非代替性</t>
        </is>
      </c>
      <c r="B4" s="8" t="inlineStr">
        <is>
          <t>今のAutoCAD（2024〜2026、Express Tools含む）の標準機能で代わりがきかないか</t>
        </is>
      </c>
      <c r="C4" s="8" t="inlineStr">
        <is>
          <t>標準機能では実現できない</t>
        </is>
      </c>
      <c r="D4" s="8" t="inlineStr">
        <is>
          <t>標準機能（COUNT、TEXTALIGN、BURST、OVERKILL等）でほぼ同じことができる</t>
        </is>
      </c>
    </row>
    <row r="5">
      <c r="A5" s="8" t="inlineStr">
        <is>
          <t>斬新さ</t>
        </is>
      </c>
      <c r="B5" s="8" t="inlineStr">
        <is>
          <t>発想の面白さ・目新しさ</t>
        </is>
      </c>
      <c r="C5" s="8" t="inlineStr">
        <is>
          <t>「その手があったか」という発想（自動更新、動的プレビュー、コマンド連動など）</t>
        </is>
      </c>
      <c r="D5" s="8" t="inlineStr">
        <is>
          <t>単純な設定変更や標準コマンドの言い換え</t>
        </is>
      </c>
    </row>
    <row r="6">
      <c r="A6" s="8" t="inlineStr">
        <is>
          <t>時短効果</t>
        </is>
      </c>
      <c r="B6" s="8" t="inlineStr">
        <is>
          <t>1回あたりの時短 × 使う頻度</t>
        </is>
      </c>
      <c r="C6" s="8" t="inlineStr">
        <is>
          <t>よく使う作業で数分〜数時間を短縮（一括処理・自動集計・自動連番など）</t>
        </is>
      </c>
      <c r="D6" s="8" t="inlineStr">
        <is>
          <t>数回のキー操作分の短縮、関数部品、ゲーム</t>
        </is>
      </c>
    </row>
    <row r="7">
      <c r="A7" s="8" t="inlineStr">
        <is>
          <t>汎用性</t>
        </is>
      </c>
      <c r="B7" s="8" t="inlineStr">
        <is>
          <t>どんな図面でも使えるか</t>
        </is>
      </c>
      <c r="C7" s="8" t="inlineStr">
        <is>
          <t>ほぼすべての図面で使える（文字・画層・ブロック・一括処理・印刷）</t>
        </is>
      </c>
      <c r="D7" s="8" t="inlineStr">
        <is>
          <t>特定の国の規格・特定製品・特定分野専用</t>
        </is>
      </c>
    </row>
    <row r="8">
      <c r="A8" s="8" t="n"/>
      <c r="B8" s="8" t="n"/>
      <c r="C8" s="8" t="n"/>
      <c r="D8" s="8" t="n"/>
    </row>
    <row r="9">
      <c r="A9" s="10" t="inlineStr">
        <is>
          <t>注記</t>
        </is>
      </c>
      <c r="B9" s="10" t="n"/>
      <c r="C9" s="10" t="n"/>
      <c r="D9" s="10" t="n"/>
    </row>
    <row r="10">
      <c r="A10" s="8" t="inlineStr">
        <is>
          <t>・採点はコマンドの説明文をもとにしたAIによる評価で、実際に動かして確認したものではありません。</t>
        </is>
      </c>
      <c r="B10" s="8" t="n"/>
      <c r="C10" s="8" t="n"/>
      <c r="D10" s="8" t="n"/>
    </row>
    <row r="11">
      <c r="A11" s="8" t="inlineStr">
        <is>
          <t>・対象: 中国語圏（明经CAD社区、@lisp、晓东CAD家园、GitHub中国・台湾のリポジトリ、各種工具箱）。（有料）表示は有料配布。工具箱の一部は検索結果と一般知識からの記載の655件。調査日 2026-09-26。</t>
        </is>
      </c>
      <c r="B11" s="8" t="n"/>
      <c r="C11" s="8" t="n"/>
      <c r="D11" s="8" t="n"/>
    </row>
    <row r="12">
      <c r="A12" s="8" t="inlineStr">
        <is>
          <t>・「LISP開発用の部品」はコマンドではなくプログラム内で使う関数のため、時短効果は最大7点としています。</t>
        </is>
      </c>
      <c r="B12" s="8" t="n"/>
      <c r="C12" s="8" t="n"/>
      <c r="D12" s="8" t="n"/>
    </row>
    <row r="13">
      <c r="A13" s="8" t="inlineStr">
        <is>
          <t>・点数は「一覧」シートで直接書き換えられます（合計と順位は自動で再計算されます）。</t>
        </is>
      </c>
      <c r="B13" s="8" t="n"/>
      <c r="C13" s="8" t="n"/>
      <c r="D13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2026-09-26T18:06:11Z</dcterms:created>
  <dcterms:modified xsi:type="dcterms:W3CDTF">2026-09-26T18:06:12Z</dcterms:modified>
</cp:coreProperties>
</file>